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DCF7F81-72FD-A14D-AD73-4EE8F811E8E9}" xr6:coauthVersionLast="47" xr6:coauthVersionMax="47" xr10:uidLastSave="{00000000-0000-0000-0000-000000000000}"/>
  <bookViews>
    <workbookView xWindow="0" yWindow="660" windowWidth="30240" windowHeight="17520" xr2:uid="{ADA5A90B-C88D-CC49-867B-7BE08899E0CE}"/>
  </bookViews>
  <sheets>
    <sheet name="Bremen_Bürgerschaft_1959" sheetId="1" r:id="rId1"/>
  </sheets>
  <definedNames>
    <definedName name="_xlnm.Print_Area" localSheetId="0">Bremen_Bürgerschaft_1959!$A$2:$L$133</definedName>
  </definedNames>
  <calcPr calcId="0" refMode="R1C1"/>
</workbook>
</file>

<file path=xl/calcChain.xml><?xml version="1.0" encoding="utf-8"?>
<calcChain xmlns="http://schemas.openxmlformats.org/spreadsheetml/2006/main">
  <c r="C20" i="1" l="1"/>
  <c r="C25" i="1"/>
  <c r="C27" i="1"/>
  <c r="C42" i="1"/>
  <c r="C46" i="1"/>
  <c r="C51" i="1"/>
  <c r="C55" i="1"/>
  <c r="C59" i="1"/>
  <c r="C64" i="1"/>
  <c r="C80" i="1"/>
  <c r="C82" i="1"/>
  <c r="C92" i="1"/>
  <c r="C96" i="1"/>
  <c r="C98" i="1"/>
  <c r="C103" i="1"/>
  <c r="C110" i="1"/>
  <c r="C114" i="1"/>
  <c r="C116" i="1"/>
  <c r="C118" i="1"/>
  <c r="G122" i="1"/>
</calcChain>
</file>

<file path=xl/sharedStrings.xml><?xml version="1.0" encoding="utf-8"?>
<sst xmlns="http://schemas.openxmlformats.org/spreadsheetml/2006/main" count="85" uniqueCount="84">
  <si>
    <t xml:space="preserve"> </t>
  </si>
  <si>
    <t>Tabelle 18</t>
  </si>
  <si>
    <t xml:space="preserve">Altstadt................................................................................. 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</si>
  <si>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</si>
  <si>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</si>
  <si>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</si>
  <si>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Handelsh‰fen.............................................................. </t>
  </si>
  <si>
    <t xml:space="preserve">Industrieh‰fen.............................................................. </t>
  </si>
  <si>
    <t>Stadtbrem. ‹berseehafengebiet Bremerhaven...........</t>
  </si>
  <si>
    <t xml:space="preserve">Stadtteil H‰fen........................................................... </t>
  </si>
  <si>
    <t xml:space="preserve">Stadtbezik Mitte.........................................................  </t>
  </si>
  <si>
    <t xml:space="preserve">Alte Neustadt............................................................. </t>
  </si>
  <si>
    <t>S¸dervorstadt...............................................................</t>
  </si>
  <si>
    <t>Neuenland........................................................................</t>
  </si>
  <si>
    <t xml:space="preserve">Stadtteil Neustadt........................................................ </t>
  </si>
  <si>
    <t xml:space="preserve">Huckelriede................................................................  </t>
  </si>
  <si>
    <t>Stadtteil Huckelriede....................................................</t>
  </si>
  <si>
    <t xml:space="preserve">Habenhausen.................................................................  </t>
  </si>
  <si>
    <t xml:space="preserve">Arsten.......................................................................  </t>
  </si>
  <si>
    <t>Huchting..........................................................................</t>
  </si>
  <si>
    <t>Grolland.........................................................................</t>
  </si>
  <si>
    <t xml:space="preserve">Stadtteil Huchting........................................................     </t>
  </si>
  <si>
    <t xml:space="preserve">Woltmershausen...........................................................  </t>
  </si>
  <si>
    <t xml:space="preserve">Rablinghausen...................................................................  </t>
  </si>
  <si>
    <t xml:space="preserve">Stadtteil Woltmershausen..............................................   </t>
  </si>
  <si>
    <t xml:space="preserve">Seehausen......................................................................   </t>
  </si>
  <si>
    <t xml:space="preserve">Strom................................................................................    </t>
  </si>
  <si>
    <t xml:space="preserve">Stadtbezirk S¸d................................................................. </t>
  </si>
  <si>
    <t xml:space="preserve">Steintor...........................................................................  </t>
  </si>
  <si>
    <t xml:space="preserve">Peterswerder........................................................................  </t>
  </si>
  <si>
    <t xml:space="preserve">Stadtteil ÷stl. Vorstadt.......................................................  </t>
  </si>
  <si>
    <t>B¸rgerparkviertel...................................................................</t>
  </si>
  <si>
    <t xml:space="preserve">Schwachhausen..............................................................  </t>
  </si>
  <si>
    <t xml:space="preserve">Stadtteil Schwachhausen...............................................   </t>
  </si>
  <si>
    <t xml:space="preserve">Gartenstadt Vahr............................................................  </t>
  </si>
  <si>
    <t xml:space="preserve">Neue Vahr Nord.....................................................................  </t>
  </si>
  <si>
    <t>Neue Vahr-S¸d...............................................................</t>
  </si>
  <si>
    <t xml:space="preserve">Stadtteil Vahr...................................................................  </t>
  </si>
  <si>
    <t>Horn-Lehe.......................................................................</t>
  </si>
  <si>
    <t xml:space="preserve">Stadtteil Horn-Lehe.....................................................     </t>
  </si>
  <si>
    <t xml:space="preserve">Borgfeld.........................................................................    </t>
  </si>
  <si>
    <t xml:space="preserve">Oberneuland..............................................................    </t>
  </si>
  <si>
    <t xml:space="preserve">Osterholz.....................................................................  </t>
  </si>
  <si>
    <t xml:space="preserve">Stadtteil Osterholz................................................................   </t>
  </si>
  <si>
    <t xml:space="preserve">Sebaldsbr¸ck................................................................  </t>
  </si>
  <si>
    <t xml:space="preserve">Hastedt.........................................................................  </t>
  </si>
  <si>
    <t xml:space="preserve">Hemelingen......................................................................  </t>
  </si>
  <si>
    <t xml:space="preserve">Arbergen....................................................................... </t>
  </si>
  <si>
    <t xml:space="preserve">Mahndorf....................................................................... </t>
  </si>
  <si>
    <t xml:space="preserve">Stadtteil Hemelingen.................................................     </t>
  </si>
  <si>
    <t xml:space="preserve">Stadtbezirk Ost...............................................................   </t>
  </si>
  <si>
    <t xml:space="preserve">Blockland........................................................................   </t>
  </si>
  <si>
    <t xml:space="preserve">Findorff.......................................................................  </t>
  </si>
  <si>
    <t>Stadtteil Findorff................................................................</t>
  </si>
  <si>
    <t xml:space="preserve">Utbremen......................................................................   </t>
  </si>
  <si>
    <t xml:space="preserve">Walle.............................................................................   </t>
  </si>
  <si>
    <t xml:space="preserve">Osterfeuerberg................................................................   </t>
  </si>
  <si>
    <t>Stadtteil Walle.................................................................</t>
  </si>
  <si>
    <t xml:space="preserve">Grˆpelingen......................................................................  </t>
  </si>
  <si>
    <t>Oslebshausen.....................................................................</t>
  </si>
  <si>
    <t xml:space="preserve">Stadtteil Grˆpelingen........................................................   </t>
  </si>
  <si>
    <t xml:space="preserve">Stadtbezirk West............................................................. </t>
  </si>
  <si>
    <t xml:space="preserve">Burg-Grambke................................................................... </t>
  </si>
  <si>
    <t xml:space="preserve">Werderland......................................................................... </t>
  </si>
  <si>
    <t xml:space="preserve">Lesum.............................................................................  </t>
  </si>
  <si>
    <t xml:space="preserve">Stadtteil Burglesum...........................................................    </t>
  </si>
  <si>
    <t>Alt-Vegesack.................................................................</t>
  </si>
  <si>
    <t xml:space="preserve">Grohn............................................................................  </t>
  </si>
  <si>
    <t xml:space="preserve">Schˆnebeck....................................................................  </t>
  </si>
  <si>
    <t xml:space="preserve">Aumund-Hammersbeck.................................................   </t>
  </si>
  <si>
    <t>F‰hr- Lobbendorf............................................................</t>
  </si>
  <si>
    <t xml:space="preserve">Stadtteil Vegesack...........................................................   </t>
  </si>
  <si>
    <t xml:space="preserve">Blumenthal....................................................................   </t>
  </si>
  <si>
    <t xml:space="preserve">Farge..............................................................................   </t>
  </si>
  <si>
    <t xml:space="preserve">Stadtteil Blumenthal..................................................     </t>
  </si>
  <si>
    <t xml:space="preserve">Stadtbezirk Nord.............................................................. </t>
  </si>
  <si>
    <t xml:space="preserve">Stadt Bremen insgesamt....................................................  </t>
  </si>
  <si>
    <t xml:space="preserve">Stadt Bremerhaven.......................................... </t>
  </si>
  <si>
    <t xml:space="preserve">Land Bremen.............................................  </t>
  </si>
  <si>
    <t xml:space="preserve">1) Nach Neuordnung der stadtbremischen Verwaltungsbezirke vom 24.3.1959 (Brem. Ges.-Bl. S.37).                   </t>
  </si>
  <si>
    <t xml:space="preserve">2) BdD, BHE, WV. </t>
  </si>
  <si>
    <t>3) Stadtteile mit Ortsamtsverwaltung.</t>
  </si>
  <si>
    <t>4) Ortsteile mit Ortsamtsverwaltung, die keinem Stadtteil zugeordnet sind.</t>
  </si>
  <si>
    <t>Quelle: Statistisches Handbuch f¸r Bremen, 1950 bis 1960.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</si>
</sst>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#.0"/>
    <numFmt numFmtId="190" formatCode="###\ ###"/>
  </numFmts>
  <fonts count="4">
    <font>
      <sz val="8"/>
      <name val="Helv"/>
    </font>
    <font>
      <b/>
      <sz val="10"/>
      <name val="Helv"/>
    </font>
    <font>
      <b/>
      <sz val="8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8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3" fillId="0" borderId="0" xfId="0" applyFont="1">
      <alignment horizontal="center"/>
    </xf>
    <xf numFmtId="186" fontId="0" fillId="0" borderId="0" xfId="0" applyNumberFormat="1">
      <alignment horizontal="center"/>
    </xf>
    <xf numFmtId="186" fontId="3" fillId="0" borderId="0" xfId="0" applyNumberFormat="1" applyFo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18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86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0" fontId="0" fillId="0" borderId="0" xfId="0" applyNumberFormat="1" applyAlignment="1">
      <alignment horizontal="right"/>
    </xf>
    <xf numFmtId="0" fontId="0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88900</xdr:rowOff>
    </xdr:from>
    <xdr:to>
      <xdr:col>10</xdr:col>
      <xdr:colOff>12700</xdr:colOff>
      <xdr:row>6</xdr:row>
      <xdr:rowOff>127000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028B8C14-4BD2-362C-B982-67A35376CA56}"/>
            </a:ext>
          </a:extLst>
        </xdr:cNvPr>
        <xdr:cNvSpPr txBox="1">
          <a:spLocks noChangeArrowheads="1"/>
        </xdr:cNvSpPr>
      </xdr:nvSpPr>
      <xdr:spPr bwMode="auto">
        <a:xfrm>
          <a:off x="977900" y="304800"/>
          <a:ext cx="51943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11.10.1959 nach Ortsteilen, Stadtteilen und Stadtbezirken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</xdr:col>
      <xdr:colOff>0</xdr:colOff>
      <xdr:row>15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B60C3CE9-EBF8-DB1C-583A-52FF34220937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1590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FDDEAAF3-1F4A-6408-7AEA-1E326C3FFCA2}"/>
            </a:ext>
          </a:extLst>
        </xdr:cNvPr>
        <xdr:cNvSpPr txBox="1">
          <a:spLocks noChangeArrowheads="1"/>
        </xdr:cNvSpPr>
      </xdr:nvSpPr>
      <xdr:spPr bwMode="auto">
        <a:xfrm>
          <a:off x="2159000" y="9779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125C6EE0-016B-17D8-030E-385D6D953280}"/>
            </a:ext>
          </a:extLst>
        </xdr:cNvPr>
        <xdr:cNvSpPr txBox="1">
          <a:spLocks noChangeArrowheads="1"/>
        </xdr:cNvSpPr>
      </xdr:nvSpPr>
      <xdr:spPr bwMode="auto">
        <a:xfrm>
          <a:off x="3263900" y="977900"/>
          <a:ext cx="2895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49F89BAD-4F0A-9E8D-1D2F-096CC39BE2FD}"/>
            </a:ext>
          </a:extLst>
        </xdr:cNvPr>
        <xdr:cNvSpPr txBox="1">
          <a:spLocks noChangeArrowheads="1"/>
        </xdr:cNvSpPr>
      </xdr:nvSpPr>
      <xdr:spPr bwMode="auto">
        <a:xfrm>
          <a:off x="2755900" y="1854200"/>
          <a:ext cx="34036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9</xdr:row>
      <xdr:rowOff>0</xdr:rowOff>
    </xdr:from>
    <xdr:to>
      <xdr:col>5</xdr:col>
      <xdr:colOff>12700</xdr:colOff>
      <xdr:row>13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0C844408-D143-794C-0D16-C1DFD4D87FDC}"/>
            </a:ext>
          </a:extLst>
        </xdr:cNvPr>
        <xdr:cNvSpPr txBox="1">
          <a:spLocks noChangeArrowheads="1"/>
        </xdr:cNvSpPr>
      </xdr:nvSpPr>
      <xdr:spPr bwMode="auto">
        <a:xfrm>
          <a:off x="32766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33EF0ED0-9360-ACFB-4728-282843830A1B}"/>
            </a:ext>
          </a:extLst>
        </xdr:cNvPr>
        <xdr:cNvSpPr txBox="1">
          <a:spLocks noChangeArrowheads="1"/>
        </xdr:cNvSpPr>
      </xdr:nvSpPr>
      <xdr:spPr bwMode="auto">
        <a:xfrm>
          <a:off x="37465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DEB36BDD-21EE-D930-A0F4-9C5A7AE1D5AE}"/>
            </a:ext>
          </a:extLst>
        </xdr:cNvPr>
        <xdr:cNvSpPr txBox="1">
          <a:spLocks noChangeArrowheads="1"/>
        </xdr:cNvSpPr>
      </xdr:nvSpPr>
      <xdr:spPr bwMode="auto">
        <a:xfrm>
          <a:off x="42291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6</xdr:col>
      <xdr:colOff>469900</xdr:colOff>
      <xdr:row>9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3A2D3DB9-AD67-7381-4E09-D2248B855123}"/>
            </a:ext>
          </a:extLst>
        </xdr:cNvPr>
        <xdr:cNvSpPr txBox="1">
          <a:spLocks noChangeArrowheads="1"/>
        </xdr:cNvSpPr>
      </xdr:nvSpPr>
      <xdr:spPr bwMode="auto">
        <a:xfrm>
          <a:off x="46990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DP</a:t>
          </a:r>
        </a:p>
      </xdr:txBody>
    </xdr:sp>
    <xdr:clientData/>
  </xdr:twoCellAnchor>
  <xdr:oneCellAnchor>
    <xdr:from>
      <xdr:col>1</xdr:col>
      <xdr:colOff>749300</xdr:colOff>
      <xdr:row>41</xdr:row>
      <xdr:rowOff>0</xdr:rowOff>
    </xdr:from>
    <xdr:ext cx="139700" cy="1270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6099D543-6A73-8C4B-56A8-DF6F3F2B957F}"/>
            </a:ext>
          </a:extLst>
        </xdr:cNvPr>
        <xdr:cNvSpPr txBox="1">
          <a:spLocks noChangeArrowheads="1"/>
        </xdr:cNvSpPr>
      </xdr:nvSpPr>
      <xdr:spPr bwMode="auto">
        <a:xfrm>
          <a:off x="977900" y="7061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457200</xdr:colOff>
      <xdr:row>46</xdr:row>
      <xdr:rowOff>165100</xdr:rowOff>
    </xdr:from>
    <xdr:ext cx="139700" cy="1397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B980DB0D-B5EA-7D16-AFAB-315A4A99B02D}"/>
            </a:ext>
          </a:extLst>
        </xdr:cNvPr>
        <xdr:cNvSpPr txBox="1">
          <a:spLocks noChangeArrowheads="1"/>
        </xdr:cNvSpPr>
      </xdr:nvSpPr>
      <xdr:spPr bwMode="auto">
        <a:xfrm>
          <a:off x="685800" y="8178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twoCellAnchor editAs="oneCell">
    <xdr:from>
      <xdr:col>1</xdr:col>
      <xdr:colOff>241300</xdr:colOff>
      <xdr:row>48</xdr:row>
      <xdr:rowOff>12700</xdr:rowOff>
    </xdr:from>
    <xdr:to>
      <xdr:col>1</xdr:col>
      <xdr:colOff>381000</xdr:colOff>
      <xdr:row>48</xdr:row>
      <xdr:rowOff>114300</xdr:rowOff>
    </xdr:to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066D4FBF-9836-6C49-A90C-51E4D0D980CB}"/>
            </a:ext>
          </a:extLst>
        </xdr:cNvPr>
        <xdr:cNvSpPr txBox="1">
          <a:spLocks noChangeArrowheads="1"/>
        </xdr:cNvSpPr>
      </xdr:nvSpPr>
      <xdr:spPr bwMode="auto">
        <a:xfrm>
          <a:off x="469900" y="8407400"/>
          <a:ext cx="1397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twoCellAnchor>
  <xdr:twoCellAnchor>
    <xdr:from>
      <xdr:col>7</xdr:col>
      <xdr:colOff>469900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205A21BA-84BE-B466-3522-4815B67D2DDF}"/>
            </a:ext>
          </a:extLst>
        </xdr:cNvPr>
        <xdr:cNvSpPr txBox="1">
          <a:spLocks noChangeArrowheads="1"/>
        </xdr:cNvSpPr>
      </xdr:nvSpPr>
      <xdr:spPr bwMode="auto">
        <a:xfrm>
          <a:off x="51816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DRP</a:t>
          </a:r>
        </a:p>
      </xdr:txBody>
    </xdr:sp>
    <xdr:clientData/>
  </xdr:twoCellAnchor>
  <xdr:twoCellAnchor>
    <xdr:from>
      <xdr:col>8</xdr:col>
      <xdr:colOff>469900</xdr:colOff>
      <xdr:row>9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E0000B51-1C01-C911-2B2D-66F5D54F0220}"/>
            </a:ext>
          </a:extLst>
        </xdr:cNvPr>
        <xdr:cNvSpPr txBox="1">
          <a:spLocks noChangeArrowheads="1"/>
        </xdr:cNvSpPr>
      </xdr:nvSpPr>
      <xdr:spPr bwMode="auto">
        <a:xfrm>
          <a:off x="56642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1</xdr:col>
      <xdr:colOff>800100</xdr:colOff>
      <xdr:row>65</xdr:row>
      <xdr:rowOff>177800</xdr:rowOff>
    </xdr:from>
    <xdr:ext cx="152400" cy="1397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0759D3B5-C29A-3B75-3B22-ED08919C8E81}"/>
            </a:ext>
          </a:extLst>
        </xdr:cNvPr>
        <xdr:cNvSpPr txBox="1">
          <a:spLocks noChangeArrowheads="1"/>
        </xdr:cNvSpPr>
      </xdr:nvSpPr>
      <xdr:spPr bwMode="auto">
        <a:xfrm>
          <a:off x="1028700" y="118110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749300</xdr:colOff>
      <xdr:row>72</xdr:row>
      <xdr:rowOff>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3012D689-243A-D3F8-20F8-6F8219026A8A}"/>
            </a:ext>
          </a:extLst>
        </xdr:cNvPr>
        <xdr:cNvSpPr txBox="1">
          <a:spLocks noChangeArrowheads="1"/>
        </xdr:cNvSpPr>
      </xdr:nvSpPr>
      <xdr:spPr bwMode="auto">
        <a:xfrm>
          <a:off x="977900" y="12966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825500</xdr:colOff>
      <xdr:row>78</xdr:row>
      <xdr:rowOff>127000</xdr:rowOff>
    </xdr:from>
    <xdr:ext cx="1524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D3B8BC10-E83F-D85F-A13B-79C2C35D7087}"/>
            </a:ext>
          </a:extLst>
        </xdr:cNvPr>
        <xdr:cNvSpPr txBox="1">
          <a:spLocks noChangeArrowheads="1"/>
        </xdr:cNvSpPr>
      </xdr:nvSpPr>
      <xdr:spPr bwMode="auto">
        <a:xfrm>
          <a:off x="1054100" y="142367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774700</xdr:colOff>
      <xdr:row>102</xdr:row>
      <xdr:rowOff>0</xdr:rowOff>
    </xdr:from>
    <xdr:ext cx="139700" cy="127000"/>
    <xdr:sp macro="" textlink="">
      <xdr:nvSpPr>
        <xdr:cNvPr id="1164" name="Text 140">
          <a:extLst>
            <a:ext uri="{FF2B5EF4-FFF2-40B4-BE49-F238E27FC236}">
              <a16:creationId xmlns:a16="http://schemas.microsoft.com/office/drawing/2014/main" id="{4D5479BF-75DF-6ED3-6CFD-396DBC0E61A8}"/>
            </a:ext>
          </a:extLst>
        </xdr:cNvPr>
        <xdr:cNvSpPr txBox="1">
          <a:spLocks noChangeArrowheads="1"/>
        </xdr:cNvSpPr>
      </xdr:nvSpPr>
      <xdr:spPr bwMode="auto">
        <a:xfrm>
          <a:off x="1003300" y="18681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774700</xdr:colOff>
      <xdr:row>109</xdr:row>
      <xdr:rowOff>0</xdr:rowOff>
    </xdr:from>
    <xdr:ext cx="139700" cy="127000"/>
    <xdr:sp macro="" textlink="">
      <xdr:nvSpPr>
        <xdr:cNvPr id="1165" name="Text 141">
          <a:extLst>
            <a:ext uri="{FF2B5EF4-FFF2-40B4-BE49-F238E27FC236}">
              <a16:creationId xmlns:a16="http://schemas.microsoft.com/office/drawing/2014/main" id="{1406BDF1-9EE2-EBCD-2249-48665B7B935D}"/>
            </a:ext>
          </a:extLst>
        </xdr:cNvPr>
        <xdr:cNvSpPr txBox="1">
          <a:spLocks noChangeArrowheads="1"/>
        </xdr:cNvSpPr>
      </xdr:nvSpPr>
      <xdr:spPr bwMode="auto">
        <a:xfrm>
          <a:off x="1003300" y="20015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812800</xdr:colOff>
      <xdr:row>113</xdr:row>
      <xdr:rowOff>0</xdr:rowOff>
    </xdr:from>
    <xdr:ext cx="139700" cy="127000"/>
    <xdr:sp macro="" textlink="">
      <xdr:nvSpPr>
        <xdr:cNvPr id="1166" name="Text 142">
          <a:extLst>
            <a:ext uri="{FF2B5EF4-FFF2-40B4-BE49-F238E27FC236}">
              <a16:creationId xmlns:a16="http://schemas.microsoft.com/office/drawing/2014/main" id="{0C5B6A85-B5AF-CAB0-C30E-8452D1B304FA}"/>
            </a:ext>
          </a:extLst>
        </xdr:cNvPr>
        <xdr:cNvSpPr txBox="1">
          <a:spLocks noChangeArrowheads="1"/>
        </xdr:cNvSpPr>
      </xdr:nvSpPr>
      <xdr:spPr bwMode="auto">
        <a:xfrm>
          <a:off x="1041400" y="20777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419100</xdr:colOff>
      <xdr:row>68</xdr:row>
      <xdr:rowOff>0</xdr:rowOff>
    </xdr:from>
    <xdr:ext cx="139700" cy="127000"/>
    <xdr:sp macro="" textlink="">
      <xdr:nvSpPr>
        <xdr:cNvPr id="1167" name="Text 143">
          <a:extLst>
            <a:ext uri="{FF2B5EF4-FFF2-40B4-BE49-F238E27FC236}">
              <a16:creationId xmlns:a16="http://schemas.microsoft.com/office/drawing/2014/main" id="{A7DDEDDC-DCC1-34E4-C14F-F18A0BF6052C}"/>
            </a:ext>
          </a:extLst>
        </xdr:cNvPr>
        <xdr:cNvSpPr txBox="1">
          <a:spLocks noChangeArrowheads="1"/>
        </xdr:cNvSpPr>
      </xdr:nvSpPr>
      <xdr:spPr bwMode="auto">
        <a:xfrm>
          <a:off x="647700" y="12204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571500</xdr:colOff>
      <xdr:row>69</xdr:row>
      <xdr:rowOff>25400</xdr:rowOff>
    </xdr:from>
    <xdr:ext cx="139700" cy="127000"/>
    <xdr:sp macro="" textlink="">
      <xdr:nvSpPr>
        <xdr:cNvPr id="1168" name="Text 144">
          <a:extLst>
            <a:ext uri="{FF2B5EF4-FFF2-40B4-BE49-F238E27FC236}">
              <a16:creationId xmlns:a16="http://schemas.microsoft.com/office/drawing/2014/main" id="{A367F173-A536-DB93-05A5-A756B2C47E18}"/>
            </a:ext>
          </a:extLst>
        </xdr:cNvPr>
        <xdr:cNvSpPr txBox="1">
          <a:spLocks noChangeArrowheads="1"/>
        </xdr:cNvSpPr>
      </xdr:nvSpPr>
      <xdr:spPr bwMode="auto">
        <a:xfrm>
          <a:off x="800100" y="124206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469900</xdr:colOff>
      <xdr:row>82</xdr:row>
      <xdr:rowOff>127000</xdr:rowOff>
    </xdr:from>
    <xdr:ext cx="139700" cy="139700"/>
    <xdr:sp macro="" textlink="">
      <xdr:nvSpPr>
        <xdr:cNvPr id="1169" name="Text 145">
          <a:extLst>
            <a:ext uri="{FF2B5EF4-FFF2-40B4-BE49-F238E27FC236}">
              <a16:creationId xmlns:a16="http://schemas.microsoft.com/office/drawing/2014/main" id="{082FA657-E39D-03E1-D07A-6C19730B3ABF}"/>
            </a:ext>
          </a:extLst>
        </xdr:cNvPr>
        <xdr:cNvSpPr txBox="1">
          <a:spLocks noChangeArrowheads="1"/>
        </xdr:cNvSpPr>
      </xdr:nvSpPr>
      <xdr:spPr bwMode="auto">
        <a:xfrm>
          <a:off x="698500" y="149987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twoCellAnchor editAs="oneCell">
    <xdr:from>
      <xdr:col>9</xdr:col>
      <xdr:colOff>317500</xdr:colOff>
      <xdr:row>9</xdr:row>
      <xdr:rowOff>63500</xdr:rowOff>
    </xdr:from>
    <xdr:to>
      <xdr:col>9</xdr:col>
      <xdr:colOff>457200</xdr:colOff>
      <xdr:row>10</xdr:row>
      <xdr:rowOff>38100</xdr:rowOff>
    </xdr:to>
    <xdr:sp macro="" textlink="">
      <xdr:nvSpPr>
        <xdr:cNvPr id="1173" name="Text 149">
          <a:extLst>
            <a:ext uri="{FF2B5EF4-FFF2-40B4-BE49-F238E27FC236}">
              <a16:creationId xmlns:a16="http://schemas.microsoft.com/office/drawing/2014/main" id="{69ECB2D5-9D59-AC03-07D4-B78930F221B7}"/>
            </a:ext>
          </a:extLst>
        </xdr:cNvPr>
        <xdr:cNvSpPr txBox="1">
          <a:spLocks noChangeArrowheads="1"/>
        </xdr:cNvSpPr>
      </xdr:nvSpPr>
      <xdr:spPr bwMode="auto">
        <a:xfrm>
          <a:off x="5994400" y="1346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12700</xdr:colOff>
      <xdr:row>13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62D152D9-F2A7-CB2D-9624-0BD1692D591F}"/>
            </a:ext>
          </a:extLst>
        </xdr:cNvPr>
        <xdr:cNvSpPr txBox="1">
          <a:spLocks noChangeArrowheads="1"/>
        </xdr:cNvSpPr>
      </xdr:nvSpPr>
      <xdr:spPr bwMode="auto">
        <a:xfrm>
          <a:off x="2755900" y="977900"/>
          <a:ext cx="5207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 editAs="oneCell">
    <xdr:from>
      <xdr:col>7</xdr:col>
      <xdr:colOff>368300</xdr:colOff>
      <xdr:row>4</xdr:row>
      <xdr:rowOff>12700</xdr:rowOff>
    </xdr:from>
    <xdr:to>
      <xdr:col>8</xdr:col>
      <xdr:colOff>12700</xdr:colOff>
      <xdr:row>5</xdr:row>
      <xdr:rowOff>25400</xdr:rowOff>
    </xdr:to>
    <xdr:sp macro="" textlink="">
      <xdr:nvSpPr>
        <xdr:cNvPr id="1174" name="Text 150">
          <a:extLst>
            <a:ext uri="{FF2B5EF4-FFF2-40B4-BE49-F238E27FC236}">
              <a16:creationId xmlns:a16="http://schemas.microsoft.com/office/drawing/2014/main" id="{B92FF38A-EA3A-36C9-676B-C64E86CE9CE1}"/>
            </a:ext>
          </a:extLst>
        </xdr:cNvPr>
        <xdr:cNvSpPr txBox="1">
          <a:spLocks noChangeArrowheads="1"/>
        </xdr:cNvSpPr>
      </xdr:nvSpPr>
      <xdr:spPr bwMode="auto">
        <a:xfrm>
          <a:off x="5080000" y="533400"/>
          <a:ext cx="1270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AB98-1408-9E46-BA97-B443E707296D}">
  <dimension ref="A1:M130"/>
  <sheetViews>
    <sheetView tabSelected="1" topLeftCell="C106" workbookViewId="0">
      <selection activeCell="K116" sqref="K116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style="7" customWidth="1"/>
    <col min="5" max="10" width="9.5" style="7" customWidth="1"/>
  </cols>
  <sheetData>
    <row r="1" spans="3:5" ht="0.75" customHeight="1"/>
    <row r="2" spans="3:5" ht="17.25" customHeight="1">
      <c r="C2" s="6" t="s">
        <v>0</v>
      </c>
      <c r="E2" s="8" t="s">
        <v>1</v>
      </c>
    </row>
    <row r="11" spans="3:5" ht="11"/>
    <row r="12" spans="3:5" ht="11"/>
    <row r="13" spans="3:5" ht="11"/>
    <row r="14" spans="3:5" ht="11"/>
    <row r="17" spans="1:10" ht="15" customHeight="1">
      <c r="A17" s="1">
        <v>1</v>
      </c>
      <c r="B17" s="1" t="s">
        <v>2</v>
      </c>
      <c r="C17" s="16">
        <v>2751</v>
      </c>
      <c r="D17" s="13">
        <v>74.3</v>
      </c>
      <c r="E17" s="13">
        <v>42.6</v>
      </c>
      <c r="F17" s="13">
        <v>19.100000000000001</v>
      </c>
      <c r="G17" s="13">
        <v>12.5</v>
      </c>
      <c r="H17" s="13">
        <v>18.5</v>
      </c>
      <c r="I17" s="13">
        <v>4.9000000000000004</v>
      </c>
      <c r="J17" s="13">
        <v>2.4</v>
      </c>
    </row>
    <row r="18" spans="1:10" ht="15" customHeight="1">
      <c r="A18" s="1">
        <v>2</v>
      </c>
      <c r="B18" s="1" t="s">
        <v>3</v>
      </c>
      <c r="C18" s="16">
        <v>3858</v>
      </c>
      <c r="D18" s="13">
        <v>78.3</v>
      </c>
      <c r="E18" s="13">
        <v>40.6</v>
      </c>
      <c r="F18" s="13">
        <v>19.3</v>
      </c>
      <c r="G18" s="13">
        <v>13.1</v>
      </c>
      <c r="H18" s="13">
        <v>18.600000000000001</v>
      </c>
      <c r="I18" s="13">
        <v>5.4</v>
      </c>
      <c r="J18" s="13">
        <v>3</v>
      </c>
    </row>
    <row r="19" spans="1:10" ht="15" customHeight="1">
      <c r="A19" s="1">
        <v>3</v>
      </c>
      <c r="B19" s="1" t="s">
        <v>4</v>
      </c>
      <c r="C19" s="16">
        <v>10119</v>
      </c>
      <c r="D19" s="13">
        <v>75.599999999999994</v>
      </c>
      <c r="E19" s="13">
        <v>39.700000000000003</v>
      </c>
      <c r="F19" s="13">
        <v>20.3</v>
      </c>
      <c r="G19" s="13">
        <v>12.2</v>
      </c>
      <c r="H19" s="13">
        <v>19.3</v>
      </c>
      <c r="I19" s="13">
        <v>4.9000000000000004</v>
      </c>
      <c r="J19" s="13">
        <v>3.6</v>
      </c>
    </row>
    <row r="20" spans="1:10" ht="15" customHeight="1">
      <c r="B20" s="2" t="s">
        <v>5</v>
      </c>
      <c r="C20" s="16">
        <f>SUM(C17:C19)</f>
        <v>16728</v>
      </c>
      <c r="D20" s="13">
        <v>76</v>
      </c>
      <c r="E20" s="13">
        <v>40.299999999999997</v>
      </c>
      <c r="F20" s="13">
        <v>19.899999999999999</v>
      </c>
      <c r="G20" s="13">
        <v>12.5</v>
      </c>
      <c r="H20" s="13">
        <v>19</v>
      </c>
      <c r="I20" s="13">
        <v>5</v>
      </c>
      <c r="J20" s="13">
        <v>3.3</v>
      </c>
    </row>
    <row r="21" spans="1:10" ht="15" customHeight="1">
      <c r="C21" s="16"/>
      <c r="D21" s="13"/>
      <c r="E21" s="13"/>
      <c r="F21" s="13"/>
      <c r="G21" s="13"/>
      <c r="H21" s="13"/>
      <c r="I21" s="13"/>
      <c r="J21" s="13"/>
    </row>
    <row r="22" spans="1:10" ht="15" customHeight="1">
      <c r="A22" s="1">
        <v>4</v>
      </c>
      <c r="B22" s="1" t="s">
        <v>6</v>
      </c>
      <c r="C22" s="16">
        <v>302</v>
      </c>
      <c r="D22" s="13">
        <v>80.099999999999994</v>
      </c>
      <c r="E22" s="13">
        <v>55.4</v>
      </c>
      <c r="F22" s="13">
        <v>12.5</v>
      </c>
      <c r="G22" s="13">
        <v>10.4</v>
      </c>
      <c r="H22" s="13">
        <v>13.3</v>
      </c>
      <c r="I22" s="13">
        <v>4.5999999999999996</v>
      </c>
      <c r="J22" s="13">
        <v>3.8</v>
      </c>
    </row>
    <row r="23" spans="1:10" ht="15" customHeight="1">
      <c r="A23" s="1">
        <v>5</v>
      </c>
      <c r="B23" s="1" t="s">
        <v>7</v>
      </c>
      <c r="C23" s="16">
        <v>252</v>
      </c>
      <c r="D23" s="13">
        <v>61.1</v>
      </c>
      <c r="E23" s="13">
        <v>64.5</v>
      </c>
      <c r="F23" s="13">
        <v>12.5</v>
      </c>
      <c r="G23" s="13">
        <v>5.3</v>
      </c>
      <c r="H23" s="13">
        <v>13.1</v>
      </c>
      <c r="I23" s="13">
        <v>2</v>
      </c>
      <c r="J23" s="13">
        <v>2.6</v>
      </c>
    </row>
    <row r="24" spans="1:10" ht="15" customHeight="1">
      <c r="A24" s="1">
        <v>6</v>
      </c>
      <c r="B24" s="1" t="s">
        <v>8</v>
      </c>
      <c r="C24" s="16">
        <v>388</v>
      </c>
      <c r="D24" s="13">
        <v>49.7</v>
      </c>
      <c r="E24" s="13">
        <v>56.4</v>
      </c>
      <c r="F24" s="13">
        <v>24.5</v>
      </c>
      <c r="G24" s="13">
        <v>4.2</v>
      </c>
      <c r="H24" s="13">
        <v>9.6</v>
      </c>
      <c r="I24" s="13">
        <v>1.1000000000000001</v>
      </c>
      <c r="J24" s="13">
        <v>4.2</v>
      </c>
    </row>
    <row r="25" spans="1:10" ht="15" customHeight="1">
      <c r="B25" s="2" t="s">
        <v>9</v>
      </c>
      <c r="C25" s="16">
        <f>C22+C23+C24</f>
        <v>942</v>
      </c>
      <c r="D25" s="13">
        <v>62.5</v>
      </c>
      <c r="E25" s="13">
        <v>58.1</v>
      </c>
      <c r="F25" s="13">
        <v>16.399999999999999</v>
      </c>
      <c r="G25" s="13">
        <v>7.1</v>
      </c>
      <c r="H25" s="13">
        <v>12.1</v>
      </c>
      <c r="I25" s="13">
        <v>2.8</v>
      </c>
      <c r="J25" s="13">
        <v>3.6</v>
      </c>
    </row>
    <row r="26" spans="1:10" ht="15" customHeight="1">
      <c r="C26" s="16"/>
      <c r="D26" s="13"/>
      <c r="E26" s="13"/>
      <c r="F26" s="13"/>
      <c r="G26" s="13"/>
      <c r="H26" s="13"/>
      <c r="I26" s="13"/>
      <c r="J26" s="13"/>
    </row>
    <row r="27" spans="1:10" ht="15" customHeight="1">
      <c r="B27" s="2" t="s">
        <v>10</v>
      </c>
      <c r="C27" s="16">
        <f>C20+C25</f>
        <v>17670</v>
      </c>
      <c r="D27" s="13">
        <v>75.3</v>
      </c>
      <c r="E27" s="13">
        <v>41.1</v>
      </c>
      <c r="F27" s="13">
        <v>19.7</v>
      </c>
      <c r="G27" s="13">
        <v>12.3</v>
      </c>
      <c r="H27" s="13">
        <v>18.7</v>
      </c>
      <c r="I27" s="13">
        <v>4.9000000000000004</v>
      </c>
      <c r="J27" s="13">
        <v>3.3</v>
      </c>
    </row>
    <row r="28" spans="1:10" ht="15" customHeight="1">
      <c r="C28" s="16"/>
      <c r="D28" s="13"/>
      <c r="E28" s="13"/>
      <c r="F28" s="13"/>
      <c r="G28" s="13"/>
      <c r="H28" s="13"/>
      <c r="I28" s="13"/>
      <c r="J28" s="13"/>
    </row>
    <row r="29" spans="1:10" ht="15" customHeight="1">
      <c r="A29" s="1">
        <v>7</v>
      </c>
      <c r="B29" s="1" t="s">
        <v>11</v>
      </c>
      <c r="C29" s="16">
        <v>3833</v>
      </c>
      <c r="D29" s="13">
        <v>78.099999999999994</v>
      </c>
      <c r="E29" s="13">
        <v>45.4</v>
      </c>
      <c r="F29" s="13">
        <v>16.899999999999999</v>
      </c>
      <c r="G29" s="13">
        <v>9.9</v>
      </c>
      <c r="H29" s="13">
        <v>19.5</v>
      </c>
      <c r="I29" s="13">
        <v>4.5</v>
      </c>
      <c r="J29" s="13">
        <v>3.8</v>
      </c>
    </row>
    <row r="30" spans="1:10" ht="15" customHeight="1">
      <c r="A30" s="1">
        <v>8</v>
      </c>
      <c r="B30" s="1" t="s">
        <v>12</v>
      </c>
      <c r="C30" s="16">
        <v>34972</v>
      </c>
      <c r="D30" s="13">
        <v>80.8</v>
      </c>
      <c r="E30" s="13">
        <v>54.2</v>
      </c>
      <c r="F30" s="13">
        <v>13.9</v>
      </c>
      <c r="G30" s="13">
        <v>8</v>
      </c>
      <c r="H30" s="13">
        <v>15.3</v>
      </c>
      <c r="I30" s="13">
        <v>4.2</v>
      </c>
      <c r="J30" s="13">
        <v>4.4000000000000004</v>
      </c>
    </row>
    <row r="31" spans="1:10" ht="15" customHeight="1">
      <c r="A31" s="1">
        <v>9</v>
      </c>
      <c r="B31" s="1" t="s">
        <v>13</v>
      </c>
      <c r="C31" s="16">
        <v>2231</v>
      </c>
      <c r="D31" s="13">
        <v>72.5</v>
      </c>
      <c r="E31" s="13">
        <v>62.1</v>
      </c>
      <c r="F31" s="13">
        <v>12.8</v>
      </c>
      <c r="G31" s="13">
        <v>3.9</v>
      </c>
      <c r="H31" s="13">
        <v>8.4</v>
      </c>
      <c r="I31" s="13">
        <v>4.3</v>
      </c>
      <c r="J31" s="13">
        <v>8.5</v>
      </c>
    </row>
    <row r="32" spans="1:10" ht="15" customHeight="1">
      <c r="B32" s="2" t="s">
        <v>14</v>
      </c>
      <c r="C32" s="16">
        <v>41036</v>
      </c>
      <c r="D32" s="13">
        <v>80.099999999999994</v>
      </c>
      <c r="E32" s="13">
        <v>53.8</v>
      </c>
      <c r="F32" s="13">
        <v>14.1</v>
      </c>
      <c r="G32" s="13">
        <v>8</v>
      </c>
      <c r="H32" s="13">
        <v>15.3</v>
      </c>
      <c r="I32" s="13">
        <v>4.3</v>
      </c>
      <c r="J32" s="13">
        <v>4.5</v>
      </c>
    </row>
    <row r="33" spans="1:10" ht="15" customHeight="1">
      <c r="C33" s="16"/>
      <c r="D33" s="13"/>
      <c r="E33" s="13"/>
      <c r="F33" s="13"/>
      <c r="G33" s="13"/>
      <c r="H33" s="13"/>
      <c r="I33" s="13"/>
      <c r="J33" s="13"/>
    </row>
    <row r="34" spans="1:10" ht="15" customHeight="1">
      <c r="A34" s="1">
        <v>10</v>
      </c>
      <c r="B34" s="1" t="s">
        <v>15</v>
      </c>
      <c r="C34" s="16">
        <v>13239</v>
      </c>
      <c r="D34" s="13">
        <v>80.7</v>
      </c>
      <c r="E34" s="13">
        <v>62.8</v>
      </c>
      <c r="F34" s="13">
        <v>12.8</v>
      </c>
      <c r="G34" s="13">
        <v>5</v>
      </c>
      <c r="H34" s="13">
        <v>10.199999999999999</v>
      </c>
      <c r="I34" s="13">
        <v>3.6</v>
      </c>
      <c r="J34" s="13">
        <v>5.6</v>
      </c>
    </row>
    <row r="35" spans="1:10" ht="15" customHeight="1">
      <c r="B35" s="2" t="s">
        <v>16</v>
      </c>
      <c r="C35" s="16">
        <v>13239</v>
      </c>
      <c r="D35" s="13">
        <v>80.7</v>
      </c>
      <c r="E35" s="13">
        <v>62.8</v>
      </c>
      <c r="F35" s="13">
        <v>12.8</v>
      </c>
      <c r="G35" s="13">
        <v>5</v>
      </c>
      <c r="H35" s="13">
        <v>10.199999999999999</v>
      </c>
      <c r="I35" s="13">
        <v>3.6</v>
      </c>
      <c r="J35" s="13">
        <v>5.6</v>
      </c>
    </row>
    <row r="36" spans="1:10" ht="15" customHeight="1">
      <c r="C36" s="16"/>
      <c r="D36" s="13"/>
      <c r="E36" s="13"/>
      <c r="F36" s="13"/>
      <c r="G36" s="13"/>
      <c r="H36" s="13"/>
      <c r="I36" s="13"/>
      <c r="J36" s="13"/>
    </row>
    <row r="37" spans="1:10" ht="15" customHeight="1">
      <c r="A37" s="1">
        <v>11</v>
      </c>
      <c r="B37" s="1" t="s">
        <v>17</v>
      </c>
      <c r="C37" s="16">
        <v>2811</v>
      </c>
      <c r="D37" s="13">
        <v>88.1</v>
      </c>
      <c r="E37" s="13">
        <v>72.3</v>
      </c>
      <c r="F37" s="13">
        <v>7</v>
      </c>
      <c r="G37" s="13">
        <v>4</v>
      </c>
      <c r="H37" s="13">
        <v>8.4</v>
      </c>
      <c r="I37" s="13">
        <v>4.8</v>
      </c>
      <c r="J37" s="13">
        <v>3.5</v>
      </c>
    </row>
    <row r="38" spans="1:10" ht="15" customHeight="1">
      <c r="A38" s="1">
        <v>12</v>
      </c>
      <c r="B38" s="1" t="s">
        <v>18</v>
      </c>
      <c r="C38" s="16">
        <v>2679</v>
      </c>
      <c r="D38" s="13">
        <v>89.3</v>
      </c>
      <c r="E38" s="13">
        <v>77.900000000000006</v>
      </c>
      <c r="F38" s="13">
        <v>6.9</v>
      </c>
      <c r="G38" s="13">
        <v>3.6</v>
      </c>
      <c r="H38" s="13">
        <v>7</v>
      </c>
      <c r="I38" s="13">
        <v>1.9</v>
      </c>
      <c r="J38" s="13">
        <v>2.7</v>
      </c>
    </row>
    <row r="39" spans="1:10" ht="15" customHeight="1">
      <c r="C39" s="16"/>
      <c r="D39" s="13"/>
      <c r="E39" s="13"/>
      <c r="F39" s="13"/>
      <c r="G39" s="13"/>
      <c r="H39" s="13"/>
      <c r="I39" s="13"/>
      <c r="J39" s="13"/>
    </row>
    <row r="40" spans="1:10" ht="15" customHeight="1">
      <c r="A40" s="1">
        <v>13</v>
      </c>
      <c r="B40" s="1" t="s">
        <v>19</v>
      </c>
      <c r="C40" s="16">
        <v>6639</v>
      </c>
      <c r="D40" s="13">
        <v>82</v>
      </c>
      <c r="E40" s="13">
        <v>59.9</v>
      </c>
      <c r="F40" s="13">
        <v>12.6</v>
      </c>
      <c r="G40" s="13">
        <v>5.2</v>
      </c>
      <c r="H40" s="13">
        <v>11</v>
      </c>
      <c r="I40" s="13">
        <v>5.2</v>
      </c>
      <c r="J40" s="13">
        <v>6.1</v>
      </c>
    </row>
    <row r="41" spans="1:10" ht="15" customHeight="1">
      <c r="A41" s="1">
        <v>14</v>
      </c>
      <c r="B41" s="1" t="s">
        <v>20</v>
      </c>
      <c r="C41" s="16">
        <v>2996</v>
      </c>
      <c r="D41" s="13">
        <v>85.3</v>
      </c>
      <c r="E41" s="13">
        <v>71.2</v>
      </c>
      <c r="F41" s="13">
        <v>7.8</v>
      </c>
      <c r="G41" s="13">
        <v>4.0999999999999996</v>
      </c>
      <c r="H41" s="13">
        <v>7.9</v>
      </c>
      <c r="I41" s="13">
        <v>4</v>
      </c>
      <c r="J41" s="13">
        <v>5</v>
      </c>
    </row>
    <row r="42" spans="1:10" ht="15" customHeight="1">
      <c r="B42" s="2" t="s">
        <v>21</v>
      </c>
      <c r="C42" s="16">
        <f>C40+C41</f>
        <v>9635</v>
      </c>
      <c r="D42" s="13">
        <v>83</v>
      </c>
      <c r="E42" s="13">
        <v>63.5</v>
      </c>
      <c r="F42" s="13">
        <v>11.1</v>
      </c>
      <c r="G42" s="13">
        <v>4.8</v>
      </c>
      <c r="H42" s="13">
        <v>10</v>
      </c>
      <c r="I42" s="13">
        <v>4.8</v>
      </c>
      <c r="J42" s="13">
        <v>5.8</v>
      </c>
    </row>
    <row r="43" spans="1:10" ht="15" customHeight="1">
      <c r="C43" s="16"/>
      <c r="D43" s="13"/>
      <c r="E43" s="13"/>
      <c r="F43" s="13"/>
      <c r="G43" s="13"/>
      <c r="H43" s="13"/>
      <c r="I43" s="13"/>
      <c r="J43" s="13"/>
    </row>
    <row r="44" spans="1:10" ht="15" customHeight="1">
      <c r="A44" s="1">
        <v>15</v>
      </c>
      <c r="B44" s="1" t="s">
        <v>22</v>
      </c>
      <c r="C44" s="16">
        <v>9978</v>
      </c>
      <c r="D44" s="13">
        <v>81.7</v>
      </c>
      <c r="E44" s="13">
        <v>66.7</v>
      </c>
      <c r="F44" s="13">
        <v>10.199999999999999</v>
      </c>
      <c r="G44" s="13">
        <v>5.4</v>
      </c>
      <c r="H44" s="13">
        <v>9.8000000000000007</v>
      </c>
      <c r="I44" s="13">
        <v>3</v>
      </c>
      <c r="J44" s="13">
        <v>4.9000000000000004</v>
      </c>
    </row>
    <row r="45" spans="1:10" ht="15" customHeight="1">
      <c r="A45" s="1">
        <v>16</v>
      </c>
      <c r="B45" s="1" t="s">
        <v>23</v>
      </c>
      <c r="C45" s="16">
        <v>3267</v>
      </c>
      <c r="D45" s="13">
        <v>81.400000000000006</v>
      </c>
      <c r="E45" s="13">
        <v>74</v>
      </c>
      <c r="F45" s="13">
        <v>7.9</v>
      </c>
      <c r="G45" s="13">
        <v>3.9</v>
      </c>
      <c r="H45" s="13">
        <v>7.8</v>
      </c>
      <c r="I45" s="13">
        <v>2</v>
      </c>
      <c r="J45" s="13">
        <v>4.4000000000000004</v>
      </c>
    </row>
    <row r="46" spans="1:10" ht="15" customHeight="1">
      <c r="B46" s="2" t="s">
        <v>24</v>
      </c>
      <c r="C46" s="16">
        <f>C44+C45</f>
        <v>13245</v>
      </c>
      <c r="D46" s="13">
        <v>81.599999999999994</v>
      </c>
      <c r="E46" s="13">
        <v>68.5</v>
      </c>
      <c r="F46" s="13">
        <v>9.6</v>
      </c>
      <c r="G46" s="13">
        <v>4.0999999999999996</v>
      </c>
      <c r="H46" s="13">
        <v>9.3000000000000007</v>
      </c>
      <c r="I46" s="13">
        <v>2.7</v>
      </c>
      <c r="J46" s="13">
        <v>4.8</v>
      </c>
    </row>
    <row r="47" spans="1:10" ht="15" customHeight="1">
      <c r="C47" s="16"/>
      <c r="D47" s="13"/>
      <c r="E47" s="13"/>
      <c r="F47" s="13"/>
      <c r="G47" s="13"/>
      <c r="H47" s="13"/>
      <c r="I47" s="13"/>
      <c r="J47" s="13"/>
    </row>
    <row r="48" spans="1:10" ht="15" customHeight="1">
      <c r="A48" s="1">
        <v>17</v>
      </c>
      <c r="B48" s="1" t="s">
        <v>25</v>
      </c>
      <c r="C48" s="16">
        <v>984</v>
      </c>
      <c r="D48" s="13">
        <v>86.4</v>
      </c>
      <c r="E48" s="13">
        <v>66</v>
      </c>
      <c r="F48" s="13">
        <v>8.6</v>
      </c>
      <c r="G48" s="13">
        <v>5.3</v>
      </c>
      <c r="H48" s="13">
        <v>14.6</v>
      </c>
      <c r="I48" s="13">
        <v>3.2</v>
      </c>
      <c r="J48" s="13">
        <v>2.2999999999999998</v>
      </c>
    </row>
    <row r="49" spans="1:10" ht="15" customHeight="1">
      <c r="A49" s="1">
        <v>18</v>
      </c>
      <c r="B49" s="1" t="s">
        <v>26</v>
      </c>
      <c r="C49" s="16">
        <v>348</v>
      </c>
      <c r="D49" s="13">
        <v>89.4</v>
      </c>
      <c r="E49" s="13">
        <v>57</v>
      </c>
      <c r="F49" s="13">
        <v>12.4</v>
      </c>
      <c r="G49" s="13">
        <v>3.2</v>
      </c>
      <c r="H49" s="13">
        <v>22.5</v>
      </c>
      <c r="I49" s="13">
        <v>2.2999999999999998</v>
      </c>
      <c r="J49" s="13">
        <v>2.6</v>
      </c>
    </row>
    <row r="50" spans="1:10" ht="15" customHeight="1">
      <c r="C50" s="16"/>
      <c r="D50" s="13"/>
      <c r="E50" s="13"/>
      <c r="F50" s="13"/>
      <c r="G50" s="13"/>
      <c r="H50" s="13"/>
      <c r="I50" s="13"/>
      <c r="J50" s="13"/>
    </row>
    <row r="51" spans="1:10" ht="15" customHeight="1">
      <c r="B51" s="2" t="s">
        <v>27</v>
      </c>
      <c r="C51" s="16">
        <f>C32+C35+C37+C38+C42+C46+C48+C49</f>
        <v>83977</v>
      </c>
      <c r="D51" s="13">
        <v>81.5</v>
      </c>
      <c r="E51" s="13">
        <v>61.4</v>
      </c>
      <c r="F51" s="13">
        <v>12.5</v>
      </c>
      <c r="G51" s="13">
        <v>6.3</v>
      </c>
      <c r="H51" s="13">
        <v>12.6</v>
      </c>
      <c r="I51" s="13">
        <v>4</v>
      </c>
      <c r="J51" s="13">
        <v>4.8</v>
      </c>
    </row>
    <row r="52" spans="1:10" ht="15" customHeight="1">
      <c r="C52" s="16"/>
      <c r="D52" s="13"/>
      <c r="E52" s="13"/>
      <c r="F52" s="13"/>
      <c r="G52" s="13"/>
      <c r="H52" s="13"/>
      <c r="I52" s="13"/>
      <c r="J52" s="13"/>
    </row>
    <row r="53" spans="1:10" ht="15" customHeight="1">
      <c r="A53" s="1">
        <v>19</v>
      </c>
      <c r="B53" s="1" t="s">
        <v>28</v>
      </c>
      <c r="C53" s="16">
        <v>15879</v>
      </c>
      <c r="D53" s="13">
        <v>77.400000000000006</v>
      </c>
      <c r="E53" s="13">
        <v>42.1</v>
      </c>
      <c r="F53" s="13">
        <v>18.399999999999999</v>
      </c>
      <c r="G53" s="13">
        <v>11</v>
      </c>
      <c r="H53" s="13">
        <v>19.3</v>
      </c>
      <c r="I53" s="13">
        <v>5.6</v>
      </c>
      <c r="J53" s="13">
        <v>3.6</v>
      </c>
    </row>
    <row r="54" spans="1:10" ht="15" customHeight="1">
      <c r="A54" s="1">
        <v>20</v>
      </c>
      <c r="B54" s="1" t="s">
        <v>29</v>
      </c>
      <c r="C54" s="16">
        <v>18247</v>
      </c>
      <c r="D54" s="13">
        <v>81.7</v>
      </c>
      <c r="E54" s="13">
        <v>41.9</v>
      </c>
      <c r="F54" s="13">
        <v>17.100000000000001</v>
      </c>
      <c r="G54" s="13">
        <v>11.4</v>
      </c>
      <c r="H54" s="13">
        <v>20.9</v>
      </c>
      <c r="I54" s="13">
        <v>4.9000000000000004</v>
      </c>
      <c r="J54" s="13">
        <v>3.8</v>
      </c>
    </row>
    <row r="55" spans="1:10" ht="15" customHeight="1">
      <c r="B55" s="2" t="s">
        <v>30</v>
      </c>
      <c r="C55" s="16">
        <f>C53+C54</f>
        <v>34126</v>
      </c>
      <c r="D55" s="13">
        <v>79.7</v>
      </c>
      <c r="E55" s="13">
        <v>42</v>
      </c>
      <c r="F55" s="13">
        <v>17.7</v>
      </c>
      <c r="G55" s="13">
        <v>11.2</v>
      </c>
      <c r="H55" s="13">
        <v>20.100000000000001</v>
      </c>
      <c r="I55" s="13">
        <v>5.2</v>
      </c>
      <c r="J55" s="13">
        <v>3.7</v>
      </c>
    </row>
    <row r="56" spans="1:10" ht="15" customHeight="1">
      <c r="C56" s="16"/>
      <c r="D56" s="13"/>
      <c r="E56" s="13"/>
      <c r="F56" s="13"/>
      <c r="G56" s="13"/>
      <c r="H56" s="13"/>
      <c r="I56" s="13"/>
      <c r="J56" s="13"/>
    </row>
    <row r="57" spans="1:10" ht="15" customHeight="1">
      <c r="A57" s="1">
        <v>21</v>
      </c>
      <c r="B57" s="1" t="s">
        <v>31</v>
      </c>
      <c r="C57" s="16">
        <v>11767</v>
      </c>
      <c r="D57" s="13">
        <v>76</v>
      </c>
      <c r="E57" s="13">
        <v>26</v>
      </c>
      <c r="F57" s="13">
        <v>26.5</v>
      </c>
      <c r="G57" s="13">
        <v>16.8</v>
      </c>
      <c r="H57" s="13">
        <v>24.1</v>
      </c>
      <c r="I57" s="13">
        <v>3.9</v>
      </c>
      <c r="J57" s="13">
        <v>2.7</v>
      </c>
    </row>
    <row r="58" spans="1:10" ht="15" customHeight="1">
      <c r="A58" s="1">
        <v>22</v>
      </c>
      <c r="B58" s="1" t="s">
        <v>32</v>
      </c>
      <c r="C58" s="16">
        <v>20774</v>
      </c>
      <c r="D58" s="13">
        <v>78</v>
      </c>
      <c r="E58" s="13">
        <v>25.8</v>
      </c>
      <c r="F58" s="13">
        <v>26.5</v>
      </c>
      <c r="G58" s="13">
        <v>17.5</v>
      </c>
      <c r="H58" s="13">
        <v>24.6</v>
      </c>
      <c r="I58" s="13">
        <v>3.6</v>
      </c>
      <c r="J58" s="13">
        <v>2</v>
      </c>
    </row>
    <row r="59" spans="1:10" ht="15" customHeight="1">
      <c r="B59" s="2" t="s">
        <v>33</v>
      </c>
      <c r="C59" s="16">
        <f>C57+C58</f>
        <v>32541</v>
      </c>
      <c r="D59" s="13">
        <v>77.3</v>
      </c>
      <c r="E59" s="13">
        <v>25.9</v>
      </c>
      <c r="F59" s="13">
        <v>26.5</v>
      </c>
      <c r="G59" s="13">
        <v>17.2</v>
      </c>
      <c r="H59" s="13">
        <v>24.4</v>
      </c>
      <c r="I59" s="13">
        <v>3.7</v>
      </c>
      <c r="J59" s="13">
        <v>2.2999999999999998</v>
      </c>
    </row>
    <row r="60" spans="1:10" ht="15" customHeight="1">
      <c r="C60" s="16"/>
      <c r="D60" s="13"/>
      <c r="E60" s="13"/>
      <c r="F60" s="13"/>
      <c r="G60" s="13"/>
      <c r="H60" s="13"/>
      <c r="I60" s="13"/>
      <c r="J60" s="13"/>
    </row>
    <row r="61" spans="1:10" ht="15" customHeight="1">
      <c r="A61" s="1">
        <v>23</v>
      </c>
      <c r="B61" s="1" t="s">
        <v>34</v>
      </c>
      <c r="C61" s="16">
        <v>4446</v>
      </c>
      <c r="D61" s="13">
        <v>80.3</v>
      </c>
      <c r="E61" s="13">
        <v>61.3</v>
      </c>
      <c r="F61" s="13">
        <v>13.5</v>
      </c>
      <c r="G61" s="13">
        <v>6.6</v>
      </c>
      <c r="H61" s="13">
        <v>9.5</v>
      </c>
      <c r="I61" s="13">
        <v>3.9</v>
      </c>
      <c r="J61" s="13">
        <v>5.2</v>
      </c>
    </row>
    <row r="62" spans="1:10" ht="15" customHeight="1">
      <c r="A62" s="1">
        <v>24</v>
      </c>
      <c r="B62" s="1" t="s">
        <v>35</v>
      </c>
      <c r="C62" s="16">
        <v>323</v>
      </c>
      <c r="D62" s="13">
        <v>85.1</v>
      </c>
      <c r="E62" s="13">
        <v>50.9</v>
      </c>
      <c r="F62" s="13">
        <v>22.7</v>
      </c>
      <c r="G62" s="13">
        <v>9.5</v>
      </c>
      <c r="H62" s="13">
        <v>7</v>
      </c>
      <c r="I62" s="13">
        <v>7.7</v>
      </c>
      <c r="J62" s="13">
        <v>2.2000000000000002</v>
      </c>
    </row>
    <row r="63" spans="1:10" ht="15" customHeight="1">
      <c r="A63" s="1">
        <v>25</v>
      </c>
      <c r="B63" s="1" t="s">
        <v>36</v>
      </c>
      <c r="C63" s="16">
        <v>6784</v>
      </c>
      <c r="D63" s="13">
        <v>83.6</v>
      </c>
      <c r="E63" s="13">
        <v>62</v>
      </c>
      <c r="F63" s="13">
        <v>16.5</v>
      </c>
      <c r="G63" s="13">
        <v>6.3</v>
      </c>
      <c r="H63" s="13">
        <v>7.1</v>
      </c>
      <c r="I63" s="13">
        <v>3.6</v>
      </c>
      <c r="J63" s="13">
        <v>4.5</v>
      </c>
    </row>
    <row r="64" spans="1:10" ht="15" customHeight="1">
      <c r="B64" s="2" t="s">
        <v>37</v>
      </c>
      <c r="C64" s="16">
        <f>C61+C62+C63</f>
        <v>11553</v>
      </c>
      <c r="D64" s="13">
        <v>82.4</v>
      </c>
      <c r="E64" s="13">
        <v>61.4</v>
      </c>
      <c r="F64" s="13">
        <v>15.6</v>
      </c>
      <c r="G64" s="13">
        <v>6.5</v>
      </c>
      <c r="H64" s="13">
        <v>8</v>
      </c>
      <c r="I64" s="13">
        <v>3.8</v>
      </c>
      <c r="J64" s="13">
        <v>4.7</v>
      </c>
    </row>
    <row r="65" spans="1:10" ht="15" customHeight="1">
      <c r="C65" s="16" t="s">
        <v>0</v>
      </c>
      <c r="D65" s="13"/>
      <c r="E65" s="13"/>
      <c r="F65" s="13"/>
      <c r="G65" s="13"/>
      <c r="H65" s="13"/>
      <c r="I65" s="13"/>
      <c r="J65" s="13"/>
    </row>
    <row r="66" spans="1:10" ht="15" customHeight="1">
      <c r="A66" s="1">
        <v>25</v>
      </c>
      <c r="B66" s="1" t="s">
        <v>38</v>
      </c>
      <c r="C66" s="16">
        <v>6173</v>
      </c>
      <c r="D66" s="13">
        <v>81</v>
      </c>
      <c r="E66" s="13">
        <v>49.6</v>
      </c>
      <c r="F66" s="13">
        <v>16.399999999999999</v>
      </c>
      <c r="G66" s="13">
        <v>11.1</v>
      </c>
      <c r="H66" s="13">
        <v>16.100000000000001</v>
      </c>
      <c r="I66" s="13">
        <v>4.0999999999999996</v>
      </c>
      <c r="J66" s="13">
        <v>2.7</v>
      </c>
    </row>
    <row r="67" spans="1:10" ht="15" customHeight="1">
      <c r="B67" s="2" t="s">
        <v>39</v>
      </c>
      <c r="C67" s="16">
        <v>6173</v>
      </c>
      <c r="D67" s="13">
        <v>81</v>
      </c>
      <c r="E67" s="13">
        <v>49.6</v>
      </c>
      <c r="F67" s="13">
        <v>16.399999999999999</v>
      </c>
      <c r="G67" s="13">
        <v>11.1</v>
      </c>
      <c r="H67" s="13">
        <v>16.100000000000001</v>
      </c>
      <c r="I67" s="13">
        <v>4.0999999999999996</v>
      </c>
      <c r="J67" s="13">
        <v>2.7</v>
      </c>
    </row>
    <row r="68" spans="1:10" ht="15" customHeight="1">
      <c r="B68" s="3"/>
      <c r="C68" s="16"/>
      <c r="D68" s="13"/>
      <c r="E68" s="13"/>
      <c r="F68" s="13"/>
      <c r="G68" s="13"/>
      <c r="H68" s="13"/>
      <c r="I68" s="13"/>
      <c r="J68" s="13"/>
    </row>
    <row r="69" spans="1:10" ht="15" customHeight="1">
      <c r="A69" s="1">
        <v>27</v>
      </c>
      <c r="B69" s="3" t="s">
        <v>40</v>
      </c>
      <c r="C69" s="16">
        <v>2494</v>
      </c>
      <c r="D69" s="13">
        <v>81.2</v>
      </c>
      <c r="E69" s="13">
        <v>54.2</v>
      </c>
      <c r="F69" s="13">
        <v>14.4</v>
      </c>
      <c r="G69" s="13">
        <v>6.9</v>
      </c>
      <c r="H69" s="13">
        <v>8.9</v>
      </c>
      <c r="I69" s="13">
        <v>6.8</v>
      </c>
      <c r="J69" s="13">
        <v>8.8000000000000007</v>
      </c>
    </row>
    <row r="70" spans="1:10" ht="15" customHeight="1">
      <c r="A70" s="1">
        <v>28</v>
      </c>
      <c r="B70" s="3" t="s">
        <v>41</v>
      </c>
      <c r="C70" s="16">
        <v>4207</v>
      </c>
      <c r="D70" s="13">
        <v>82.7</v>
      </c>
      <c r="E70" s="13">
        <v>43.4</v>
      </c>
      <c r="F70" s="13">
        <v>13.9</v>
      </c>
      <c r="G70" s="13">
        <v>17.8</v>
      </c>
      <c r="H70" s="13">
        <v>16.899999999999999</v>
      </c>
      <c r="I70" s="13">
        <v>4.2</v>
      </c>
      <c r="J70" s="13">
        <v>3.8</v>
      </c>
    </row>
    <row r="71" spans="1:10" ht="15" customHeight="1">
      <c r="C71" s="16"/>
      <c r="D71" s="13"/>
      <c r="E71" s="13"/>
      <c r="F71" s="13"/>
      <c r="G71" s="13"/>
      <c r="H71" s="13"/>
      <c r="I71" s="13"/>
      <c r="J71" s="13"/>
    </row>
    <row r="72" spans="1:10" ht="15" customHeight="1">
      <c r="A72" s="1">
        <v>29</v>
      </c>
      <c r="B72" s="1" t="s">
        <v>42</v>
      </c>
      <c r="C72" s="16">
        <v>8298</v>
      </c>
      <c r="D72" s="13">
        <v>85.8</v>
      </c>
      <c r="E72" s="13">
        <v>66.900000000000006</v>
      </c>
      <c r="F72" s="13">
        <v>11</v>
      </c>
      <c r="G72" s="13">
        <v>4.5999999999999996</v>
      </c>
      <c r="H72" s="13">
        <v>9</v>
      </c>
      <c r="I72" s="13">
        <v>2.8</v>
      </c>
      <c r="J72" s="13">
        <v>5.7</v>
      </c>
    </row>
    <row r="73" spans="1:10" ht="15" customHeight="1">
      <c r="B73" s="2" t="s">
        <v>43</v>
      </c>
      <c r="C73" s="16">
        <v>8298</v>
      </c>
      <c r="D73" s="13">
        <v>85.8</v>
      </c>
      <c r="E73" s="13">
        <v>66.900000000000006</v>
      </c>
      <c r="F73" s="13">
        <v>11</v>
      </c>
      <c r="G73" s="13">
        <v>4.5999999999999996</v>
      </c>
      <c r="H73" s="13">
        <v>9</v>
      </c>
      <c r="I73" s="13">
        <v>2.8</v>
      </c>
      <c r="J73" s="13">
        <v>5.7</v>
      </c>
    </row>
    <row r="74" spans="1:10" ht="15" customHeight="1">
      <c r="C74" s="16"/>
      <c r="D74" s="13"/>
      <c r="E74" s="13"/>
      <c r="F74" s="13"/>
      <c r="G74" s="13"/>
      <c r="H74" s="13"/>
      <c r="I74" s="13"/>
      <c r="J74" s="13"/>
    </row>
    <row r="75" spans="1:10" ht="15" customHeight="1">
      <c r="A75" s="1">
        <v>30</v>
      </c>
      <c r="B75" s="1" t="s">
        <v>44</v>
      </c>
      <c r="C75" s="16">
        <v>9077</v>
      </c>
      <c r="D75" s="13">
        <v>83.1</v>
      </c>
      <c r="E75" s="13">
        <v>64.7</v>
      </c>
      <c r="F75" s="13">
        <v>11.7</v>
      </c>
      <c r="G75" s="13">
        <v>5</v>
      </c>
      <c r="H75" s="13">
        <v>9.5</v>
      </c>
      <c r="I75" s="13">
        <v>4.0999999999999996</v>
      </c>
      <c r="J75" s="13">
        <v>5</v>
      </c>
    </row>
    <row r="76" spans="1:10" ht="15" customHeight="1">
      <c r="A76" s="1">
        <v>31</v>
      </c>
      <c r="B76" s="1" t="s">
        <v>45</v>
      </c>
      <c r="C76" s="16">
        <v>10919</v>
      </c>
      <c r="D76" s="13">
        <v>83.7</v>
      </c>
      <c r="E76" s="13">
        <v>61.9</v>
      </c>
      <c r="F76" s="13">
        <v>12.1</v>
      </c>
      <c r="G76" s="13">
        <v>6.5</v>
      </c>
      <c r="H76" s="13">
        <v>11.4</v>
      </c>
      <c r="I76" s="13">
        <v>3.5</v>
      </c>
      <c r="J76" s="13">
        <v>4.5999999999999996</v>
      </c>
    </row>
    <row r="77" spans="1:10" ht="15" customHeight="1">
      <c r="A77" s="1">
        <v>32</v>
      </c>
      <c r="B77" s="1" t="s">
        <v>46</v>
      </c>
      <c r="C77" s="16">
        <v>7817</v>
      </c>
      <c r="D77" s="13">
        <v>84.3</v>
      </c>
      <c r="E77" s="13">
        <v>63</v>
      </c>
      <c r="F77" s="13">
        <v>14.5</v>
      </c>
      <c r="G77" s="13">
        <v>4.4000000000000004</v>
      </c>
      <c r="H77" s="13">
        <v>10.199999999999999</v>
      </c>
      <c r="I77" s="13">
        <v>3.1</v>
      </c>
      <c r="J77" s="13">
        <v>4.8</v>
      </c>
    </row>
    <row r="78" spans="1:10" ht="15" customHeight="1">
      <c r="A78" s="1">
        <v>33</v>
      </c>
      <c r="B78" s="1" t="s">
        <v>47</v>
      </c>
      <c r="C78" s="16">
        <v>3078</v>
      </c>
      <c r="D78" s="13">
        <v>88.4</v>
      </c>
      <c r="E78" s="13">
        <v>69.5</v>
      </c>
      <c r="F78" s="13">
        <v>10.5</v>
      </c>
      <c r="G78" s="13">
        <v>4.2</v>
      </c>
      <c r="H78" s="13">
        <v>8.1</v>
      </c>
      <c r="I78" s="13">
        <v>4</v>
      </c>
      <c r="J78" s="13">
        <v>3.7</v>
      </c>
    </row>
    <row r="79" spans="1:10" ht="15" customHeight="1">
      <c r="A79" s="1">
        <v>34</v>
      </c>
      <c r="B79" s="1" t="s">
        <v>48</v>
      </c>
      <c r="C79" s="16">
        <v>1559</v>
      </c>
      <c r="D79" s="13">
        <v>89.9</v>
      </c>
      <c r="E79" s="13">
        <v>65.7</v>
      </c>
      <c r="F79" s="13">
        <v>11.3</v>
      </c>
      <c r="G79" s="13">
        <v>3.7</v>
      </c>
      <c r="H79" s="13">
        <v>13.7</v>
      </c>
      <c r="I79" s="13">
        <v>3.6</v>
      </c>
      <c r="J79" s="13">
        <v>2</v>
      </c>
    </row>
    <row r="80" spans="1:10" ht="15" customHeight="1">
      <c r="B80" s="2" t="s">
        <v>49</v>
      </c>
      <c r="C80" s="16">
        <f>C75+C76+C77+C78+C79</f>
        <v>32450</v>
      </c>
      <c r="D80" s="12">
        <v>84.4</v>
      </c>
      <c r="E80" s="12">
        <v>63.9</v>
      </c>
      <c r="F80" s="12">
        <v>12.4</v>
      </c>
      <c r="G80" s="12">
        <v>5.2</v>
      </c>
      <c r="H80" s="12">
        <v>10.4</v>
      </c>
      <c r="I80" s="12">
        <v>3.6</v>
      </c>
      <c r="J80" s="12">
        <v>4.5</v>
      </c>
    </row>
    <row r="81" spans="1:10" ht="15" customHeight="1">
      <c r="C81" s="16"/>
      <c r="D81" s="13"/>
      <c r="E81" s="13"/>
      <c r="F81" s="13"/>
      <c r="G81" s="13"/>
      <c r="H81" s="13"/>
      <c r="I81" s="13"/>
      <c r="J81" s="13"/>
    </row>
    <row r="82" spans="1:10" ht="15" customHeight="1">
      <c r="B82" s="2" t="s">
        <v>50</v>
      </c>
      <c r="C82" s="16">
        <f>C55+C59+C64+C67+C69+C70+C73+C80</f>
        <v>131842</v>
      </c>
      <c r="D82" s="13">
        <v>81.099999999999994</v>
      </c>
      <c r="E82" s="13">
        <v>47.8</v>
      </c>
      <c r="F82" s="13">
        <v>17.5</v>
      </c>
      <c r="G82" s="13">
        <v>10.4</v>
      </c>
      <c r="H82" s="13">
        <v>16.3</v>
      </c>
      <c r="I82" s="13">
        <v>4.0999999999999996</v>
      </c>
      <c r="J82" s="13">
        <v>3.8</v>
      </c>
    </row>
    <row r="83" spans="1:10" ht="15" customHeight="1">
      <c r="B83" s="3"/>
      <c r="C83" s="16"/>
      <c r="D83" s="13"/>
      <c r="E83" s="13"/>
      <c r="F83" s="13"/>
      <c r="G83" s="13"/>
      <c r="H83" s="13"/>
      <c r="I83" s="13"/>
      <c r="J83" s="13"/>
    </row>
    <row r="84" spans="1:10" ht="15" customHeight="1">
      <c r="A84" s="1">
        <v>35</v>
      </c>
      <c r="B84" s="3" t="s">
        <v>51</v>
      </c>
      <c r="C84" s="16">
        <v>463</v>
      </c>
      <c r="D84" s="13">
        <v>79</v>
      </c>
      <c r="E84" s="13">
        <v>33.4</v>
      </c>
      <c r="F84" s="13">
        <v>15.4</v>
      </c>
      <c r="G84" s="13">
        <v>17.100000000000001</v>
      </c>
      <c r="H84" s="13">
        <v>26.7</v>
      </c>
      <c r="I84" s="13">
        <v>4.4000000000000004</v>
      </c>
      <c r="J84" s="13">
        <v>3</v>
      </c>
    </row>
    <row r="85" spans="1:10" ht="15" customHeight="1">
      <c r="B85" s="3"/>
      <c r="C85" s="16"/>
      <c r="D85" s="13"/>
      <c r="E85" s="13"/>
      <c r="F85" s="13"/>
      <c r="G85" s="13"/>
      <c r="H85" s="13"/>
      <c r="I85" s="13"/>
      <c r="J85" s="13"/>
    </row>
    <row r="86" spans="1:10" ht="15" customHeight="1">
      <c r="A86" s="1">
        <v>36</v>
      </c>
      <c r="B86" s="3" t="s">
        <v>52</v>
      </c>
      <c r="C86" s="16">
        <v>26889</v>
      </c>
      <c r="D86" s="13">
        <v>81.599999999999994</v>
      </c>
      <c r="E86" s="13">
        <v>60.2</v>
      </c>
      <c r="F86" s="13">
        <v>13.3</v>
      </c>
      <c r="G86" s="13">
        <v>6.1</v>
      </c>
      <c r="H86" s="13">
        <v>11.4</v>
      </c>
      <c r="I86" s="13">
        <v>4.0999999999999996</v>
      </c>
      <c r="J86" s="13">
        <v>4.9000000000000004</v>
      </c>
    </row>
    <row r="87" spans="1:10" ht="15" customHeight="1">
      <c r="B87" s="4" t="s">
        <v>53</v>
      </c>
      <c r="C87" s="16">
        <v>26889</v>
      </c>
      <c r="D87" s="13">
        <v>81.599999999999994</v>
      </c>
      <c r="E87" s="13">
        <v>60.2</v>
      </c>
      <c r="F87" s="13">
        <v>13.3</v>
      </c>
      <c r="G87" s="13">
        <v>6.1</v>
      </c>
      <c r="H87" s="13">
        <v>11.4</v>
      </c>
      <c r="I87" s="13">
        <v>4.0999999999999996</v>
      </c>
      <c r="J87" s="13">
        <v>4.9000000000000004</v>
      </c>
    </row>
    <row r="88" spans="1:10" ht="15" customHeight="1">
      <c r="B88" s="3"/>
      <c r="C88" s="16"/>
      <c r="D88" s="13"/>
      <c r="E88" s="13"/>
      <c r="F88" s="13"/>
      <c r="G88" s="13"/>
      <c r="H88" s="13"/>
      <c r="I88" s="13"/>
      <c r="J88" s="13"/>
    </row>
    <row r="89" spans="1:10" ht="15" customHeight="1">
      <c r="A89" s="1">
        <v>37</v>
      </c>
      <c r="B89" s="1" t="s">
        <v>54</v>
      </c>
      <c r="C89" s="16">
        <v>3287</v>
      </c>
      <c r="D89" s="13">
        <v>81.099999999999994</v>
      </c>
      <c r="E89" s="13">
        <v>56.5</v>
      </c>
      <c r="F89" s="13">
        <v>14.7</v>
      </c>
      <c r="G89" s="13">
        <v>7.7</v>
      </c>
      <c r="H89" s="13">
        <v>12.6</v>
      </c>
      <c r="I89" s="13">
        <v>4</v>
      </c>
      <c r="J89" s="13">
        <v>4.5</v>
      </c>
    </row>
    <row r="90" spans="1:10" ht="15" customHeight="1">
      <c r="A90" s="1">
        <v>38</v>
      </c>
      <c r="B90" s="1" t="s">
        <v>55</v>
      </c>
      <c r="C90" s="16">
        <v>21629</v>
      </c>
      <c r="D90" s="13">
        <v>82.2</v>
      </c>
      <c r="E90" s="13">
        <v>61.6</v>
      </c>
      <c r="F90" s="13">
        <v>12.7</v>
      </c>
      <c r="G90" s="13">
        <v>6.1</v>
      </c>
      <c r="H90" s="13">
        <v>10.9</v>
      </c>
      <c r="I90" s="13">
        <v>3.4</v>
      </c>
      <c r="J90" s="13">
        <v>5.3</v>
      </c>
    </row>
    <row r="91" spans="1:10" ht="15" customHeight="1">
      <c r="A91" s="1">
        <v>39</v>
      </c>
      <c r="B91" s="1" t="s">
        <v>56</v>
      </c>
      <c r="C91" s="16">
        <v>10260</v>
      </c>
      <c r="D91" s="13">
        <v>82</v>
      </c>
      <c r="E91" s="13">
        <v>68.2</v>
      </c>
      <c r="F91" s="13">
        <v>9.1999999999999993</v>
      </c>
      <c r="G91" s="13">
        <v>3.7</v>
      </c>
      <c r="H91" s="13">
        <v>6.6</v>
      </c>
      <c r="I91" s="13">
        <v>2.5</v>
      </c>
      <c r="J91" s="13">
        <v>9.8000000000000007</v>
      </c>
    </row>
    <row r="92" spans="1:10" ht="15" customHeight="1">
      <c r="B92" s="2" t="s">
        <v>57</v>
      </c>
      <c r="C92" s="16">
        <f>C89+C90+C91</f>
        <v>35176</v>
      </c>
      <c r="D92" s="13">
        <v>82</v>
      </c>
      <c r="E92" s="13">
        <v>63.1</v>
      </c>
      <c r="F92" s="13">
        <v>11.9</v>
      </c>
      <c r="G92" s="13">
        <v>5.5</v>
      </c>
      <c r="H92" s="13">
        <v>9.8000000000000007</v>
      </c>
      <c r="I92" s="13">
        <v>3.4</v>
      </c>
      <c r="J92" s="13">
        <v>6.5</v>
      </c>
    </row>
    <row r="93" spans="1:10" ht="15" customHeight="1">
      <c r="C93" s="16"/>
      <c r="D93" s="13"/>
      <c r="E93" s="13"/>
      <c r="F93" s="13"/>
      <c r="G93" s="13"/>
      <c r="H93" s="13"/>
      <c r="I93" s="13"/>
      <c r="J93" s="13"/>
    </row>
    <row r="94" spans="1:10" ht="15" customHeight="1">
      <c r="A94" s="1">
        <v>40</v>
      </c>
      <c r="B94" s="1" t="s">
        <v>58</v>
      </c>
      <c r="C94" s="16">
        <v>24643</v>
      </c>
      <c r="D94" s="13">
        <v>80.7</v>
      </c>
      <c r="E94" s="13">
        <v>68.8</v>
      </c>
      <c r="F94" s="13">
        <v>10.4</v>
      </c>
      <c r="G94" s="13">
        <v>3.4</v>
      </c>
      <c r="H94" s="13">
        <v>7.2</v>
      </c>
      <c r="I94" s="13">
        <v>3</v>
      </c>
      <c r="J94" s="13">
        <v>7.2</v>
      </c>
    </row>
    <row r="95" spans="1:10" ht="15" customHeight="1">
      <c r="A95" s="1">
        <v>41</v>
      </c>
      <c r="B95" s="1" t="s">
        <v>59</v>
      </c>
      <c r="C95" s="16">
        <v>8006</v>
      </c>
      <c r="D95" s="13">
        <v>81.7</v>
      </c>
      <c r="E95" s="13">
        <v>70.8</v>
      </c>
      <c r="F95" s="13">
        <v>10</v>
      </c>
      <c r="G95" s="13">
        <v>2.7</v>
      </c>
      <c r="H95" s="13">
        <v>6.4</v>
      </c>
      <c r="I95" s="13">
        <v>3.3</v>
      </c>
      <c r="J95" s="13">
        <v>6.8</v>
      </c>
    </row>
    <row r="96" spans="1:10" ht="15" customHeight="1">
      <c r="B96" s="2" t="s">
        <v>60</v>
      </c>
      <c r="C96" s="16">
        <f>C94+C95</f>
        <v>32649</v>
      </c>
      <c r="D96" s="13">
        <v>81</v>
      </c>
      <c r="E96" s="13">
        <v>69.3</v>
      </c>
      <c r="F96" s="13">
        <v>10.3</v>
      </c>
      <c r="G96" s="13">
        <v>3.3</v>
      </c>
      <c r="H96" s="13">
        <v>7</v>
      </c>
      <c r="I96" s="13">
        <v>3.1</v>
      </c>
      <c r="J96" s="13">
        <v>7</v>
      </c>
    </row>
    <row r="97" spans="1:10" ht="15" customHeight="1">
      <c r="C97" s="16"/>
      <c r="D97" s="13"/>
      <c r="E97" s="13"/>
      <c r="F97" s="13"/>
      <c r="G97" s="13"/>
      <c r="H97" s="13"/>
      <c r="I97" s="13"/>
      <c r="J97" s="13"/>
    </row>
    <row r="98" spans="1:10" ht="15" customHeight="1">
      <c r="B98" s="2" t="s">
        <v>61</v>
      </c>
      <c r="C98" s="16">
        <f>C84+C87+C92+C96</f>
        <v>95177</v>
      </c>
      <c r="D98" s="13">
        <v>81.5</v>
      </c>
      <c r="E98" s="13">
        <v>64.2</v>
      </c>
      <c r="F98" s="13">
        <v>11.8</v>
      </c>
      <c r="G98" s="13">
        <v>5</v>
      </c>
      <c r="H98" s="13">
        <v>9.3000000000000007</v>
      </c>
      <c r="I98" s="13">
        <v>3.4</v>
      </c>
      <c r="J98" s="13">
        <v>6.2</v>
      </c>
    </row>
    <row r="99" spans="1:10" ht="15" customHeight="1">
      <c r="C99" s="16"/>
      <c r="D99" s="13"/>
      <c r="E99" s="13"/>
      <c r="F99" s="13"/>
      <c r="G99" s="13"/>
      <c r="H99" s="13"/>
      <c r="I99" s="13"/>
      <c r="J99" s="13"/>
    </row>
    <row r="100" spans="1:10" ht="15" customHeight="1">
      <c r="A100" s="1">
        <v>42</v>
      </c>
      <c r="B100" s="1" t="s">
        <v>62</v>
      </c>
      <c r="C100" s="16">
        <v>4296</v>
      </c>
      <c r="D100" s="13">
        <v>80.3</v>
      </c>
      <c r="E100" s="13">
        <v>66.900000000000006</v>
      </c>
      <c r="F100" s="13">
        <v>10.9</v>
      </c>
      <c r="G100" s="13">
        <v>4.3</v>
      </c>
      <c r="H100" s="13">
        <v>10</v>
      </c>
      <c r="I100" s="13">
        <v>3.2</v>
      </c>
      <c r="J100" s="13">
        <v>4.7</v>
      </c>
    </row>
    <row r="101" spans="1:10" ht="15" customHeight="1">
      <c r="A101" s="1">
        <v>43</v>
      </c>
      <c r="B101" s="1" t="s">
        <v>63</v>
      </c>
      <c r="C101" s="16">
        <v>295</v>
      </c>
      <c r="D101" s="13">
        <v>88.5</v>
      </c>
      <c r="E101" s="13">
        <v>51.9</v>
      </c>
      <c r="F101" s="13">
        <v>13.9</v>
      </c>
      <c r="G101" s="13">
        <v>7.3</v>
      </c>
      <c r="H101" s="13">
        <v>20</v>
      </c>
      <c r="I101" s="13">
        <v>3.8</v>
      </c>
      <c r="J101" s="13">
        <v>3.1</v>
      </c>
    </row>
    <row r="102" spans="1:10" ht="15" customHeight="1">
      <c r="A102" s="1">
        <v>44</v>
      </c>
      <c r="B102" s="1" t="s">
        <v>64</v>
      </c>
      <c r="C102" s="16">
        <v>12568</v>
      </c>
      <c r="D102" s="13">
        <v>79.2</v>
      </c>
      <c r="E102" s="13">
        <v>50.7</v>
      </c>
      <c r="F102" s="13">
        <v>17.3</v>
      </c>
      <c r="G102" s="13">
        <v>6.7</v>
      </c>
      <c r="H102" s="13">
        <v>16.600000000000001</v>
      </c>
      <c r="I102" s="13">
        <v>3.7</v>
      </c>
      <c r="J102" s="13">
        <v>5</v>
      </c>
    </row>
    <row r="103" spans="1:10" ht="15" customHeight="1">
      <c r="B103" s="17" t="s">
        <v>65</v>
      </c>
      <c r="C103" s="16">
        <f>C100+C101+C102</f>
        <v>17159</v>
      </c>
      <c r="D103" s="13">
        <v>79.599999999999994</v>
      </c>
      <c r="E103" s="13">
        <v>54.8</v>
      </c>
      <c r="F103" s="13">
        <v>15.6</v>
      </c>
      <c r="G103" s="13">
        <v>6.1</v>
      </c>
      <c r="H103" s="13">
        <v>15</v>
      </c>
      <c r="I103" s="13">
        <v>3.6</v>
      </c>
      <c r="J103" s="13">
        <v>4.9000000000000004</v>
      </c>
    </row>
    <row r="104" spans="1:10" ht="15" customHeight="1">
      <c r="B104" s="3"/>
      <c r="C104" s="16"/>
      <c r="D104" s="13"/>
      <c r="E104" s="13"/>
      <c r="F104" s="13"/>
      <c r="G104" s="13"/>
      <c r="H104" s="13"/>
      <c r="I104" s="13"/>
      <c r="J104" s="13"/>
    </row>
    <row r="105" spans="1:10" ht="15" customHeight="1">
      <c r="A105" s="1">
        <v>45</v>
      </c>
      <c r="B105" s="1" t="s">
        <v>66</v>
      </c>
      <c r="C105" s="16">
        <v>3811</v>
      </c>
      <c r="D105" s="13">
        <v>78.8</v>
      </c>
      <c r="E105" s="13">
        <v>41.9</v>
      </c>
      <c r="F105" s="13">
        <v>19</v>
      </c>
      <c r="G105" s="13">
        <v>7.7</v>
      </c>
      <c r="H105" s="13">
        <v>23.1</v>
      </c>
      <c r="I105" s="13">
        <v>4</v>
      </c>
      <c r="J105" s="13">
        <v>4.3</v>
      </c>
    </row>
    <row r="106" spans="1:10" ht="15" customHeight="1">
      <c r="A106" s="1">
        <v>46</v>
      </c>
      <c r="B106" s="1" t="s">
        <v>67</v>
      </c>
      <c r="C106" s="16">
        <v>4780</v>
      </c>
      <c r="D106" s="13">
        <v>77.099999999999994</v>
      </c>
      <c r="E106" s="13">
        <v>60.3</v>
      </c>
      <c r="F106" s="13">
        <v>17</v>
      </c>
      <c r="G106" s="13">
        <v>3.2</v>
      </c>
      <c r="H106" s="13">
        <v>10.4</v>
      </c>
      <c r="I106" s="13">
        <v>3.4</v>
      </c>
      <c r="J106" s="13">
        <v>5.7</v>
      </c>
    </row>
    <row r="107" spans="1:10" ht="15" customHeight="1">
      <c r="A107" s="1">
        <v>47</v>
      </c>
      <c r="B107" s="1" t="s">
        <v>68</v>
      </c>
      <c r="C107" s="16">
        <v>2243</v>
      </c>
      <c r="D107" s="13">
        <v>81.7</v>
      </c>
      <c r="E107" s="13">
        <v>54.7</v>
      </c>
      <c r="F107" s="13">
        <v>15.3</v>
      </c>
      <c r="G107" s="13">
        <v>4.7</v>
      </c>
      <c r="H107" s="13">
        <v>14.8</v>
      </c>
      <c r="I107" s="13">
        <v>2.4</v>
      </c>
      <c r="J107" s="13">
        <v>8.1</v>
      </c>
    </row>
    <row r="108" spans="1:10" ht="15" customHeight="1">
      <c r="A108" s="1">
        <v>48</v>
      </c>
      <c r="B108" s="1" t="s">
        <v>69</v>
      </c>
      <c r="C108" s="16">
        <v>7598</v>
      </c>
      <c r="D108" s="13">
        <v>81.7</v>
      </c>
      <c r="E108" s="13">
        <v>61.1</v>
      </c>
      <c r="F108" s="13">
        <v>14.2</v>
      </c>
      <c r="G108" s="13">
        <v>2.7</v>
      </c>
      <c r="H108" s="13">
        <v>11.5</v>
      </c>
      <c r="I108" s="13">
        <v>3.2</v>
      </c>
      <c r="J108" s="13">
        <v>7.3</v>
      </c>
    </row>
    <row r="109" spans="1:10" ht="15" customHeight="1">
      <c r="A109" s="1">
        <v>49</v>
      </c>
      <c r="B109" s="1" t="s">
        <v>70</v>
      </c>
      <c r="C109" s="16">
        <v>6635</v>
      </c>
      <c r="D109" s="13">
        <v>81.900000000000006</v>
      </c>
      <c r="E109" s="13">
        <v>60.4</v>
      </c>
      <c r="F109" s="13">
        <v>15.9</v>
      </c>
      <c r="G109" s="13">
        <v>3.2</v>
      </c>
      <c r="H109" s="13">
        <v>9.5</v>
      </c>
      <c r="I109" s="13">
        <v>3.5</v>
      </c>
      <c r="J109" s="13">
        <v>7.5</v>
      </c>
    </row>
    <row r="110" spans="1:10" ht="15" customHeight="1">
      <c r="B110" s="2" t="s">
        <v>71</v>
      </c>
      <c r="C110" s="16">
        <f>C105+C106+C107+C108+C109</f>
        <v>25067</v>
      </c>
      <c r="D110" s="13">
        <v>80.400000000000006</v>
      </c>
      <c r="E110" s="13">
        <v>57.3</v>
      </c>
      <c r="F110" s="13">
        <v>16</v>
      </c>
      <c r="G110" s="13">
        <v>3.9</v>
      </c>
      <c r="H110" s="13">
        <v>12.8</v>
      </c>
      <c r="I110" s="13">
        <v>3.4</v>
      </c>
      <c r="J110" s="13">
        <v>6.7</v>
      </c>
    </row>
    <row r="111" spans="1:10" ht="15" customHeight="1">
      <c r="C111" s="16"/>
      <c r="D111" s="13"/>
      <c r="E111" s="13"/>
      <c r="F111" s="13"/>
      <c r="G111" s="13"/>
      <c r="H111" s="13"/>
      <c r="I111" s="13"/>
      <c r="J111" s="13"/>
    </row>
    <row r="112" spans="1:10" ht="15" customHeight="1">
      <c r="A112" s="1">
        <v>50</v>
      </c>
      <c r="B112" s="1" t="s">
        <v>72</v>
      </c>
      <c r="C112" s="16">
        <v>16052</v>
      </c>
      <c r="D112" s="13">
        <v>81.2</v>
      </c>
      <c r="E112" s="13">
        <v>53.9</v>
      </c>
      <c r="F112" s="13">
        <v>19.8</v>
      </c>
      <c r="G112" s="13">
        <v>3.8</v>
      </c>
      <c r="H112" s="13">
        <v>11.6</v>
      </c>
      <c r="I112" s="13">
        <v>4.0999999999999996</v>
      </c>
      <c r="J112" s="13">
        <v>6.8</v>
      </c>
    </row>
    <row r="113" spans="1:10" ht="15" customHeight="1">
      <c r="A113" s="1">
        <v>51</v>
      </c>
      <c r="B113" s="1" t="s">
        <v>73</v>
      </c>
      <c r="C113" s="16">
        <v>4637</v>
      </c>
      <c r="D113" s="13">
        <v>78.400000000000006</v>
      </c>
      <c r="E113" s="13">
        <v>55.7</v>
      </c>
      <c r="F113" s="13">
        <v>15.7</v>
      </c>
      <c r="G113" s="13">
        <v>3.4</v>
      </c>
      <c r="H113" s="13">
        <v>11.7</v>
      </c>
      <c r="I113" s="13">
        <v>3.8</v>
      </c>
      <c r="J113" s="13">
        <v>9.6999999999999993</v>
      </c>
    </row>
    <row r="114" spans="1:10" ht="15" customHeight="1">
      <c r="B114" s="2" t="s">
        <v>74</v>
      </c>
      <c r="C114" s="16">
        <f>C112+C113</f>
        <v>20689</v>
      </c>
      <c r="D114" s="13">
        <v>80.599999999999994</v>
      </c>
      <c r="E114" s="13">
        <v>54.3</v>
      </c>
      <c r="F114" s="13">
        <v>18.899999999999999</v>
      </c>
      <c r="G114" s="13">
        <v>3.7</v>
      </c>
      <c r="H114" s="13">
        <v>11.7</v>
      </c>
      <c r="I114" s="13">
        <v>4</v>
      </c>
      <c r="J114" s="13">
        <v>7.4</v>
      </c>
    </row>
    <row r="115" spans="1:10" ht="15" customHeight="1">
      <c r="C115" s="16"/>
      <c r="D115" s="13"/>
      <c r="E115" s="13"/>
      <c r="F115" s="13"/>
      <c r="G115" s="13"/>
      <c r="H115" s="13"/>
      <c r="I115" s="13"/>
      <c r="J115" s="13"/>
    </row>
    <row r="116" spans="1:10" ht="15" customHeight="1">
      <c r="B116" s="2" t="s">
        <v>75</v>
      </c>
      <c r="C116" s="16">
        <f>C103+C110+C114</f>
        <v>62915</v>
      </c>
      <c r="D116" s="13">
        <v>80.3</v>
      </c>
      <c r="E116" s="13">
        <v>55.6</v>
      </c>
      <c r="F116" s="13">
        <v>16.8</v>
      </c>
      <c r="G116" s="13">
        <v>4.4000000000000004</v>
      </c>
      <c r="H116" s="13">
        <v>13</v>
      </c>
      <c r="I116" s="13">
        <v>3.6</v>
      </c>
      <c r="J116" s="13">
        <v>6.5</v>
      </c>
    </row>
    <row r="117" spans="1:10" ht="15" customHeight="1">
      <c r="C117" s="16"/>
      <c r="D117" s="13"/>
      <c r="E117" s="13"/>
      <c r="F117" s="13"/>
      <c r="G117" s="13"/>
      <c r="H117" s="13"/>
      <c r="I117" s="13"/>
      <c r="J117" s="13"/>
    </row>
    <row r="118" spans="1:10" ht="15" customHeight="1">
      <c r="B118" s="2" t="s">
        <v>76</v>
      </c>
      <c r="C118" s="16">
        <f>C27+C51+C82+C98+C116</f>
        <v>391581</v>
      </c>
      <c r="D118" s="13">
        <v>80.900000000000006</v>
      </c>
      <c r="E118" s="13">
        <v>55.5</v>
      </c>
      <c r="F118" s="13">
        <v>15</v>
      </c>
      <c r="G118" s="13">
        <v>7.3</v>
      </c>
      <c r="H118" s="13">
        <v>13.3</v>
      </c>
      <c r="I118" s="13">
        <v>3.9</v>
      </c>
      <c r="J118" s="13">
        <v>5</v>
      </c>
    </row>
    <row r="119" spans="1:10" ht="15" customHeight="1">
      <c r="B119" s="3"/>
      <c r="C119" s="16"/>
      <c r="D119" s="13"/>
      <c r="E119" s="13"/>
      <c r="F119" s="13"/>
      <c r="G119" s="13"/>
      <c r="H119" s="13"/>
      <c r="I119" s="13"/>
      <c r="J119" s="13"/>
    </row>
    <row r="120" spans="1:10" ht="15" customHeight="1">
      <c r="B120" s="5" t="s">
        <v>77</v>
      </c>
      <c r="C120" s="16">
        <v>99261</v>
      </c>
      <c r="D120" s="13">
        <v>72.8</v>
      </c>
      <c r="E120" s="13">
        <v>52.1</v>
      </c>
      <c r="F120" s="13">
        <v>14</v>
      </c>
      <c r="G120" s="13">
        <v>6.4</v>
      </c>
      <c r="H120" s="13">
        <v>19.5</v>
      </c>
      <c r="I120" s="13">
        <v>3.7</v>
      </c>
      <c r="J120" s="13">
        <v>4.3</v>
      </c>
    </row>
    <row r="121" spans="1:10" ht="15" customHeight="1">
      <c r="B121" s="3"/>
      <c r="C121" s="16"/>
      <c r="D121" s="13"/>
      <c r="E121" s="13"/>
      <c r="F121" s="13"/>
      <c r="G121" s="13"/>
      <c r="H121" s="13"/>
      <c r="I121" s="13"/>
      <c r="J121" s="13"/>
    </row>
    <row r="122" spans="1:10" ht="15" customHeight="1">
      <c r="B122" s="9" t="s">
        <v>78</v>
      </c>
      <c r="C122" s="16">
        <v>490842</v>
      </c>
      <c r="D122" s="13">
        <v>79.2</v>
      </c>
      <c r="E122" s="13">
        <v>54.9</v>
      </c>
      <c r="F122" s="13">
        <v>14.8</v>
      </c>
      <c r="G122" s="13">
        <f>100-E122-F122-H122-I122-J122</f>
        <v>7.2</v>
      </c>
      <c r="H122" s="13">
        <v>14.5</v>
      </c>
      <c r="I122" s="13">
        <v>3.8</v>
      </c>
      <c r="J122" s="13">
        <v>4.8</v>
      </c>
    </row>
    <row r="123" spans="1:10" ht="15" customHeight="1"/>
    <row r="124" spans="1:10" ht="15" customHeight="1"/>
    <row r="125" spans="1:10" ht="15" customHeight="1">
      <c r="A125" s="14" t="s">
        <v>79</v>
      </c>
      <c r="B125" s="15"/>
    </row>
    <row r="126" spans="1:10" ht="15" customHeight="1">
      <c r="A126" s="3" t="s">
        <v>80</v>
      </c>
      <c r="B126"/>
    </row>
    <row r="127" spans="1:10" ht="15" customHeight="1">
      <c r="A127" s="1" t="s">
        <v>81</v>
      </c>
      <c r="B127"/>
    </row>
    <row r="128" spans="1:10" ht="15" customHeight="1">
      <c r="A128" s="1" t="s">
        <v>82</v>
      </c>
      <c r="B128"/>
      <c r="C128" s="3"/>
      <c r="D128" s="10"/>
      <c r="E128" s="10"/>
      <c r="F128" s="11"/>
      <c r="I128"/>
      <c r="J128"/>
    </row>
    <row r="129" spans="1:13" ht="15" customHeight="1">
      <c r="A129" s="3" t="s">
        <v>83</v>
      </c>
      <c r="B129" s="3"/>
      <c r="L129" s="11"/>
      <c r="M129" s="11"/>
    </row>
    <row r="130" spans="1:13" ht="12" customHeight="1">
      <c r="A130"/>
    </row>
  </sheetData>
  <printOptions horizontalCentered="1"/>
  <pageMargins left="0.39370078740157483" right="0.39370078740157483" top="0.39370078740157483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Bremen_Bürgerschaft_1959</vt:lpstr>
      <vt:lpstr>Bremen_Bürgerschaft_1959!Druckbereich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2026-03-20T20:14:37Z</dcterms:created>
  <dcterms:modified xsi:type="dcterms:W3CDTF">2026-03-20T20:14:37Z</dcterms:modified>
</cp:coreProperties>
</file>