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E5F6B083-7D95-7742-9CEF-04F390A377B8}" xr6:coauthVersionLast="47" xr6:coauthVersionMax="47" xr10:uidLastSave="{00000000-0000-0000-0000-000000000000}"/>
  <bookViews>
    <workbookView xWindow="0" yWindow="660" windowWidth="30240" windowHeight="17520" xr2:uid="{BE081B69-C122-A245-BDFC-8B11A9095E79}"/>
  </bookViews>
  <sheets>
    <sheet name="Bremen_Bürgerschaft_1967 BHV" sheetId="1" r:id="rId1"/>
  </sheets>
  <definedNames>
    <definedName name="_xlnm.Print_Area" localSheetId="0">'Bremen_Bürgerschaft_1967 BHV'!$A$1:$J$73</definedName>
  </definedNames>
  <calcPr calcId="0" refMode="R1C1"/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C24" i="1"/>
  <c r="D24" i="1"/>
  <c r="E24" i="1"/>
  <c r="F24" i="1"/>
  <c r="G24" i="1"/>
  <c r="H24" i="1"/>
  <c r="I24" i="1"/>
  <c r="C37" i="1"/>
  <c r="D37" i="1"/>
  <c r="E37" i="1"/>
  <c r="F37" i="1"/>
  <c r="G37" i="1"/>
  <c r="H37" i="1"/>
  <c r="I37" i="1"/>
  <c r="C39" i="1"/>
  <c r="D39" i="1"/>
  <c r="E39" i="1"/>
  <c r="F39" i="1"/>
  <c r="G39" i="1"/>
  <c r="H39" i="1"/>
  <c r="I39" i="1"/>
  <c r="C46" i="1"/>
  <c r="D46" i="1"/>
  <c r="E46" i="1"/>
  <c r="F46" i="1"/>
  <c r="G46" i="1"/>
  <c r="H46" i="1"/>
  <c r="I46" i="1"/>
  <c r="C49" i="1"/>
  <c r="D49" i="1"/>
  <c r="E49" i="1"/>
  <c r="F49" i="1"/>
  <c r="G49" i="1"/>
  <c r="H49" i="1"/>
  <c r="I49" i="1"/>
  <c r="C52" i="1"/>
  <c r="D52" i="1"/>
  <c r="E52" i="1"/>
  <c r="F52" i="1"/>
  <c r="G52" i="1"/>
  <c r="H52" i="1"/>
  <c r="I52" i="1"/>
  <c r="C56" i="1"/>
  <c r="D56" i="1"/>
  <c r="E56" i="1"/>
  <c r="F56" i="1"/>
  <c r="G56" i="1"/>
  <c r="H56" i="1"/>
  <c r="I56" i="1"/>
  <c r="C59" i="1"/>
  <c r="D59" i="1"/>
  <c r="E59" i="1"/>
  <c r="F59" i="1"/>
  <c r="G59" i="1"/>
  <c r="H59" i="1"/>
  <c r="I59" i="1"/>
  <c r="C61" i="1"/>
  <c r="D61" i="1"/>
  <c r="E61" i="1"/>
  <c r="F61" i="1"/>
  <c r="G61" i="1"/>
  <c r="H61" i="1"/>
  <c r="I61" i="1"/>
  <c r="D65" i="1"/>
  <c r="E65" i="1"/>
  <c r="F65" i="1"/>
  <c r="G65" i="1"/>
  <c r="H65" i="1"/>
  <c r="I65" i="1"/>
</calcChain>
</file>

<file path=xl/sharedStrings.xml><?xml version="1.0" encoding="utf-8"?>
<sst xmlns="http://schemas.openxmlformats.org/spreadsheetml/2006/main" count="103" uniqueCount="43">
  <si>
    <t>Weddewarden (ohne Briefwahl) *)   ................................................................</t>
  </si>
  <si>
    <t>Stadtteil Weddewarden (ohne Briefwahl)*)   ...................................................</t>
  </si>
  <si>
    <t xml:space="preserve"> </t>
  </si>
  <si>
    <t>Leherheide</t>
  </si>
  <si>
    <t>Lehe Nord</t>
  </si>
  <si>
    <t>Lehe Sued</t>
  </si>
  <si>
    <t>Stadtteil Leherheide   ....................................................................................</t>
  </si>
  <si>
    <t>Speckenb¸ttel (einschl. Briefwahl OT 111)*)   .......................................................</t>
  </si>
  <si>
    <t>Eckernfeld   ........................................................................................................</t>
  </si>
  <si>
    <t>Twischkamp   ....................................................................................</t>
  </si>
  <si>
    <t>Goethestraﬂe   .................................................................................................</t>
  </si>
  <si>
    <t>Klushof   ..........................................................................................................</t>
  </si>
  <si>
    <t>Schierholz (einschl. Briefwahl OT 137)*)   ...............................................................................</t>
  </si>
  <si>
    <t>Buschk‰mpen (ohne Briefwahl)*)   .................................................................................................</t>
  </si>
  <si>
    <t>Stadtteil Lehe (einschl. Briefwahl OT 111)*)   .........................................................................</t>
  </si>
  <si>
    <t>Mitte</t>
  </si>
  <si>
    <t>MItte-Nord   .........................................................................</t>
  </si>
  <si>
    <t>Stadtteil Mitte   .......................................................................</t>
  </si>
  <si>
    <t>Stadtbezirk Nord   ..................................................................................</t>
  </si>
  <si>
    <t>Geestem¸nde West</t>
  </si>
  <si>
    <t>Geestem¸nde Ost</t>
  </si>
  <si>
    <t>Geestem¸nde-S¸d   ...............................................................................................</t>
  </si>
  <si>
    <t>B¸rgerpark  .......................................................................................</t>
  </si>
  <si>
    <t>Gr¸nhˆfe   ...................................................................................................</t>
  </si>
  <si>
    <t>Stadtteil Geestem¸nde  ....................................................................................................</t>
  </si>
  <si>
    <t>Schiffdorferdamm   ..................................................................................</t>
  </si>
  <si>
    <t>Stadtteil Schiffdorferdamm   .................................................................................................</t>
  </si>
  <si>
    <t>Surheide   .............................................................................</t>
  </si>
  <si>
    <t>Stadtteil Surheide   ..................................................................................</t>
  </si>
  <si>
    <t>Wulsdorf</t>
  </si>
  <si>
    <t>Jedutenberg   .........................................................................</t>
  </si>
  <si>
    <t>Stadtteil Wulsdorf (einschl. Briefwahl OT 251)*)   ....................................................................</t>
  </si>
  <si>
    <t>Fischereihafen (ohne Briefwahl)*)   ..........................................................................</t>
  </si>
  <si>
    <t>Stadtteil Fischereihafen (ohne Briefwahl)*)   ....................................................................</t>
  </si>
  <si>
    <t>Stadtbezirk S¸d   .......................................................................</t>
  </si>
  <si>
    <t>Stadt Bremerhaven   ..................................................................................</t>
  </si>
  <si>
    <t>davon</t>
  </si>
  <si>
    <t>Urnenwahl   .............................................................................</t>
  </si>
  <si>
    <t>Briefwahl   .....................................................................................</t>
  </si>
  <si>
    <t>1) Einschl. Wahlscheininhaber.</t>
  </si>
  <si>
    <t>2) DIE GR‹NEN.</t>
  </si>
  <si>
    <t>3) GR‹NE (Bremer Gr¸ne Liste), ASD, BAL, LD.</t>
  </si>
  <si>
    <t>*) Erl‰uterungen sieh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</si>
</sst>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Helv"/>
    </font>
    <font>
      <sz val="8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8">
    <xf numFmtId="0" fontId="0" fillId="0" borderId="0" xfId="0">
      <alignment horizontal="center"/>
    </xf>
    <xf numFmtId="0" fontId="1" fillId="0" borderId="0" xfId="0" applyFont="1" applyAlignment="1">
      <alignment horizontal="left"/>
    </xf>
    <xf numFmtId="0" fontId="1" fillId="0" borderId="0" xfId="0" applyFo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63500</xdr:rowOff>
    </xdr:from>
    <xdr:to>
      <xdr:col>10</xdr:col>
      <xdr:colOff>0</xdr:colOff>
      <xdr:row>7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AD929B3D-D6F6-1C05-8F4E-22D68F970CCC}"/>
            </a:ext>
          </a:extLst>
        </xdr:cNvPr>
        <xdr:cNvSpPr txBox="1">
          <a:spLocks noChangeArrowheads="1"/>
        </xdr:cNvSpPr>
      </xdr:nvSpPr>
      <xdr:spPr bwMode="auto">
        <a:xfrm>
          <a:off x="304800" y="520700"/>
          <a:ext cx="674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     nach Ortsteilen, Stadtteilen und Stadtbezirken (einschl. Briefwahl)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Stadt Bremerhaven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E9910982-7188-8853-7A4B-370FEA872438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89A9EA8D-7D6A-76B1-3AFE-83F90EF06D88}"/>
            </a:ext>
          </a:extLst>
        </xdr:cNvPr>
        <xdr:cNvSpPr txBox="1">
          <a:spLocks noChangeArrowheads="1"/>
        </xdr:cNvSpPr>
      </xdr:nvSpPr>
      <xdr:spPr bwMode="auto">
        <a:xfrm>
          <a:off x="2374900" y="12192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609600</xdr:colOff>
      <xdr:row>10</xdr:row>
      <xdr:rowOff>127000</xdr:rowOff>
    </xdr:from>
    <xdr:ext cx="139700" cy="2159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471119E6-A7CE-AD51-CB38-344E64A96858}"/>
            </a:ext>
          </a:extLst>
        </xdr:cNvPr>
        <xdr:cNvSpPr txBox="1">
          <a:spLocks noChangeArrowheads="1"/>
        </xdr:cNvSpPr>
      </xdr:nvSpPr>
      <xdr:spPr bwMode="auto">
        <a:xfrm>
          <a:off x="2984500" y="16510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1</xdr:col>
      <xdr:colOff>0</xdr:colOff>
      <xdr:row>1</xdr:row>
      <xdr:rowOff>38100</xdr:rowOff>
    </xdr:from>
    <xdr:to>
      <xdr:col>10</xdr:col>
      <xdr:colOff>0</xdr:colOff>
      <xdr:row>3</xdr:row>
      <xdr:rowOff>25400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82794958-ECE6-AD66-CCC7-F1FF042E905F}"/>
            </a:ext>
          </a:extLst>
        </xdr:cNvPr>
        <xdr:cNvSpPr txBox="1">
          <a:spLocks noChangeArrowheads="1"/>
        </xdr:cNvSpPr>
      </xdr:nvSpPr>
      <xdr:spPr bwMode="auto">
        <a:xfrm>
          <a:off x="228600" y="190500"/>
          <a:ext cx="6819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Wahlen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53FC0D42-09AC-0036-D899-34A76D0C7FEB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2E7F18D5-B7BD-1F6F-19B0-C870AEE54FD3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C585D511-D797-E603-E3C4-EE0EE721AB10}"/>
            </a:ext>
          </a:extLst>
        </xdr:cNvPr>
        <xdr:cNvSpPr txBox="1">
          <a:spLocks noChangeArrowheads="1"/>
        </xdr:cNvSpPr>
      </xdr:nvSpPr>
      <xdr:spPr bwMode="auto">
        <a:xfrm>
          <a:off x="3695700" y="12192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12700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7D98DA95-05D0-CB95-F6B6-1C694EC7CDFC}"/>
            </a:ext>
          </a:extLst>
        </xdr:cNvPr>
        <xdr:cNvSpPr txBox="1">
          <a:spLocks noChangeArrowheads="1"/>
        </xdr:cNvSpPr>
      </xdr:nvSpPr>
      <xdr:spPr bwMode="auto">
        <a:xfrm>
          <a:off x="3149600" y="21336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1AF6B2AA-2F16-0B6F-6537-A37960AD2C7F}"/>
            </a:ext>
          </a:extLst>
        </xdr:cNvPr>
        <xdr:cNvSpPr txBox="1">
          <a:spLocks noChangeArrowheads="1"/>
        </xdr:cNvSpPr>
      </xdr:nvSpPr>
      <xdr:spPr bwMode="auto">
        <a:xfrm>
          <a:off x="3695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E26D6037-DBD4-63A1-6E61-FA13A91797C5}"/>
            </a:ext>
          </a:extLst>
        </xdr:cNvPr>
        <xdr:cNvSpPr txBox="1">
          <a:spLocks noChangeArrowheads="1"/>
        </xdr:cNvSpPr>
      </xdr:nvSpPr>
      <xdr:spPr bwMode="auto">
        <a:xfrm>
          <a:off x="42545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2FEDDDA1-360B-237F-CF4A-CBC12FBBC5A5}"/>
            </a:ext>
          </a:extLst>
        </xdr:cNvPr>
        <xdr:cNvSpPr txBox="1">
          <a:spLocks noChangeArrowheads="1"/>
        </xdr:cNvSpPr>
      </xdr:nvSpPr>
      <xdr:spPr bwMode="auto">
        <a:xfrm>
          <a:off x="48133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F.D.P.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D6909E49-8315-B2E8-1956-7D14806863A2}"/>
            </a:ext>
          </a:extLst>
        </xdr:cNvPr>
        <xdr:cNvSpPr txBox="1">
          <a:spLocks noChangeArrowheads="1"/>
        </xdr:cNvSpPr>
      </xdr:nvSpPr>
      <xdr:spPr bwMode="auto">
        <a:xfrm>
          <a:off x="53721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NPD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0786562A-CCC6-AEBC-3703-B28148DBD5B8}"/>
            </a:ext>
          </a:extLst>
        </xdr:cNvPr>
        <xdr:cNvSpPr txBox="1">
          <a:spLocks noChangeArrowheads="1"/>
        </xdr:cNvSpPr>
      </xdr:nvSpPr>
      <xdr:spPr bwMode="auto">
        <a:xfrm>
          <a:off x="59309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5AA8AFD2-1AED-1418-DC0C-47280AF13ADB}"/>
            </a:ext>
          </a:extLst>
        </xdr:cNvPr>
        <xdr:cNvSpPr txBox="1">
          <a:spLocks noChangeArrowheads="1"/>
        </xdr:cNvSpPr>
      </xdr:nvSpPr>
      <xdr:spPr bwMode="auto">
        <a:xfrm>
          <a:off x="6489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oneCellAnchor>
    <xdr:from>
      <xdr:col>7</xdr:col>
      <xdr:colOff>419100</xdr:colOff>
      <xdr:row>10</xdr:row>
      <xdr:rowOff>25400</xdr:rowOff>
    </xdr:from>
    <xdr:ext cx="139700" cy="215900"/>
    <xdr:sp macro="" textlink="">
      <xdr:nvSpPr>
        <xdr:cNvPr id="1143" name="Text 119">
          <a:extLst>
            <a:ext uri="{FF2B5EF4-FFF2-40B4-BE49-F238E27FC236}">
              <a16:creationId xmlns:a16="http://schemas.microsoft.com/office/drawing/2014/main" id="{62D55C49-7B9E-C2E8-576A-E27AA5EF88E3}"/>
            </a:ext>
          </a:extLst>
        </xdr:cNvPr>
        <xdr:cNvSpPr txBox="1">
          <a:spLocks noChangeArrowheads="1"/>
        </xdr:cNvSpPr>
      </xdr:nvSpPr>
      <xdr:spPr bwMode="auto">
        <a:xfrm>
          <a:off x="5791200" y="15494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8</xdr:col>
      <xdr:colOff>368300</xdr:colOff>
      <xdr:row>10</xdr:row>
      <xdr:rowOff>25400</xdr:rowOff>
    </xdr:from>
    <xdr:ext cx="152400" cy="215900"/>
    <xdr:sp macro="" textlink="">
      <xdr:nvSpPr>
        <xdr:cNvPr id="1144" name="Text 120">
          <a:extLst>
            <a:ext uri="{FF2B5EF4-FFF2-40B4-BE49-F238E27FC236}">
              <a16:creationId xmlns:a16="http://schemas.microsoft.com/office/drawing/2014/main" id="{E2FFFD8C-53BB-1553-FC57-98687597A0B8}"/>
            </a:ext>
          </a:extLst>
        </xdr:cNvPr>
        <xdr:cNvSpPr txBox="1">
          <a:spLocks noChangeArrowheads="1"/>
        </xdr:cNvSpPr>
      </xdr:nvSpPr>
      <xdr:spPr bwMode="auto">
        <a:xfrm>
          <a:off x="6299200" y="1549400"/>
          <a:ext cx="1524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6709-B08D-AA41-B6DB-38FDE6FBE948}">
  <dimension ref="A17:I101"/>
  <sheetViews>
    <sheetView tabSelected="1" topLeftCell="A59" workbookViewId="0">
      <selection activeCell="A69" sqref="A69"/>
    </sheetView>
  </sheetViews>
  <sheetFormatPr baseColWidth="10" defaultRowHeight="12" customHeight="1"/>
  <cols>
    <col min="1" max="1" width="4.5" style="3" customWidth="1"/>
    <col min="2" max="2" width="42.25" style="4" customWidth="1"/>
    <col min="3" max="3" width="15" customWidth="1"/>
    <col min="4" max="10" width="11" customWidth="1"/>
  </cols>
  <sheetData>
    <row r="17" spans="1:9" ht="21" customHeight="1"/>
    <row r="18" spans="1:9" ht="21" customHeight="1">
      <c r="A18" s="3">
        <v>111</v>
      </c>
      <c r="B18" s="4" t="s">
        <v>0</v>
      </c>
      <c r="C18">
        <v>652</v>
      </c>
      <c r="D18">
        <v>325</v>
      </c>
      <c r="E18">
        <v>124</v>
      </c>
      <c r="F18">
        <v>116</v>
      </c>
      <c r="G18">
        <v>31</v>
      </c>
      <c r="H18">
        <v>39</v>
      </c>
      <c r="I18">
        <v>9</v>
      </c>
    </row>
    <row r="19" spans="1:9" ht="21" customHeight="1">
      <c r="B19" s="5" t="s">
        <v>1</v>
      </c>
      <c r="C19">
        <f t="shared" ref="C19:I19" si="0">SUM(C18)</f>
        <v>652</v>
      </c>
      <c r="D19">
        <f t="shared" si="0"/>
        <v>325</v>
      </c>
      <c r="E19">
        <f t="shared" si="0"/>
        <v>124</v>
      </c>
      <c r="F19">
        <f t="shared" si="0"/>
        <v>116</v>
      </c>
      <c r="G19">
        <f t="shared" si="0"/>
        <v>31</v>
      </c>
      <c r="H19">
        <f t="shared" si="0"/>
        <v>39</v>
      </c>
      <c r="I19">
        <f t="shared" si="0"/>
        <v>9</v>
      </c>
    </row>
    <row r="20" spans="1:9" ht="21" customHeight="1">
      <c r="C20" t="s">
        <v>2</v>
      </c>
      <c r="H20" t="s">
        <v>2</v>
      </c>
    </row>
    <row r="21" spans="1:9" ht="21" customHeight="1">
      <c r="A21" s="3">
        <v>121</v>
      </c>
      <c r="B21" s="4" t="s">
        <v>3</v>
      </c>
      <c r="C21">
        <v>9829</v>
      </c>
      <c r="D21">
        <v>6933</v>
      </c>
      <c r="E21">
        <v>4148</v>
      </c>
      <c r="F21">
        <v>1525</v>
      </c>
      <c r="G21">
        <v>391</v>
      </c>
      <c r="H21">
        <v>475</v>
      </c>
      <c r="I21">
        <v>290</v>
      </c>
    </row>
    <row r="22" spans="1:9" ht="21" customHeight="1">
      <c r="A22" s="3">
        <v>122</v>
      </c>
      <c r="B22" s="4" t="s">
        <v>4</v>
      </c>
      <c r="C22">
        <v>9418</v>
      </c>
      <c r="D22">
        <v>6292</v>
      </c>
      <c r="E22">
        <v>2852</v>
      </c>
      <c r="F22">
        <v>1921</v>
      </c>
      <c r="G22">
        <v>586</v>
      </c>
      <c r="H22">
        <v>521</v>
      </c>
      <c r="I22">
        <v>251</v>
      </c>
    </row>
    <row r="23" spans="1:9" ht="21" customHeight="1">
      <c r="A23" s="3">
        <v>123</v>
      </c>
      <c r="B23" s="4" t="s">
        <v>5</v>
      </c>
      <c r="C23">
        <v>23923</v>
      </c>
      <c r="D23">
        <v>15922</v>
      </c>
      <c r="E23">
        <v>8009</v>
      </c>
      <c r="F23">
        <v>4516</v>
      </c>
      <c r="G23">
        <v>1202</v>
      </c>
      <c r="H23">
        <v>1239</v>
      </c>
      <c r="I23">
        <v>637</v>
      </c>
    </row>
    <row r="24" spans="1:9" ht="21" customHeight="1">
      <c r="B24" s="5" t="s">
        <v>6</v>
      </c>
      <c r="C24">
        <f t="shared" ref="C24:I24" si="1">SUM(C21:C23)</f>
        <v>43170</v>
      </c>
      <c r="D24">
        <f t="shared" si="1"/>
        <v>29147</v>
      </c>
      <c r="E24">
        <f t="shared" si="1"/>
        <v>15009</v>
      </c>
      <c r="F24">
        <f t="shared" si="1"/>
        <v>7962</v>
      </c>
      <c r="G24">
        <f t="shared" si="1"/>
        <v>2179</v>
      </c>
      <c r="H24">
        <f t="shared" si="1"/>
        <v>2235</v>
      </c>
      <c r="I24">
        <f t="shared" si="1"/>
        <v>1178</v>
      </c>
    </row>
    <row r="25" spans="1:9" ht="21" customHeight="1">
      <c r="C25" t="s">
        <v>2</v>
      </c>
    </row>
    <row r="26" spans="1:9" ht="21" customHeight="1">
      <c r="A26" s="3">
        <v>131</v>
      </c>
      <c r="B26" s="4" t="s">
        <v>7</v>
      </c>
      <c r="C26" t="s">
        <v>2</v>
      </c>
    </row>
    <row r="27" spans="1:9" ht="21" customHeight="1">
      <c r="A27" s="3">
        <v>132</v>
      </c>
      <c r="B27" s="4" t="s">
        <v>8</v>
      </c>
      <c r="C27" t="s">
        <v>2</v>
      </c>
    </row>
    <row r="28" spans="1:9" ht="21" customHeight="1">
      <c r="A28" s="3">
        <v>133</v>
      </c>
      <c r="B28" s="4" t="s">
        <v>9</v>
      </c>
      <c r="C28" t="s">
        <v>2</v>
      </c>
    </row>
    <row r="29" spans="1:9" ht="21" customHeight="1">
      <c r="A29" s="3">
        <v>134</v>
      </c>
      <c r="B29" s="4" t="s">
        <v>10</v>
      </c>
      <c r="C29" t="s">
        <v>2</v>
      </c>
    </row>
    <row r="30" spans="1:9" ht="21" customHeight="1">
      <c r="A30" s="3">
        <v>135</v>
      </c>
      <c r="B30" s="4" t="s">
        <v>11</v>
      </c>
      <c r="C30" t="s">
        <v>2</v>
      </c>
    </row>
    <row r="31" spans="1:9" ht="21" customHeight="1">
      <c r="A31" s="3">
        <v>136</v>
      </c>
      <c r="B31" s="4" t="s">
        <v>12</v>
      </c>
      <c r="C31" t="s">
        <v>2</v>
      </c>
    </row>
    <row r="32" spans="1:9" ht="21" customHeight="1">
      <c r="A32" s="3">
        <v>137</v>
      </c>
      <c r="B32" s="4" t="s">
        <v>13</v>
      </c>
      <c r="C32" t="s">
        <v>2</v>
      </c>
    </row>
    <row r="33" spans="1:9" ht="21" customHeight="1">
      <c r="B33" s="5" t="s">
        <v>14</v>
      </c>
      <c r="C33" t="s">
        <v>2</v>
      </c>
    </row>
    <row r="34" spans="1:9" ht="21" customHeight="1">
      <c r="C34" t="s">
        <v>2</v>
      </c>
    </row>
    <row r="35" spans="1:9" ht="21" customHeight="1">
      <c r="A35" s="3">
        <v>141</v>
      </c>
      <c r="B35" s="4" t="s">
        <v>15</v>
      </c>
      <c r="C35">
        <v>14377</v>
      </c>
      <c r="D35">
        <v>9587</v>
      </c>
      <c r="E35">
        <v>3997</v>
      </c>
      <c r="F35">
        <v>3403</v>
      </c>
      <c r="G35">
        <v>957</v>
      </c>
      <c r="H35">
        <v>734</v>
      </c>
      <c r="I35">
        <v>329</v>
      </c>
    </row>
    <row r="36" spans="1:9" ht="21" customHeight="1">
      <c r="A36" s="3">
        <v>142</v>
      </c>
      <c r="B36" s="4" t="s">
        <v>16</v>
      </c>
      <c r="C36" t="s">
        <v>2</v>
      </c>
    </row>
    <row r="37" spans="1:9" ht="21" customHeight="1">
      <c r="B37" s="5" t="s">
        <v>17</v>
      </c>
      <c r="C37">
        <f t="shared" ref="C37:I37" si="2">C35</f>
        <v>14377</v>
      </c>
      <c r="D37">
        <f t="shared" si="2"/>
        <v>9587</v>
      </c>
      <c r="E37">
        <f t="shared" si="2"/>
        <v>3997</v>
      </c>
      <c r="F37">
        <f t="shared" si="2"/>
        <v>3403</v>
      </c>
      <c r="G37">
        <f t="shared" si="2"/>
        <v>957</v>
      </c>
      <c r="H37">
        <f t="shared" si="2"/>
        <v>734</v>
      </c>
      <c r="I37">
        <f t="shared" si="2"/>
        <v>329</v>
      </c>
    </row>
    <row r="38" spans="1:9" ht="21" customHeight="1">
      <c r="C38" t="s">
        <v>2</v>
      </c>
    </row>
    <row r="39" spans="1:9" ht="21" customHeight="1">
      <c r="B39" s="5" t="s">
        <v>18</v>
      </c>
      <c r="C39">
        <f t="shared" ref="C39:I39" si="3">C37+C24+C19</f>
        <v>58199</v>
      </c>
      <c r="D39">
        <f t="shared" si="3"/>
        <v>39059</v>
      </c>
      <c r="E39">
        <f t="shared" si="3"/>
        <v>19130</v>
      </c>
      <c r="F39">
        <f t="shared" si="3"/>
        <v>11481</v>
      </c>
      <c r="G39">
        <f t="shared" si="3"/>
        <v>3167</v>
      </c>
      <c r="H39">
        <f t="shared" si="3"/>
        <v>3008</v>
      </c>
      <c r="I39">
        <f t="shared" si="3"/>
        <v>1516</v>
      </c>
    </row>
    <row r="40" spans="1:9" ht="21" customHeight="1">
      <c r="C40" t="s">
        <v>2</v>
      </c>
    </row>
    <row r="41" spans="1:9" ht="21" customHeight="1">
      <c r="A41" s="3">
        <v>211</v>
      </c>
      <c r="B41" s="4" t="s">
        <v>19</v>
      </c>
      <c r="C41">
        <v>22922</v>
      </c>
      <c r="D41">
        <v>15973</v>
      </c>
      <c r="E41">
        <v>7379</v>
      </c>
      <c r="F41">
        <v>5125</v>
      </c>
      <c r="G41">
        <v>1395</v>
      </c>
      <c r="H41">
        <v>1243</v>
      </c>
      <c r="I41">
        <v>559</v>
      </c>
    </row>
    <row r="42" spans="1:9" ht="21" customHeight="1">
      <c r="A42" s="3">
        <v>212</v>
      </c>
      <c r="B42" s="4" t="s">
        <v>20</v>
      </c>
      <c r="C42">
        <v>9862</v>
      </c>
      <c r="D42">
        <v>6442</v>
      </c>
      <c r="E42">
        <v>3383</v>
      </c>
      <c r="F42">
        <v>1654</v>
      </c>
      <c r="G42">
        <v>470</v>
      </c>
      <c r="H42">
        <v>542</v>
      </c>
      <c r="I42">
        <v>306</v>
      </c>
    </row>
    <row r="43" spans="1:9" ht="21" customHeight="1">
      <c r="A43" s="3">
        <v>213</v>
      </c>
      <c r="B43" s="4" t="s">
        <v>21</v>
      </c>
      <c r="C43" t="s">
        <v>2</v>
      </c>
    </row>
    <row r="44" spans="1:9" ht="21" customHeight="1">
      <c r="A44" s="3">
        <v>214</v>
      </c>
      <c r="B44" s="4" t="s">
        <v>22</v>
      </c>
      <c r="C44" t="s">
        <v>2</v>
      </c>
    </row>
    <row r="45" spans="1:9" ht="21" customHeight="1">
      <c r="A45" s="3">
        <v>215</v>
      </c>
      <c r="B45" s="4" t="s">
        <v>23</v>
      </c>
      <c r="C45" t="s">
        <v>2</v>
      </c>
    </row>
    <row r="46" spans="1:9" ht="21" customHeight="1">
      <c r="B46" s="5" t="s">
        <v>24</v>
      </c>
      <c r="C46">
        <f t="shared" ref="C46:I46" si="4">C41+C42</f>
        <v>32784</v>
      </c>
      <c r="D46">
        <f t="shared" si="4"/>
        <v>22415</v>
      </c>
      <c r="E46">
        <f t="shared" si="4"/>
        <v>10762</v>
      </c>
      <c r="F46">
        <f t="shared" si="4"/>
        <v>6779</v>
      </c>
      <c r="G46">
        <f t="shared" si="4"/>
        <v>1865</v>
      </c>
      <c r="H46">
        <f t="shared" si="4"/>
        <v>1785</v>
      </c>
      <c r="I46">
        <f t="shared" si="4"/>
        <v>865</v>
      </c>
    </row>
    <row r="47" spans="1:9" ht="21" customHeight="1">
      <c r="C47" t="s">
        <v>2</v>
      </c>
    </row>
    <row r="48" spans="1:9" ht="21" customHeight="1">
      <c r="A48" s="3">
        <v>221</v>
      </c>
      <c r="B48" s="4" t="s">
        <v>25</v>
      </c>
      <c r="C48">
        <v>1933</v>
      </c>
      <c r="D48">
        <v>1370</v>
      </c>
      <c r="E48">
        <v>748</v>
      </c>
      <c r="F48">
        <v>330</v>
      </c>
      <c r="G48">
        <v>108</v>
      </c>
      <c r="H48">
        <v>105</v>
      </c>
      <c r="I48">
        <v>55</v>
      </c>
    </row>
    <row r="49" spans="1:9" ht="21" customHeight="1">
      <c r="B49" s="5" t="s">
        <v>26</v>
      </c>
      <c r="C49">
        <f t="shared" ref="C49:I49" si="5">SUM(C48)</f>
        <v>1933</v>
      </c>
      <c r="D49">
        <f t="shared" si="5"/>
        <v>1370</v>
      </c>
      <c r="E49">
        <f t="shared" si="5"/>
        <v>748</v>
      </c>
      <c r="F49">
        <f t="shared" si="5"/>
        <v>330</v>
      </c>
      <c r="G49">
        <f t="shared" si="5"/>
        <v>108</v>
      </c>
      <c r="H49">
        <f t="shared" si="5"/>
        <v>105</v>
      </c>
      <c r="I49">
        <f t="shared" si="5"/>
        <v>55</v>
      </c>
    </row>
    <row r="50" spans="1:9" ht="21" customHeight="1">
      <c r="C50" t="s">
        <v>2</v>
      </c>
    </row>
    <row r="51" spans="1:9" ht="21" customHeight="1">
      <c r="A51" s="3">
        <v>231</v>
      </c>
      <c r="B51" s="4" t="s">
        <v>27</v>
      </c>
      <c r="C51">
        <v>1776</v>
      </c>
      <c r="D51">
        <v>1261</v>
      </c>
      <c r="E51">
        <v>831</v>
      </c>
      <c r="F51">
        <v>224</v>
      </c>
      <c r="G51">
        <v>57</v>
      </c>
      <c r="H51">
        <v>75</v>
      </c>
      <c r="I51">
        <v>54</v>
      </c>
    </row>
    <row r="52" spans="1:9" ht="21" customHeight="1">
      <c r="B52" s="5" t="s">
        <v>28</v>
      </c>
      <c r="C52">
        <f t="shared" ref="C52:I52" si="6">SUM(C51)</f>
        <v>1776</v>
      </c>
      <c r="D52">
        <f t="shared" si="6"/>
        <v>1261</v>
      </c>
      <c r="E52">
        <f t="shared" si="6"/>
        <v>831</v>
      </c>
      <c r="F52">
        <f t="shared" si="6"/>
        <v>224</v>
      </c>
      <c r="G52">
        <f t="shared" si="6"/>
        <v>57</v>
      </c>
      <c r="H52">
        <f t="shared" si="6"/>
        <v>75</v>
      </c>
      <c r="I52">
        <f t="shared" si="6"/>
        <v>54</v>
      </c>
    </row>
    <row r="53" spans="1:9" ht="21" customHeight="1">
      <c r="C53" t="s">
        <v>2</v>
      </c>
    </row>
    <row r="54" spans="1:9" ht="21" customHeight="1">
      <c r="A54" s="3">
        <v>241</v>
      </c>
      <c r="B54" s="4" t="s">
        <v>29</v>
      </c>
      <c r="C54">
        <v>8675</v>
      </c>
      <c r="D54">
        <v>5814</v>
      </c>
      <c r="E54">
        <v>2955</v>
      </c>
      <c r="F54">
        <v>1579</v>
      </c>
      <c r="G54">
        <v>422</v>
      </c>
      <c r="H54">
        <v>504</v>
      </c>
      <c r="I54">
        <v>247</v>
      </c>
    </row>
    <row r="55" spans="1:9" ht="21" customHeight="1">
      <c r="A55" s="3">
        <v>242</v>
      </c>
      <c r="B55" s="4" t="s">
        <v>30</v>
      </c>
      <c r="C55" t="s">
        <v>2</v>
      </c>
    </row>
    <row r="56" spans="1:9" ht="21" customHeight="1">
      <c r="B56" s="5" t="s">
        <v>31</v>
      </c>
      <c r="C56">
        <f t="shared" ref="C56:I56" si="7">C54</f>
        <v>8675</v>
      </c>
      <c r="D56">
        <f t="shared" si="7"/>
        <v>5814</v>
      </c>
      <c r="E56">
        <f t="shared" si="7"/>
        <v>2955</v>
      </c>
      <c r="F56">
        <f t="shared" si="7"/>
        <v>1579</v>
      </c>
      <c r="G56">
        <f t="shared" si="7"/>
        <v>422</v>
      </c>
      <c r="H56">
        <f t="shared" si="7"/>
        <v>504</v>
      </c>
      <c r="I56">
        <f t="shared" si="7"/>
        <v>247</v>
      </c>
    </row>
    <row r="57" spans="1:9" ht="21" customHeight="1">
      <c r="C57" t="s">
        <v>2</v>
      </c>
      <c r="D57" s="1"/>
      <c r="E57" s="1"/>
      <c r="F57" s="1"/>
    </row>
    <row r="58" spans="1:9" ht="21" customHeight="1">
      <c r="A58" s="3">
        <v>251</v>
      </c>
      <c r="B58" s="4" t="s">
        <v>32</v>
      </c>
      <c r="C58">
        <v>345</v>
      </c>
      <c r="D58" s="7">
        <v>187</v>
      </c>
      <c r="E58" s="7">
        <v>90</v>
      </c>
      <c r="F58" s="7">
        <v>50</v>
      </c>
      <c r="G58">
        <v>16</v>
      </c>
      <c r="H58">
        <v>16</v>
      </c>
      <c r="I58">
        <v>9</v>
      </c>
    </row>
    <row r="59" spans="1:9" ht="21" customHeight="1">
      <c r="B59" s="5" t="s">
        <v>33</v>
      </c>
      <c r="C59">
        <f t="shared" ref="C59:I59" si="8">SUM(C58)</f>
        <v>345</v>
      </c>
      <c r="D59">
        <f t="shared" si="8"/>
        <v>187</v>
      </c>
      <c r="E59">
        <f t="shared" si="8"/>
        <v>90</v>
      </c>
      <c r="F59">
        <f t="shared" si="8"/>
        <v>50</v>
      </c>
      <c r="G59">
        <f t="shared" si="8"/>
        <v>16</v>
      </c>
      <c r="H59">
        <f t="shared" si="8"/>
        <v>16</v>
      </c>
      <c r="I59">
        <f t="shared" si="8"/>
        <v>9</v>
      </c>
    </row>
    <row r="60" spans="1:9" ht="21" customHeight="1">
      <c r="C60" t="s">
        <v>2</v>
      </c>
      <c r="D60" s="2"/>
      <c r="E60" s="2"/>
      <c r="F60" s="2"/>
    </row>
    <row r="61" spans="1:9" ht="21" customHeight="1">
      <c r="B61" s="5" t="s">
        <v>34</v>
      </c>
      <c r="C61">
        <f t="shared" ref="C61:I61" si="9">C59+C56+C52+C49+C46</f>
        <v>45513</v>
      </c>
      <c r="D61">
        <f t="shared" si="9"/>
        <v>31047</v>
      </c>
      <c r="E61">
        <f t="shared" si="9"/>
        <v>15386</v>
      </c>
      <c r="F61">
        <f t="shared" si="9"/>
        <v>8962</v>
      </c>
      <c r="G61">
        <f t="shared" si="9"/>
        <v>2468</v>
      </c>
      <c r="H61">
        <f t="shared" si="9"/>
        <v>2485</v>
      </c>
      <c r="I61">
        <f t="shared" si="9"/>
        <v>1230</v>
      </c>
    </row>
    <row r="62" spans="1:9" ht="21" customHeight="1">
      <c r="C62" t="s">
        <v>2</v>
      </c>
    </row>
    <row r="63" spans="1:9" ht="21" customHeight="1">
      <c r="B63" s="6" t="s">
        <v>35</v>
      </c>
      <c r="C63">
        <v>103712</v>
      </c>
      <c r="D63">
        <v>73493</v>
      </c>
      <c r="E63">
        <v>35868</v>
      </c>
      <c r="F63">
        <v>21858</v>
      </c>
      <c r="G63">
        <v>5993</v>
      </c>
      <c r="H63">
        <v>5667</v>
      </c>
      <c r="I63">
        <v>2814</v>
      </c>
    </row>
    <row r="64" spans="1:9" ht="21" customHeight="1">
      <c r="B64" s="4" t="s">
        <v>36</v>
      </c>
      <c r="C64" t="s">
        <v>2</v>
      </c>
    </row>
    <row r="65" spans="1:9" ht="21" customHeight="1">
      <c r="B65" s="4" t="s">
        <v>37</v>
      </c>
      <c r="C65" t="s">
        <v>2</v>
      </c>
      <c r="D65">
        <f t="shared" ref="D65:I65" si="10">D63-D66</f>
        <v>70106</v>
      </c>
      <c r="E65">
        <f t="shared" si="10"/>
        <v>34516</v>
      </c>
      <c r="F65">
        <f t="shared" si="10"/>
        <v>20443</v>
      </c>
      <c r="G65">
        <f t="shared" si="10"/>
        <v>5635</v>
      </c>
      <c r="H65">
        <f t="shared" si="10"/>
        <v>5493</v>
      </c>
      <c r="I65">
        <f t="shared" si="10"/>
        <v>2746</v>
      </c>
    </row>
    <row r="66" spans="1:9" ht="21" customHeight="1">
      <c r="B66" s="4" t="s">
        <v>38</v>
      </c>
      <c r="C66">
        <v>4091</v>
      </c>
      <c r="D66">
        <v>3387</v>
      </c>
      <c r="E66">
        <v>1352</v>
      </c>
      <c r="F66">
        <v>1415</v>
      </c>
      <c r="G66">
        <v>358</v>
      </c>
      <c r="H66">
        <v>174</v>
      </c>
      <c r="I66">
        <v>68</v>
      </c>
    </row>
    <row r="67" spans="1:9" ht="21" customHeight="1">
      <c r="C67" t="s">
        <v>2</v>
      </c>
    </row>
    <row r="68" spans="1:9" ht="14" customHeight="1">
      <c r="A68" s="3" t="s">
        <v>39</v>
      </c>
      <c r="C68" t="s">
        <v>2</v>
      </c>
    </row>
    <row r="69" spans="1:9" ht="14" customHeight="1">
      <c r="A69" s="3" t="s">
        <v>40</v>
      </c>
      <c r="C69" t="s">
        <v>2</v>
      </c>
    </row>
    <row r="70" spans="1:9" ht="14" customHeight="1">
      <c r="A70" s="3" t="s">
        <v>41</v>
      </c>
      <c r="C70" t="s">
        <v>2</v>
      </c>
    </row>
    <row r="71" spans="1:9" ht="14" customHeight="1">
      <c r="A71" s="3" t="s">
        <v>42</v>
      </c>
      <c r="C71" t="s">
        <v>2</v>
      </c>
    </row>
    <row r="72" spans="1:9" ht="14" customHeight="1">
      <c r="C72" t="s">
        <v>2</v>
      </c>
    </row>
    <row r="73" spans="1:9" ht="14" customHeight="1">
      <c r="C73" t="s">
        <v>2</v>
      </c>
    </row>
    <row r="74" spans="1:9" ht="14" customHeight="1">
      <c r="C74" t="s">
        <v>2</v>
      </c>
    </row>
    <row r="75" spans="1:9" ht="14" customHeight="1">
      <c r="C75" t="s">
        <v>2</v>
      </c>
    </row>
    <row r="76" spans="1:9" ht="14" customHeight="1">
      <c r="C76" t="s">
        <v>2</v>
      </c>
    </row>
    <row r="77" spans="1:9" ht="14" customHeight="1">
      <c r="C77" t="s">
        <v>2</v>
      </c>
    </row>
    <row r="78" spans="1:9" ht="14" customHeight="1">
      <c r="C78" t="s">
        <v>2</v>
      </c>
    </row>
    <row r="79" spans="1:9" ht="14" customHeight="1">
      <c r="C79" t="s">
        <v>2</v>
      </c>
    </row>
    <row r="80" spans="1:9" ht="14" customHeight="1">
      <c r="C80" t="s">
        <v>2</v>
      </c>
    </row>
    <row r="81" spans="3:3" ht="14" customHeight="1">
      <c r="C81" t="s">
        <v>2</v>
      </c>
    </row>
    <row r="82" spans="3:3" ht="14" customHeight="1">
      <c r="C82" t="s">
        <v>2</v>
      </c>
    </row>
    <row r="83" spans="3:3" ht="14" customHeight="1">
      <c r="C83" t="s">
        <v>2</v>
      </c>
    </row>
    <row r="84" spans="3:3" ht="14" customHeight="1">
      <c r="C84" t="s">
        <v>2</v>
      </c>
    </row>
    <row r="85" spans="3:3" ht="14" customHeight="1">
      <c r="C85" t="s">
        <v>2</v>
      </c>
    </row>
    <row r="86" spans="3:3" ht="14" customHeight="1">
      <c r="C86" t="s">
        <v>2</v>
      </c>
    </row>
    <row r="87" spans="3:3" ht="14" customHeight="1">
      <c r="C87" t="s">
        <v>2</v>
      </c>
    </row>
    <row r="88" spans="3:3" ht="14" customHeight="1">
      <c r="C88" t="s">
        <v>2</v>
      </c>
    </row>
    <row r="89" spans="3:3" ht="14" customHeight="1">
      <c r="C89" t="s">
        <v>2</v>
      </c>
    </row>
    <row r="90" spans="3:3" ht="14" customHeight="1">
      <c r="C90" t="s">
        <v>2</v>
      </c>
    </row>
    <row r="91" spans="3:3" ht="14" customHeight="1">
      <c r="C91" t="s">
        <v>2</v>
      </c>
    </row>
    <row r="92" spans="3:3" ht="13" customHeight="1">
      <c r="C92" t="s">
        <v>2</v>
      </c>
    </row>
    <row r="93" spans="3:3" ht="13" customHeight="1">
      <c r="C93" t="s">
        <v>2</v>
      </c>
    </row>
    <row r="94" spans="3:3" ht="13" customHeight="1">
      <c r="C94" t="s">
        <v>2</v>
      </c>
    </row>
    <row r="95" spans="3:3" ht="11" customHeight="1">
      <c r="C95" t="s">
        <v>2</v>
      </c>
    </row>
    <row r="96" spans="3:3" ht="11" customHeight="1">
      <c r="C96" t="s">
        <v>2</v>
      </c>
    </row>
    <row r="97" spans="3:3" ht="11" customHeight="1"/>
    <row r="98" spans="3:3" ht="11" customHeight="1">
      <c r="C98" t="s">
        <v>2</v>
      </c>
    </row>
    <row r="99" spans="3:3" ht="11" customHeight="1">
      <c r="C99" t="s">
        <v>2</v>
      </c>
    </row>
    <row r="100" spans="3:3" ht="11" customHeight="1">
      <c r="C100" t="s">
        <v>2</v>
      </c>
    </row>
    <row r="101" spans="3:3" ht="11" customHeight="1">
      <c r="C101" t="s">
        <v>2</v>
      </c>
    </row>
  </sheetData>
  <printOptions horizontalCentered="1"/>
  <pageMargins left="0.78740157480314965" right="0.78740157480314965" top="0.98425196850393704" bottom="0.98425196850393704" header="0.4921259845" footer="0.4921259845"/>
  <headerFooter>
    <oddHeader xml:space="preserve"> 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Bremen_Bürgerschaft_1967 BHV</vt:lpstr>
      <vt:lpstr>'Bremen_Bürgerschaft_1967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2026-03-20T20:14:28Z</dcterms:created>
  <dcterms:modified xsi:type="dcterms:W3CDTF">2026-03-20T20:14:28Z</dcterms:modified>
</cp:coreProperties>
</file>