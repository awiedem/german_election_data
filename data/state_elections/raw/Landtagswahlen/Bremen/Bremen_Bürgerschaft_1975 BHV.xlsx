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A76101D3-C7A6-DE4F-8ED0-67710A1E621F}" xr6:coauthVersionLast="47" xr6:coauthVersionMax="47" xr10:uidLastSave="{00000000-0000-0000-0000-000000000000}"/>
  <bookViews>
    <workbookView xWindow="0" yWindow="660" windowWidth="30240" windowHeight="17520" xr2:uid="{0EF0A3FA-33B9-854E-8688-EA599552BF27}"/>
  </bookViews>
  <sheets>
    <sheet name="Bremen_Bürgerschaft_1975 BHV" sheetId="1" r:id="rId1"/>
  </sheets>
  <definedNames>
    <definedName name="_xlnm.Print_Area" localSheetId="0">'Bremen_Bürgerschaft_1975 BHV'!$A$1:$J$73</definedName>
  </definedNames>
  <calcPr calcId="0" refMode="R1C1"/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J19" i="1"/>
  <c r="C24" i="1"/>
  <c r="D24" i="1"/>
  <c r="E24" i="1"/>
  <c r="F24" i="1"/>
  <c r="G24" i="1"/>
  <c r="H24" i="1"/>
  <c r="I24" i="1"/>
  <c r="J24" i="1"/>
  <c r="C33" i="1"/>
  <c r="D33" i="1"/>
  <c r="E33" i="1"/>
  <c r="F33" i="1"/>
  <c r="G33" i="1"/>
  <c r="H33" i="1"/>
  <c r="I33" i="1"/>
  <c r="J33" i="1"/>
  <c r="C37" i="1"/>
  <c r="D37" i="1"/>
  <c r="E37" i="1"/>
  <c r="F37" i="1"/>
  <c r="G37" i="1"/>
  <c r="H37" i="1"/>
  <c r="I37" i="1"/>
  <c r="J37" i="1"/>
  <c r="C46" i="1"/>
  <c r="D46" i="1"/>
  <c r="E46" i="1"/>
  <c r="F46" i="1"/>
  <c r="G46" i="1"/>
  <c r="H46" i="1"/>
  <c r="I46" i="1"/>
  <c r="J46" i="1"/>
  <c r="C49" i="1"/>
  <c r="D49" i="1"/>
  <c r="E49" i="1"/>
  <c r="F49" i="1"/>
  <c r="G49" i="1"/>
  <c r="H49" i="1"/>
  <c r="I49" i="1"/>
  <c r="J49" i="1"/>
  <c r="C52" i="1"/>
  <c r="D52" i="1"/>
  <c r="E52" i="1"/>
  <c r="F52" i="1"/>
  <c r="G52" i="1"/>
  <c r="H52" i="1"/>
  <c r="I52" i="1"/>
  <c r="J52" i="1"/>
  <c r="C56" i="1"/>
  <c r="D56" i="1"/>
  <c r="E56" i="1"/>
  <c r="F56" i="1"/>
  <c r="G56" i="1"/>
  <c r="H56" i="1"/>
  <c r="I56" i="1"/>
  <c r="J56" i="1"/>
  <c r="C59" i="1"/>
  <c r="D59" i="1"/>
  <c r="E59" i="1"/>
  <c r="F59" i="1"/>
  <c r="G59" i="1"/>
  <c r="H59" i="1"/>
  <c r="I59" i="1"/>
  <c r="J59" i="1"/>
</calcChain>
</file>

<file path=xl/sharedStrings.xml><?xml version="1.0" encoding="utf-8"?>
<sst xmlns="http://schemas.openxmlformats.org/spreadsheetml/2006/main" count="91" uniqueCount="43">
  <si>
    <t>Weddewarden (ohne Briefwahl) *)   ................................................................</t>
  </si>
  <si>
    <t>Stadtteil Weddewarden (ohne Briefwahl)*)   ...................................................</t>
  </si>
  <si>
    <t xml:space="preserve"> </t>
  </si>
  <si>
    <t>Kˆnigsheide   .............................................................................</t>
  </si>
  <si>
    <t>Fehrmoor   ..............................................................................................................................</t>
  </si>
  <si>
    <t>Leherheide-West   .........................................................................</t>
  </si>
  <si>
    <t>Stadtteil Leherheide   ....................................................................................</t>
  </si>
  <si>
    <t>Speckenb¸ttel (einschl. Briefwahl OT 111)*)   .......................................................</t>
  </si>
  <si>
    <t>Eckernfeld   ........................................................................................................</t>
  </si>
  <si>
    <t>Twischkamp   ....................................................................................</t>
  </si>
  <si>
    <t>Goethestraﬂe   .................................................................................................</t>
  </si>
  <si>
    <t>Klushof   ..........................................................................................................</t>
  </si>
  <si>
    <t>Schierholz (einschl. Briefwahl OT 137)*)   ...............................................................................</t>
  </si>
  <si>
    <t>Buschk‰mpen (ohne Briefwahl)*)   .................................................................................................</t>
  </si>
  <si>
    <t>Stadtteil Lehe (einschl. Briefwahl OT 111)*)   .........................................................................</t>
  </si>
  <si>
    <t>Mitte-S¸d   ..........................................................................</t>
  </si>
  <si>
    <t>MItte-Nord   .........................................................................</t>
  </si>
  <si>
    <t>Stadtteil Mitte   .......................................................................</t>
  </si>
  <si>
    <t>Stadtbezirk Nord   ..................................................................................</t>
  </si>
  <si>
    <t>Geestem¸nde-Nord   .......................................................................................</t>
  </si>
  <si>
    <t>Geestendorf   ..........................................................................</t>
  </si>
  <si>
    <t>Geestem¸nde-S¸d   ...............................................................................................</t>
  </si>
  <si>
    <t>B¸rgerpark  .......................................................................................</t>
  </si>
  <si>
    <t>Gr¸nhˆfe   ...................................................................................................</t>
  </si>
  <si>
    <t>Stadtteil Geestem¸nde  ....................................................................................................</t>
  </si>
  <si>
    <t>Schiffdorferdamm   ..................................................................................</t>
  </si>
  <si>
    <t>Stadtteil Schiffdorferdamm   .................................................................................................</t>
  </si>
  <si>
    <t>Surheide   .............................................................................</t>
  </si>
  <si>
    <t>Stadtteil Surheide   ..................................................................................</t>
  </si>
  <si>
    <t>Dreibergen (einschl. Briefwahl OT 251)*)   .........................................................................................</t>
  </si>
  <si>
    <t>Jedutenberg   .........................................................................</t>
  </si>
  <si>
    <t>Stadtteil Wulsdorf (einschl. Briefwahl OT 251)*)   ....................................................................</t>
  </si>
  <si>
    <t>Fischereihafen (ohne Briefwahl)*)   ..........................................................................</t>
  </si>
  <si>
    <t>Stadtteil Fischereihafen (ohne Briefwahl)*)   ....................................................................</t>
  </si>
  <si>
    <t>Stadtbezirk S¸d   .......................................................................</t>
  </si>
  <si>
    <t>Stadt Bremerhaven   ..................................................................................</t>
  </si>
  <si>
    <t>davon</t>
  </si>
  <si>
    <t>Urnenwahl   .............................................................................</t>
  </si>
  <si>
    <t>Briefwahl   .....................................................................................</t>
  </si>
  <si>
    <t>1) Einschl. Wahlscheininhaber.</t>
  </si>
  <si>
    <t>2) DIE GR‹NEN.</t>
  </si>
  <si>
    <t>3) GR‹NE (Bremer Gr¸ne Liste), ASD, BAL, LD.</t>
  </si>
  <si>
    <t>*) Erl‰uterungen sieh 2.0 Vorbemerkung.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</si>
</sst>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8"/>
      <name val="Helv"/>
    </font>
    <font>
      <sz val="8"/>
      <name val="Helv"/>
    </font>
    <font>
      <b/>
      <sz val="8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/>
    </xf>
  </cellStyleXfs>
  <cellXfs count="8">
    <xf numFmtId="0" fontId="0" fillId="0" borderId="0" xfId="0">
      <alignment horizontal="center"/>
    </xf>
    <xf numFmtId="0" fontId="1" fillId="0" borderId="0" xfId="0" applyFont="1" applyAlignment="1">
      <alignment horizontal="left"/>
    </xf>
    <xf numFmtId="0" fontId="1" fillId="0" borderId="0" xfId="0" applyFo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 applyAlignment="1"/>
    <xf numFmtId="0" fontId="2" fillId="2" borderId="0" xfId="0" applyFont="1" applyFill="1" applyAlignme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63500</xdr:rowOff>
    </xdr:from>
    <xdr:to>
      <xdr:col>10</xdr:col>
      <xdr:colOff>0</xdr:colOff>
      <xdr:row>7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21799923-C78B-DBAE-6949-54CD1563E612}"/>
            </a:ext>
          </a:extLst>
        </xdr:cNvPr>
        <xdr:cNvSpPr txBox="1">
          <a:spLocks noChangeArrowheads="1"/>
        </xdr:cNvSpPr>
      </xdr:nvSpPr>
      <xdr:spPr bwMode="auto">
        <a:xfrm>
          <a:off x="304800" y="520700"/>
          <a:ext cx="67437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     nach Ortsteilen, Stadtteilen und Stadtbezirken (einschl. Briefwahl)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Stadt Bremerhaven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1087FA53-7F4C-5B01-D6F3-838703645BDF}"/>
            </a:ext>
          </a:extLst>
        </xdr:cNvPr>
        <xdr:cNvSpPr txBox="1">
          <a:spLocks noChangeArrowheads="1"/>
        </xdr:cNvSpPr>
      </xdr:nvSpPr>
      <xdr:spPr bwMode="auto">
        <a:xfrm>
          <a:off x="0" y="12192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4705460C-2B25-2EBE-3B1A-1A28E2A57F52}"/>
            </a:ext>
          </a:extLst>
        </xdr:cNvPr>
        <xdr:cNvSpPr txBox="1">
          <a:spLocks noChangeArrowheads="1"/>
        </xdr:cNvSpPr>
      </xdr:nvSpPr>
      <xdr:spPr bwMode="auto">
        <a:xfrm>
          <a:off x="2374900" y="12192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609600</xdr:colOff>
      <xdr:row>10</xdr:row>
      <xdr:rowOff>127000</xdr:rowOff>
    </xdr:from>
    <xdr:ext cx="139700" cy="2159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54AE107C-7B72-1D27-799D-A4F86CD2BB2E}"/>
            </a:ext>
          </a:extLst>
        </xdr:cNvPr>
        <xdr:cNvSpPr txBox="1">
          <a:spLocks noChangeArrowheads="1"/>
        </xdr:cNvSpPr>
      </xdr:nvSpPr>
      <xdr:spPr bwMode="auto">
        <a:xfrm>
          <a:off x="2984500" y="16510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 editAs="oneCell">
    <xdr:from>
      <xdr:col>1</xdr:col>
      <xdr:colOff>0</xdr:colOff>
      <xdr:row>1</xdr:row>
      <xdr:rowOff>38100</xdr:rowOff>
    </xdr:from>
    <xdr:to>
      <xdr:col>10</xdr:col>
      <xdr:colOff>0</xdr:colOff>
      <xdr:row>3</xdr:row>
      <xdr:rowOff>25400</xdr:rowOff>
    </xdr:to>
    <xdr:sp macro="" textlink="">
      <xdr:nvSpPr>
        <xdr:cNvPr id="1109" name="Text 85">
          <a:extLst>
            <a:ext uri="{FF2B5EF4-FFF2-40B4-BE49-F238E27FC236}">
              <a16:creationId xmlns:a16="http://schemas.microsoft.com/office/drawing/2014/main" id="{563E09C6-061E-FA69-C95F-46BE3A3132C4}"/>
            </a:ext>
          </a:extLst>
        </xdr:cNvPr>
        <xdr:cNvSpPr txBox="1">
          <a:spLocks noChangeArrowheads="1"/>
        </xdr:cNvSpPr>
      </xdr:nvSpPr>
      <xdr:spPr bwMode="auto">
        <a:xfrm>
          <a:off x="228600" y="190500"/>
          <a:ext cx="68199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Wahlen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0" name="Text 86">
          <a:extLst>
            <a:ext uri="{FF2B5EF4-FFF2-40B4-BE49-F238E27FC236}">
              <a16:creationId xmlns:a16="http://schemas.microsoft.com/office/drawing/2014/main" id="{C1830214-6BE3-4B6D-ACAD-25CA03261745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de-DE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4807733D-B762-2278-3E21-9DE685F2C614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10</xdr:col>
      <xdr:colOff>0</xdr:colOff>
      <xdr:row>10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A70D63BB-2C0C-BC00-D229-7D452C8DD009}"/>
            </a:ext>
          </a:extLst>
        </xdr:cNvPr>
        <xdr:cNvSpPr txBox="1">
          <a:spLocks noChangeArrowheads="1"/>
        </xdr:cNvSpPr>
      </xdr:nvSpPr>
      <xdr:spPr bwMode="auto">
        <a:xfrm>
          <a:off x="3695700" y="1219200"/>
          <a:ext cx="33528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12700</xdr:colOff>
      <xdr:row>14</xdr:row>
      <xdr:rowOff>0</xdr:rowOff>
    </xdr:from>
    <xdr:to>
      <xdr:col>10</xdr:col>
      <xdr:colOff>0</xdr:colOff>
      <xdr:row>16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90B03D2E-D1B1-948B-982D-500A5BE1E3CE}"/>
            </a:ext>
          </a:extLst>
        </xdr:cNvPr>
        <xdr:cNvSpPr txBox="1">
          <a:spLocks noChangeArrowheads="1"/>
        </xdr:cNvSpPr>
      </xdr:nvSpPr>
      <xdr:spPr bwMode="auto">
        <a:xfrm>
          <a:off x="3149600" y="2133600"/>
          <a:ext cx="38989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de-DE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0E60A00D-8C16-4491-0F78-A5FA08888DE8}"/>
            </a:ext>
          </a:extLst>
        </xdr:cNvPr>
        <xdr:cNvSpPr txBox="1">
          <a:spLocks noChangeArrowheads="1"/>
        </xdr:cNvSpPr>
      </xdr:nvSpPr>
      <xdr:spPr bwMode="auto">
        <a:xfrm>
          <a:off x="3695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F5A20324-09D5-2954-BE70-BB46244E6EBC}"/>
            </a:ext>
          </a:extLst>
        </xdr:cNvPr>
        <xdr:cNvSpPr txBox="1">
          <a:spLocks noChangeArrowheads="1"/>
        </xdr:cNvSpPr>
      </xdr:nvSpPr>
      <xdr:spPr bwMode="auto">
        <a:xfrm>
          <a:off x="42545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F0A1D5C5-6B47-5E9D-F93C-E370682FEF13}"/>
            </a:ext>
          </a:extLst>
        </xdr:cNvPr>
        <xdr:cNvSpPr txBox="1">
          <a:spLocks noChangeArrowheads="1"/>
        </xdr:cNvSpPr>
      </xdr:nvSpPr>
      <xdr:spPr bwMode="auto">
        <a:xfrm>
          <a:off x="48133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F.D.P.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2DF177E8-F8F1-2186-2847-99C7354C8FEB}"/>
            </a:ext>
          </a:extLst>
        </xdr:cNvPr>
        <xdr:cNvSpPr txBox="1">
          <a:spLocks noChangeArrowheads="1"/>
        </xdr:cNvSpPr>
      </xdr:nvSpPr>
      <xdr:spPr bwMode="auto">
        <a:xfrm>
          <a:off x="53721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Sonstige </a:t>
          </a:r>
        </a:p>
      </xdr:txBody>
    </xdr:sp>
    <xdr:clientData/>
  </xdr:twoCellAnchor>
  <xdr:twoCellAnchor>
    <xdr:from>
      <xdr:col>8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EC92F093-0D18-A70B-469C-B41B1C7B4F4F}"/>
            </a:ext>
          </a:extLst>
        </xdr:cNvPr>
        <xdr:cNvSpPr txBox="1">
          <a:spLocks noChangeArrowheads="1"/>
        </xdr:cNvSpPr>
      </xdr:nvSpPr>
      <xdr:spPr bwMode="auto">
        <a:xfrm>
          <a:off x="59309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dar. DKP</a:t>
          </a: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9</xdr:col>
      <xdr:colOff>546100</xdr:colOff>
      <xdr:row>15</xdr:row>
      <xdr:rowOff>25400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185B31D0-9156-D91F-7A42-10C06FECEC8A}"/>
            </a:ext>
          </a:extLst>
        </xdr:cNvPr>
        <xdr:cNvSpPr txBox="1">
          <a:spLocks noChangeArrowheads="1"/>
        </xdr:cNvSpPr>
      </xdr:nvSpPr>
      <xdr:spPr bwMode="auto">
        <a:xfrm>
          <a:off x="6489700" y="1524000"/>
          <a:ext cx="546100" cy="787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8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dar. NPD</a:t>
          </a:r>
        </a:p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oneCellAnchor>
    <xdr:from>
      <xdr:col>7</xdr:col>
      <xdr:colOff>419100</xdr:colOff>
      <xdr:row>10</xdr:row>
      <xdr:rowOff>25400</xdr:rowOff>
    </xdr:from>
    <xdr:ext cx="139700" cy="215900"/>
    <xdr:sp macro="" textlink="">
      <xdr:nvSpPr>
        <xdr:cNvPr id="1143" name="Text 119">
          <a:extLst>
            <a:ext uri="{FF2B5EF4-FFF2-40B4-BE49-F238E27FC236}">
              <a16:creationId xmlns:a16="http://schemas.microsoft.com/office/drawing/2014/main" id="{53BD10EE-2083-D859-B9B5-3A271F458F76}"/>
            </a:ext>
          </a:extLst>
        </xdr:cNvPr>
        <xdr:cNvSpPr txBox="1">
          <a:spLocks noChangeArrowheads="1"/>
        </xdr:cNvSpPr>
      </xdr:nvSpPr>
      <xdr:spPr bwMode="auto">
        <a:xfrm>
          <a:off x="5791200" y="15494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8</xdr:col>
      <xdr:colOff>368300</xdr:colOff>
      <xdr:row>10</xdr:row>
      <xdr:rowOff>25400</xdr:rowOff>
    </xdr:from>
    <xdr:ext cx="152400" cy="215900"/>
    <xdr:sp macro="" textlink="">
      <xdr:nvSpPr>
        <xdr:cNvPr id="1144" name="Text 120">
          <a:extLst>
            <a:ext uri="{FF2B5EF4-FFF2-40B4-BE49-F238E27FC236}">
              <a16:creationId xmlns:a16="http://schemas.microsoft.com/office/drawing/2014/main" id="{018DAB2E-3B10-8B22-8867-32648004480C}"/>
            </a:ext>
          </a:extLst>
        </xdr:cNvPr>
        <xdr:cNvSpPr txBox="1">
          <a:spLocks noChangeArrowheads="1"/>
        </xdr:cNvSpPr>
      </xdr:nvSpPr>
      <xdr:spPr bwMode="auto">
        <a:xfrm>
          <a:off x="6299200" y="1549400"/>
          <a:ext cx="1524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EEE5-B839-F242-9D56-93E79B8DBE94}">
  <dimension ref="A17:J101"/>
  <sheetViews>
    <sheetView tabSelected="1" topLeftCell="A57" workbookViewId="0">
      <selection activeCell="D68" sqref="D68"/>
    </sheetView>
  </sheetViews>
  <sheetFormatPr baseColWidth="10" defaultRowHeight="12" customHeight="1"/>
  <cols>
    <col min="1" max="1" width="4.5" style="3" customWidth="1"/>
    <col min="2" max="2" width="42.25" style="4" customWidth="1"/>
    <col min="3" max="3" width="15" customWidth="1"/>
    <col min="4" max="10" width="11" customWidth="1"/>
  </cols>
  <sheetData>
    <row r="17" spans="1:10" ht="21" customHeight="1"/>
    <row r="18" spans="1:10" ht="21" customHeight="1">
      <c r="A18" s="3">
        <v>111</v>
      </c>
      <c r="B18" s="4" t="s">
        <v>0</v>
      </c>
      <c r="C18">
        <v>349</v>
      </c>
      <c r="D18">
        <v>281</v>
      </c>
      <c r="E18">
        <v>111</v>
      </c>
      <c r="F18">
        <v>131</v>
      </c>
      <c r="G18">
        <v>25</v>
      </c>
      <c r="H18">
        <v>7</v>
      </c>
      <c r="I18">
        <v>1</v>
      </c>
      <c r="J18">
        <v>6</v>
      </c>
    </row>
    <row r="19" spans="1:10" ht="21" customHeight="1">
      <c r="B19" s="5" t="s">
        <v>1</v>
      </c>
      <c r="C19">
        <f t="shared" ref="C19:J19" si="0">SUM(C18)</f>
        <v>349</v>
      </c>
      <c r="D19">
        <f t="shared" si="0"/>
        <v>281</v>
      </c>
      <c r="E19">
        <f t="shared" si="0"/>
        <v>111</v>
      </c>
      <c r="F19">
        <f t="shared" si="0"/>
        <v>131</v>
      </c>
      <c r="G19">
        <f t="shared" si="0"/>
        <v>25</v>
      </c>
      <c r="H19">
        <f t="shared" si="0"/>
        <v>7</v>
      </c>
      <c r="I19">
        <f t="shared" si="0"/>
        <v>1</v>
      </c>
      <c r="J19">
        <f t="shared" si="0"/>
        <v>6</v>
      </c>
    </row>
    <row r="20" spans="1:10" ht="21" customHeight="1">
      <c r="C20" t="s">
        <v>2</v>
      </c>
      <c r="H20" t="s">
        <v>2</v>
      </c>
    </row>
    <row r="21" spans="1:10" ht="21" customHeight="1">
      <c r="A21" s="3">
        <v>121</v>
      </c>
      <c r="B21" s="4" t="s">
        <v>3</v>
      </c>
      <c r="C21">
        <v>4841</v>
      </c>
      <c r="D21">
        <v>3882</v>
      </c>
      <c r="E21">
        <v>1939</v>
      </c>
      <c r="F21">
        <v>1324</v>
      </c>
      <c r="G21">
        <v>460</v>
      </c>
      <c r="H21">
        <v>118</v>
      </c>
      <c r="I21">
        <v>55</v>
      </c>
      <c r="J21">
        <v>42</v>
      </c>
    </row>
    <row r="22" spans="1:10" ht="21" customHeight="1">
      <c r="A22" s="3">
        <v>122</v>
      </c>
      <c r="B22" s="4" t="s">
        <v>4</v>
      </c>
      <c r="C22">
        <v>875</v>
      </c>
      <c r="D22">
        <v>690</v>
      </c>
      <c r="E22">
        <v>433</v>
      </c>
      <c r="F22">
        <v>186</v>
      </c>
      <c r="G22">
        <v>38</v>
      </c>
      <c r="H22">
        <v>24</v>
      </c>
      <c r="I22">
        <v>18</v>
      </c>
      <c r="J22">
        <v>3</v>
      </c>
    </row>
    <row r="23" spans="1:10" ht="21" customHeight="1">
      <c r="A23" s="3">
        <v>123</v>
      </c>
      <c r="B23" s="4" t="s">
        <v>5</v>
      </c>
      <c r="C23">
        <v>7646</v>
      </c>
      <c r="D23">
        <v>5697</v>
      </c>
      <c r="E23">
        <v>3660</v>
      </c>
      <c r="F23">
        <v>1278</v>
      </c>
      <c r="G23">
        <v>445</v>
      </c>
      <c r="H23">
        <v>224</v>
      </c>
      <c r="I23">
        <v>160</v>
      </c>
      <c r="J23">
        <v>46</v>
      </c>
    </row>
    <row r="24" spans="1:10" ht="21" customHeight="1">
      <c r="B24" s="5" t="s">
        <v>6</v>
      </c>
      <c r="C24">
        <f t="shared" ref="C24:J24" si="1">SUM(C21:C23)</f>
        <v>13362</v>
      </c>
      <c r="D24">
        <f t="shared" si="1"/>
        <v>10269</v>
      </c>
      <c r="E24">
        <f t="shared" si="1"/>
        <v>6032</v>
      </c>
      <c r="F24">
        <f t="shared" si="1"/>
        <v>2788</v>
      </c>
      <c r="G24">
        <f t="shared" si="1"/>
        <v>943</v>
      </c>
      <c r="H24">
        <f t="shared" si="1"/>
        <v>366</v>
      </c>
      <c r="I24">
        <f t="shared" si="1"/>
        <v>233</v>
      </c>
      <c r="J24">
        <f t="shared" si="1"/>
        <v>91</v>
      </c>
    </row>
    <row r="25" spans="1:10" ht="21" customHeight="1">
      <c r="C25" t="s">
        <v>2</v>
      </c>
    </row>
    <row r="26" spans="1:10" ht="21" customHeight="1">
      <c r="A26" s="3">
        <v>131</v>
      </c>
      <c r="B26" s="4" t="s">
        <v>7</v>
      </c>
      <c r="C26">
        <v>2208</v>
      </c>
      <c r="D26">
        <v>1813</v>
      </c>
      <c r="E26">
        <v>612</v>
      </c>
      <c r="F26">
        <v>877</v>
      </c>
      <c r="G26">
        <v>275</v>
      </c>
      <c r="H26">
        <v>36</v>
      </c>
      <c r="I26">
        <v>21</v>
      </c>
      <c r="J26">
        <v>12</v>
      </c>
    </row>
    <row r="27" spans="1:10" ht="21" customHeight="1">
      <c r="A27" s="3">
        <v>132</v>
      </c>
      <c r="B27" s="4" t="s">
        <v>8</v>
      </c>
      <c r="C27">
        <v>3221</v>
      </c>
      <c r="D27">
        <v>2483</v>
      </c>
      <c r="E27">
        <v>1161</v>
      </c>
      <c r="F27">
        <v>897</v>
      </c>
      <c r="G27">
        <v>302</v>
      </c>
      <c r="H27">
        <v>73</v>
      </c>
      <c r="I27">
        <v>44</v>
      </c>
      <c r="J27">
        <v>24</v>
      </c>
    </row>
    <row r="28" spans="1:10" ht="21" customHeight="1">
      <c r="A28" s="3">
        <v>133</v>
      </c>
      <c r="B28" s="4" t="s">
        <v>9</v>
      </c>
      <c r="C28">
        <v>4632</v>
      </c>
      <c r="D28">
        <v>3312</v>
      </c>
      <c r="E28">
        <v>1918</v>
      </c>
      <c r="F28">
        <v>950</v>
      </c>
      <c r="G28">
        <v>282</v>
      </c>
      <c r="H28">
        <v>113</v>
      </c>
      <c r="I28">
        <v>63</v>
      </c>
      <c r="J28">
        <v>40</v>
      </c>
    </row>
    <row r="29" spans="1:10" ht="21" customHeight="1">
      <c r="A29" s="3">
        <v>134</v>
      </c>
      <c r="B29" s="4" t="s">
        <v>10</v>
      </c>
      <c r="C29">
        <v>7235</v>
      </c>
      <c r="D29">
        <v>4877</v>
      </c>
      <c r="E29">
        <v>2664</v>
      </c>
      <c r="F29">
        <v>1530</v>
      </c>
      <c r="G29">
        <v>416</v>
      </c>
      <c r="H29">
        <v>176</v>
      </c>
      <c r="I29">
        <v>87</v>
      </c>
      <c r="J29">
        <v>72</v>
      </c>
    </row>
    <row r="30" spans="1:10" ht="21" customHeight="1">
      <c r="A30" s="3">
        <v>135</v>
      </c>
      <c r="B30" s="4" t="s">
        <v>11</v>
      </c>
      <c r="C30">
        <v>8019</v>
      </c>
      <c r="D30">
        <v>5662</v>
      </c>
      <c r="E30">
        <v>2840</v>
      </c>
      <c r="F30">
        <v>2002</v>
      </c>
      <c r="G30">
        <v>548</v>
      </c>
      <c r="H30">
        <v>173</v>
      </c>
      <c r="I30">
        <v>76</v>
      </c>
      <c r="J30">
        <v>68</v>
      </c>
    </row>
    <row r="31" spans="1:10" ht="21" customHeight="1">
      <c r="A31" s="3">
        <v>136</v>
      </c>
      <c r="B31" s="4" t="s">
        <v>12</v>
      </c>
      <c r="C31">
        <v>2478</v>
      </c>
      <c r="D31">
        <v>1777</v>
      </c>
      <c r="E31">
        <v>953</v>
      </c>
      <c r="F31">
        <v>561</v>
      </c>
      <c r="G31">
        <v>180</v>
      </c>
      <c r="H31">
        <v>41</v>
      </c>
      <c r="I31">
        <v>19</v>
      </c>
      <c r="J31">
        <v>15</v>
      </c>
    </row>
    <row r="32" spans="1:10" ht="21" customHeight="1">
      <c r="A32" s="3">
        <v>137</v>
      </c>
      <c r="B32" s="4" t="s">
        <v>13</v>
      </c>
      <c r="C32">
        <v>597</v>
      </c>
      <c r="D32">
        <v>455</v>
      </c>
      <c r="E32">
        <v>258</v>
      </c>
      <c r="F32">
        <v>139</v>
      </c>
      <c r="G32">
        <v>40</v>
      </c>
      <c r="H32">
        <v>11</v>
      </c>
      <c r="I32">
        <v>2</v>
      </c>
      <c r="J32">
        <v>8</v>
      </c>
    </row>
    <row r="33" spans="1:10" ht="21" customHeight="1">
      <c r="B33" s="5" t="s">
        <v>14</v>
      </c>
      <c r="C33">
        <f t="shared" ref="C33:J33" si="2">SUM(C26:C32)</f>
        <v>28390</v>
      </c>
      <c r="D33">
        <f t="shared" si="2"/>
        <v>20379</v>
      </c>
      <c r="E33">
        <f t="shared" si="2"/>
        <v>10406</v>
      </c>
      <c r="F33">
        <f t="shared" si="2"/>
        <v>6956</v>
      </c>
      <c r="G33">
        <f t="shared" si="2"/>
        <v>2043</v>
      </c>
      <c r="H33">
        <f t="shared" si="2"/>
        <v>623</v>
      </c>
      <c r="I33">
        <f t="shared" si="2"/>
        <v>312</v>
      </c>
      <c r="J33">
        <f t="shared" si="2"/>
        <v>239</v>
      </c>
    </row>
    <row r="34" spans="1:10" ht="21" customHeight="1">
      <c r="C34" t="s">
        <v>2</v>
      </c>
    </row>
    <row r="35" spans="1:10" ht="21" customHeight="1">
      <c r="A35" s="3">
        <v>141</v>
      </c>
      <c r="B35" s="4" t="s">
        <v>15</v>
      </c>
      <c r="C35">
        <v>4345</v>
      </c>
      <c r="D35">
        <v>3402</v>
      </c>
      <c r="E35">
        <v>1515</v>
      </c>
      <c r="F35">
        <v>1294</v>
      </c>
      <c r="G35">
        <v>453</v>
      </c>
      <c r="H35">
        <v>102</v>
      </c>
      <c r="I35">
        <v>49</v>
      </c>
      <c r="J35">
        <v>41</v>
      </c>
    </row>
    <row r="36" spans="1:10" ht="21" customHeight="1">
      <c r="A36" s="3">
        <v>142</v>
      </c>
      <c r="B36" s="4" t="s">
        <v>16</v>
      </c>
      <c r="C36">
        <v>6959</v>
      </c>
      <c r="D36">
        <v>5178</v>
      </c>
      <c r="E36">
        <v>2343</v>
      </c>
      <c r="F36">
        <v>2016</v>
      </c>
      <c r="G36">
        <v>562</v>
      </c>
      <c r="H36">
        <v>191</v>
      </c>
      <c r="I36">
        <v>87</v>
      </c>
      <c r="J36">
        <v>82</v>
      </c>
    </row>
    <row r="37" spans="1:10" ht="21" customHeight="1">
      <c r="B37" s="5" t="s">
        <v>17</v>
      </c>
      <c r="C37">
        <f t="shared" ref="C37:J37" si="3">SUM(C35:C36)</f>
        <v>11304</v>
      </c>
      <c r="D37">
        <f t="shared" si="3"/>
        <v>8580</v>
      </c>
      <c r="E37">
        <f t="shared" si="3"/>
        <v>3858</v>
      </c>
      <c r="F37">
        <f t="shared" si="3"/>
        <v>3310</v>
      </c>
      <c r="G37">
        <f t="shared" si="3"/>
        <v>1015</v>
      </c>
      <c r="H37">
        <f t="shared" si="3"/>
        <v>293</v>
      </c>
      <c r="I37">
        <f t="shared" si="3"/>
        <v>136</v>
      </c>
      <c r="J37">
        <f t="shared" si="3"/>
        <v>123</v>
      </c>
    </row>
    <row r="38" spans="1:10" ht="21" customHeight="1">
      <c r="C38" t="s">
        <v>2</v>
      </c>
    </row>
    <row r="39" spans="1:10" ht="21" customHeight="1">
      <c r="B39" s="5" t="s">
        <v>18</v>
      </c>
      <c r="C39" t="s">
        <v>2</v>
      </c>
    </row>
    <row r="40" spans="1:10" ht="21" customHeight="1">
      <c r="C40" t="s">
        <v>2</v>
      </c>
    </row>
    <row r="41" spans="1:10" ht="21" customHeight="1">
      <c r="A41" s="3">
        <v>211</v>
      </c>
      <c r="B41" s="4" t="s">
        <v>19</v>
      </c>
      <c r="C41">
        <v>6162</v>
      </c>
      <c r="D41">
        <v>4880</v>
      </c>
      <c r="E41">
        <v>2126</v>
      </c>
      <c r="F41">
        <v>1959</v>
      </c>
      <c r="G41">
        <v>595</v>
      </c>
      <c r="H41">
        <v>147</v>
      </c>
      <c r="I41">
        <v>65</v>
      </c>
      <c r="J41">
        <v>66</v>
      </c>
    </row>
    <row r="42" spans="1:10" ht="21" customHeight="1">
      <c r="A42" s="3">
        <v>212</v>
      </c>
      <c r="B42" s="4" t="s">
        <v>20</v>
      </c>
      <c r="C42">
        <v>11111</v>
      </c>
      <c r="D42">
        <v>8306</v>
      </c>
      <c r="E42">
        <v>4072</v>
      </c>
      <c r="F42">
        <v>3009</v>
      </c>
      <c r="G42">
        <v>864</v>
      </c>
      <c r="H42">
        <v>256</v>
      </c>
      <c r="I42">
        <v>112</v>
      </c>
      <c r="J42">
        <v>117</v>
      </c>
    </row>
    <row r="43" spans="1:10" ht="21" customHeight="1">
      <c r="A43" s="3">
        <v>213</v>
      </c>
      <c r="B43" s="4" t="s">
        <v>21</v>
      </c>
      <c r="C43">
        <v>3233</v>
      </c>
      <c r="D43">
        <v>2488</v>
      </c>
      <c r="E43">
        <v>1550</v>
      </c>
      <c r="F43">
        <v>633</v>
      </c>
      <c r="G43">
        <v>192</v>
      </c>
      <c r="H43">
        <v>74</v>
      </c>
      <c r="I43">
        <v>41</v>
      </c>
      <c r="J43">
        <v>22</v>
      </c>
    </row>
    <row r="44" spans="1:10" ht="21" customHeight="1">
      <c r="A44" s="3">
        <v>214</v>
      </c>
      <c r="B44" s="4" t="s">
        <v>22</v>
      </c>
      <c r="C44">
        <v>3886</v>
      </c>
      <c r="D44">
        <v>2909</v>
      </c>
      <c r="E44">
        <v>1378</v>
      </c>
      <c r="F44">
        <v>1031</v>
      </c>
      <c r="G44">
        <v>355</v>
      </c>
      <c r="H44">
        <v>102</v>
      </c>
      <c r="I44">
        <v>54</v>
      </c>
      <c r="J44">
        <v>37</v>
      </c>
    </row>
    <row r="45" spans="1:10" ht="21" customHeight="1">
      <c r="A45" s="3">
        <v>215</v>
      </c>
      <c r="B45" s="4" t="s">
        <v>23</v>
      </c>
      <c r="C45">
        <v>5772</v>
      </c>
      <c r="D45">
        <v>3869</v>
      </c>
      <c r="E45">
        <v>2245</v>
      </c>
      <c r="F45">
        <v>1094</v>
      </c>
      <c r="G45">
        <v>314</v>
      </c>
      <c r="H45">
        <v>165</v>
      </c>
      <c r="I45">
        <v>84</v>
      </c>
      <c r="J45">
        <v>61</v>
      </c>
    </row>
    <row r="46" spans="1:10" ht="21" customHeight="1">
      <c r="B46" s="5" t="s">
        <v>24</v>
      </c>
      <c r="C46">
        <f t="shared" ref="C46:J46" si="4">SUM(C41:C45)</f>
        <v>30164</v>
      </c>
      <c r="D46">
        <f t="shared" si="4"/>
        <v>22452</v>
      </c>
      <c r="E46">
        <f t="shared" si="4"/>
        <v>11371</v>
      </c>
      <c r="F46">
        <f t="shared" si="4"/>
        <v>7726</v>
      </c>
      <c r="G46">
        <f t="shared" si="4"/>
        <v>2320</v>
      </c>
      <c r="H46">
        <f t="shared" si="4"/>
        <v>744</v>
      </c>
      <c r="I46">
        <f t="shared" si="4"/>
        <v>356</v>
      </c>
      <c r="J46">
        <f t="shared" si="4"/>
        <v>303</v>
      </c>
    </row>
    <row r="47" spans="1:10" ht="21" customHeight="1">
      <c r="C47" t="s">
        <v>2</v>
      </c>
    </row>
    <row r="48" spans="1:10" ht="21" customHeight="1">
      <c r="A48" s="3">
        <v>221</v>
      </c>
      <c r="B48" s="4" t="s">
        <v>25</v>
      </c>
      <c r="C48">
        <v>1828</v>
      </c>
      <c r="D48">
        <v>1472</v>
      </c>
      <c r="E48">
        <v>793</v>
      </c>
      <c r="F48">
        <v>494</v>
      </c>
      <c r="G48">
        <v>123</v>
      </c>
      <c r="H48">
        <v>35</v>
      </c>
      <c r="I48">
        <v>17</v>
      </c>
      <c r="J48">
        <v>13</v>
      </c>
    </row>
    <row r="49" spans="1:10" ht="21" customHeight="1">
      <c r="B49" s="5" t="s">
        <v>26</v>
      </c>
      <c r="C49">
        <f t="shared" ref="C49:J49" si="5">SUM(C48)</f>
        <v>1828</v>
      </c>
      <c r="D49">
        <f t="shared" si="5"/>
        <v>1472</v>
      </c>
      <c r="E49">
        <f t="shared" si="5"/>
        <v>793</v>
      </c>
      <c r="F49">
        <f t="shared" si="5"/>
        <v>494</v>
      </c>
      <c r="G49">
        <f t="shared" si="5"/>
        <v>123</v>
      </c>
      <c r="H49">
        <f t="shared" si="5"/>
        <v>35</v>
      </c>
      <c r="I49">
        <f t="shared" si="5"/>
        <v>17</v>
      </c>
      <c r="J49">
        <f t="shared" si="5"/>
        <v>13</v>
      </c>
    </row>
    <row r="50" spans="1:10" ht="21" customHeight="1">
      <c r="C50" t="s">
        <v>2</v>
      </c>
    </row>
    <row r="51" spans="1:10" ht="21" customHeight="1">
      <c r="A51" s="3">
        <v>231</v>
      </c>
      <c r="B51" s="4" t="s">
        <v>27</v>
      </c>
      <c r="C51">
        <v>2371</v>
      </c>
      <c r="D51">
        <v>1827</v>
      </c>
      <c r="E51">
        <v>1180</v>
      </c>
      <c r="F51">
        <v>425</v>
      </c>
      <c r="G51">
        <v>169</v>
      </c>
      <c r="H51">
        <v>43</v>
      </c>
      <c r="I51">
        <v>27</v>
      </c>
      <c r="J51">
        <v>14</v>
      </c>
    </row>
    <row r="52" spans="1:10" ht="21" customHeight="1">
      <c r="B52" s="5" t="s">
        <v>28</v>
      </c>
      <c r="C52">
        <f t="shared" ref="C52:J52" si="6">SUM(C51)</f>
        <v>2371</v>
      </c>
      <c r="D52">
        <f t="shared" si="6"/>
        <v>1827</v>
      </c>
      <c r="E52">
        <f t="shared" si="6"/>
        <v>1180</v>
      </c>
      <c r="F52">
        <f t="shared" si="6"/>
        <v>425</v>
      </c>
      <c r="G52">
        <f t="shared" si="6"/>
        <v>169</v>
      </c>
      <c r="H52">
        <f t="shared" si="6"/>
        <v>43</v>
      </c>
      <c r="I52">
        <f t="shared" si="6"/>
        <v>27</v>
      </c>
      <c r="J52">
        <f t="shared" si="6"/>
        <v>14</v>
      </c>
    </row>
    <row r="53" spans="1:10" ht="21" customHeight="1">
      <c r="C53" t="s">
        <v>2</v>
      </c>
    </row>
    <row r="54" spans="1:10" ht="21" customHeight="1">
      <c r="A54" s="3">
        <v>241</v>
      </c>
      <c r="B54" s="4" t="s">
        <v>29</v>
      </c>
      <c r="C54">
        <v>4269</v>
      </c>
      <c r="D54">
        <v>3064</v>
      </c>
      <c r="E54">
        <v>1511</v>
      </c>
      <c r="F54">
        <v>1077</v>
      </c>
      <c r="G54">
        <v>301</v>
      </c>
      <c r="H54">
        <v>114</v>
      </c>
      <c r="I54">
        <v>51</v>
      </c>
      <c r="J54">
        <v>47</v>
      </c>
    </row>
    <row r="55" spans="1:10" ht="21" customHeight="1">
      <c r="A55" s="3">
        <v>242</v>
      </c>
      <c r="B55" s="4" t="s">
        <v>30</v>
      </c>
      <c r="C55">
        <v>3977</v>
      </c>
      <c r="D55">
        <v>3063</v>
      </c>
      <c r="E55">
        <v>1647</v>
      </c>
      <c r="F55">
        <v>985</v>
      </c>
      <c r="G55">
        <v>299</v>
      </c>
      <c r="H55">
        <v>88</v>
      </c>
      <c r="I55">
        <v>43</v>
      </c>
      <c r="J55">
        <v>37</v>
      </c>
    </row>
    <row r="56" spans="1:10" ht="21" customHeight="1">
      <c r="B56" s="5" t="s">
        <v>31</v>
      </c>
      <c r="C56">
        <f t="shared" ref="C56:J56" si="7">SUM(C54:C55)</f>
        <v>8246</v>
      </c>
      <c r="D56">
        <f t="shared" si="7"/>
        <v>6127</v>
      </c>
      <c r="E56">
        <f t="shared" si="7"/>
        <v>3158</v>
      </c>
      <c r="F56">
        <f t="shared" si="7"/>
        <v>2062</v>
      </c>
      <c r="G56">
        <f t="shared" si="7"/>
        <v>600</v>
      </c>
      <c r="H56">
        <f t="shared" si="7"/>
        <v>202</v>
      </c>
      <c r="I56">
        <f t="shared" si="7"/>
        <v>94</v>
      </c>
      <c r="J56">
        <f t="shared" si="7"/>
        <v>84</v>
      </c>
    </row>
    <row r="57" spans="1:10" ht="21" customHeight="1">
      <c r="C57" t="s">
        <v>2</v>
      </c>
      <c r="D57" s="1"/>
      <c r="E57" s="1"/>
      <c r="F57" s="1"/>
    </row>
    <row r="58" spans="1:10" ht="21" customHeight="1">
      <c r="A58" s="3">
        <v>251</v>
      </c>
      <c r="B58" s="4" t="s">
        <v>32</v>
      </c>
      <c r="C58">
        <v>281</v>
      </c>
      <c r="D58" s="7">
        <v>159</v>
      </c>
      <c r="E58" s="7">
        <v>82</v>
      </c>
      <c r="F58" s="7">
        <v>40</v>
      </c>
      <c r="G58">
        <v>18</v>
      </c>
      <c r="H58">
        <v>12</v>
      </c>
      <c r="I58">
        <v>7</v>
      </c>
      <c r="J58">
        <v>4</v>
      </c>
    </row>
    <row r="59" spans="1:10" ht="21" customHeight="1">
      <c r="B59" s="5" t="s">
        <v>33</v>
      </c>
      <c r="C59">
        <f t="shared" ref="C59:J59" si="8">SUM(C58)</f>
        <v>281</v>
      </c>
      <c r="D59">
        <f t="shared" si="8"/>
        <v>159</v>
      </c>
      <c r="E59">
        <f t="shared" si="8"/>
        <v>82</v>
      </c>
      <c r="F59">
        <f t="shared" si="8"/>
        <v>40</v>
      </c>
      <c r="G59">
        <f t="shared" si="8"/>
        <v>18</v>
      </c>
      <c r="H59">
        <f t="shared" si="8"/>
        <v>12</v>
      </c>
      <c r="I59">
        <f t="shared" si="8"/>
        <v>7</v>
      </c>
      <c r="J59">
        <f t="shared" si="8"/>
        <v>4</v>
      </c>
    </row>
    <row r="60" spans="1:10" ht="21" customHeight="1">
      <c r="C60" t="s">
        <v>2</v>
      </c>
      <c r="D60" s="2"/>
      <c r="E60" s="2"/>
      <c r="F60" s="2"/>
    </row>
    <row r="61" spans="1:10" ht="21" customHeight="1">
      <c r="B61" s="5" t="s">
        <v>34</v>
      </c>
      <c r="C61" t="s">
        <v>2</v>
      </c>
    </row>
    <row r="62" spans="1:10" ht="21" customHeight="1">
      <c r="C62" t="s">
        <v>2</v>
      </c>
    </row>
    <row r="63" spans="1:10" ht="21" customHeight="1">
      <c r="B63" s="6" t="s">
        <v>35</v>
      </c>
      <c r="C63">
        <v>102995</v>
      </c>
      <c r="D63">
        <v>77617</v>
      </c>
      <c r="E63">
        <v>39546</v>
      </c>
      <c r="F63">
        <v>26435</v>
      </c>
      <c r="G63">
        <v>7989</v>
      </c>
      <c r="H63">
        <v>2562</v>
      </c>
      <c r="I63">
        <v>1307</v>
      </c>
      <c r="J63">
        <v>940</v>
      </c>
    </row>
    <row r="64" spans="1:10" ht="21" customHeight="1">
      <c r="B64" s="4" t="s">
        <v>36</v>
      </c>
      <c r="C64" t="s">
        <v>2</v>
      </c>
    </row>
    <row r="65" spans="1:10" ht="21" customHeight="1">
      <c r="B65" s="4" t="s">
        <v>37</v>
      </c>
      <c r="C65">
        <v>96295</v>
      </c>
      <c r="D65">
        <v>71546</v>
      </c>
      <c r="E65">
        <v>36991</v>
      </c>
      <c r="F65">
        <v>23932</v>
      </c>
      <c r="G65">
        <v>7256</v>
      </c>
      <c r="H65">
        <v>2325</v>
      </c>
      <c r="I65">
        <v>1183</v>
      </c>
      <c r="J65">
        <v>877</v>
      </c>
    </row>
    <row r="66" spans="1:10" ht="21" customHeight="1">
      <c r="B66" s="4" t="s">
        <v>38</v>
      </c>
      <c r="C66">
        <v>6700</v>
      </c>
      <c r="D66">
        <v>6071</v>
      </c>
      <c r="E66">
        <v>2555</v>
      </c>
      <c r="F66">
        <v>2503</v>
      </c>
      <c r="G66">
        <v>733</v>
      </c>
      <c r="H66">
        <v>237</v>
      </c>
      <c r="I66">
        <v>124</v>
      </c>
      <c r="J66">
        <v>63</v>
      </c>
    </row>
    <row r="67" spans="1:10" ht="21" customHeight="1">
      <c r="C67" t="s">
        <v>2</v>
      </c>
    </row>
    <row r="68" spans="1:10" ht="14" customHeight="1">
      <c r="A68" s="3" t="s">
        <v>39</v>
      </c>
      <c r="C68" t="s">
        <v>2</v>
      </c>
    </row>
    <row r="69" spans="1:10" ht="14" customHeight="1">
      <c r="A69" s="3" t="s">
        <v>40</v>
      </c>
      <c r="C69" t="s">
        <v>2</v>
      </c>
    </row>
    <row r="70" spans="1:10" ht="14" customHeight="1">
      <c r="A70" s="3" t="s">
        <v>41</v>
      </c>
      <c r="C70" t="s">
        <v>2</v>
      </c>
    </row>
    <row r="71" spans="1:10" ht="14" customHeight="1">
      <c r="A71" s="3" t="s">
        <v>42</v>
      </c>
      <c r="C71" t="s">
        <v>2</v>
      </c>
    </row>
    <row r="72" spans="1:10" ht="14" customHeight="1">
      <c r="C72" t="s">
        <v>2</v>
      </c>
    </row>
    <row r="73" spans="1:10" ht="14" customHeight="1">
      <c r="C73" t="s">
        <v>2</v>
      </c>
    </row>
    <row r="74" spans="1:10" ht="14" customHeight="1">
      <c r="C74" t="s">
        <v>2</v>
      </c>
    </row>
    <row r="75" spans="1:10" ht="14" customHeight="1">
      <c r="C75" t="s">
        <v>2</v>
      </c>
    </row>
    <row r="76" spans="1:10" ht="14" customHeight="1">
      <c r="C76" t="s">
        <v>2</v>
      </c>
    </row>
    <row r="77" spans="1:10" ht="14" customHeight="1">
      <c r="C77" t="s">
        <v>2</v>
      </c>
    </row>
    <row r="78" spans="1:10" ht="14" customHeight="1">
      <c r="C78" t="s">
        <v>2</v>
      </c>
    </row>
    <row r="79" spans="1:10" ht="14" customHeight="1">
      <c r="C79" t="s">
        <v>2</v>
      </c>
    </row>
    <row r="80" spans="1:10" ht="14" customHeight="1">
      <c r="C80" t="s">
        <v>2</v>
      </c>
    </row>
    <row r="81" spans="3:3" ht="14" customHeight="1">
      <c r="C81" t="s">
        <v>2</v>
      </c>
    </row>
    <row r="82" spans="3:3" ht="14" customHeight="1">
      <c r="C82" t="s">
        <v>2</v>
      </c>
    </row>
    <row r="83" spans="3:3" ht="14" customHeight="1">
      <c r="C83" t="s">
        <v>2</v>
      </c>
    </row>
    <row r="84" spans="3:3" ht="14" customHeight="1">
      <c r="C84" t="s">
        <v>2</v>
      </c>
    </row>
    <row r="85" spans="3:3" ht="14" customHeight="1">
      <c r="C85" t="s">
        <v>2</v>
      </c>
    </row>
    <row r="86" spans="3:3" ht="14" customHeight="1">
      <c r="C86" t="s">
        <v>2</v>
      </c>
    </row>
    <row r="87" spans="3:3" ht="14" customHeight="1">
      <c r="C87" t="s">
        <v>2</v>
      </c>
    </row>
    <row r="88" spans="3:3" ht="14" customHeight="1">
      <c r="C88" t="s">
        <v>2</v>
      </c>
    </row>
    <row r="89" spans="3:3" ht="14" customHeight="1">
      <c r="C89" t="s">
        <v>2</v>
      </c>
    </row>
    <row r="90" spans="3:3" ht="14" customHeight="1">
      <c r="C90" t="s">
        <v>2</v>
      </c>
    </row>
    <row r="91" spans="3:3" ht="14" customHeight="1">
      <c r="C91" t="s">
        <v>2</v>
      </c>
    </row>
    <row r="92" spans="3:3" ht="13" customHeight="1">
      <c r="C92" t="s">
        <v>2</v>
      </c>
    </row>
    <row r="93" spans="3:3" ht="13" customHeight="1">
      <c r="C93" t="s">
        <v>2</v>
      </c>
    </row>
    <row r="94" spans="3:3" ht="13" customHeight="1">
      <c r="C94" t="s">
        <v>2</v>
      </c>
    </row>
    <row r="95" spans="3:3" ht="11" customHeight="1">
      <c r="C95" t="s">
        <v>2</v>
      </c>
    </row>
    <row r="96" spans="3:3" ht="11" customHeight="1">
      <c r="C96" t="s">
        <v>2</v>
      </c>
    </row>
    <row r="97" spans="3:3" ht="11" customHeight="1"/>
    <row r="98" spans="3:3" ht="11" customHeight="1">
      <c r="C98" t="s">
        <v>2</v>
      </c>
    </row>
    <row r="99" spans="3:3" ht="11" customHeight="1">
      <c r="C99" t="s">
        <v>2</v>
      </c>
    </row>
    <row r="100" spans="3:3" ht="11" customHeight="1">
      <c r="C100" t="s">
        <v>2</v>
      </c>
    </row>
    <row r="101" spans="3:3" ht="11" customHeight="1">
      <c r="C101" t="s">
        <v>2</v>
      </c>
    </row>
  </sheetData>
  <printOptions horizontalCentered="1"/>
  <pageMargins left="0.78740157480314965" right="0.78740157480314965" top="0.98425196850393704" bottom="0.98425196850393704" header="0.4921259845" footer="0.4921259845"/>
  <headerFooter>
    <oddHeader xml:space="preserve"> </oddHeader>
    <oddFooter>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Bremen_Bürgerschaft_1975 BHV</vt:lpstr>
      <vt:lpstr>'Bremen_Bürgerschaft_1975 BHV'!Druckbereich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2026-03-20T20:14:07Z</dcterms:created>
  <dcterms:modified xsi:type="dcterms:W3CDTF">2026-03-20T20:14:07Z</dcterms:modified>
</cp:coreProperties>
</file>