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040F67B6-B343-634C-B459-A79C949BAEC6}" xr6:coauthVersionLast="47" xr6:coauthVersionMax="47" xr10:uidLastSave="{00000000-0000-0000-0000-000000000000}"/>
  <bookViews>
    <workbookView xWindow="0" yWindow="660" windowWidth="30240" windowHeight="17520" xr2:uid="{A0309BDD-BAB9-1046-AE9E-1255560655BA}"/>
  </bookViews>
  <sheets>
    <sheet name="Bremen_Bürgerschaft_1987" sheetId="1" r:id="rId1"/>
  </sheets>
  <calcPr calcId="0" refMode="R1C1"/>
</workbook>
</file>

<file path=xl/calcChain.xml><?xml version="1.0" encoding="utf-8"?>
<calcChain xmlns="http://schemas.openxmlformats.org/spreadsheetml/2006/main">
  <c r="J16" i="1" l="1"/>
  <c r="J17" i="1"/>
  <c r="J18" i="1"/>
  <c r="J19" i="1"/>
  <c r="J21" i="1"/>
  <c r="J22" i="1"/>
  <c r="J24" i="1"/>
  <c r="J27" i="1"/>
  <c r="J29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7" i="1"/>
  <c r="J48" i="1"/>
  <c r="J49" i="1"/>
  <c r="J50" i="1"/>
  <c r="J51" i="1"/>
  <c r="J53" i="1"/>
  <c r="J54" i="1"/>
  <c r="J55" i="1"/>
  <c r="J57" i="1"/>
  <c r="J58" i="1"/>
  <c r="J60" i="1"/>
  <c r="J62" i="1"/>
  <c r="J63" i="1"/>
  <c r="J64" i="1"/>
  <c r="J65" i="1"/>
  <c r="J66" i="1"/>
  <c r="J68" i="1"/>
  <c r="J69" i="1"/>
  <c r="J70" i="1"/>
  <c r="J71" i="1"/>
  <c r="J72" i="1"/>
  <c r="J73" i="1"/>
  <c r="J74" i="1"/>
  <c r="J75" i="1"/>
  <c r="J77" i="1"/>
  <c r="J78" i="1"/>
  <c r="J79" i="1"/>
  <c r="J80" i="1"/>
  <c r="J81" i="1"/>
  <c r="J83" i="1"/>
  <c r="J84" i="1"/>
  <c r="J85" i="1"/>
  <c r="J86" i="1"/>
  <c r="J88" i="1"/>
  <c r="J89" i="1"/>
  <c r="J91" i="1"/>
  <c r="J92" i="1"/>
  <c r="J93" i="1"/>
  <c r="J94" i="1"/>
  <c r="J95" i="1"/>
  <c r="J96" i="1"/>
  <c r="J98" i="1"/>
  <c r="J99" i="1"/>
  <c r="J100" i="1"/>
  <c r="J101" i="1"/>
  <c r="J102" i="1"/>
  <c r="J103" i="1"/>
  <c r="J105" i="1"/>
  <c r="J107" i="1"/>
  <c r="J109" i="1"/>
  <c r="J110" i="1"/>
  <c r="J111" i="1"/>
  <c r="J112" i="1"/>
  <c r="J113" i="1"/>
  <c r="J115" i="1"/>
  <c r="J116" i="1"/>
  <c r="J117" i="1"/>
  <c r="J118" i="1"/>
  <c r="J119" i="1"/>
  <c r="J120" i="1"/>
  <c r="J121" i="1"/>
  <c r="J123" i="1"/>
  <c r="J124" i="1"/>
  <c r="J125" i="1"/>
  <c r="J126" i="1"/>
  <c r="J127" i="1"/>
  <c r="J128" i="1"/>
  <c r="J130" i="1"/>
  <c r="J132" i="1"/>
  <c r="J133" i="1"/>
  <c r="J134" i="1"/>
  <c r="J135" i="1"/>
  <c r="J136" i="1"/>
  <c r="J137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3" i="1"/>
  <c r="J155" i="1"/>
  <c r="J157" i="1"/>
  <c r="J159" i="1"/>
  <c r="J161" i="1"/>
</calcChain>
</file>

<file path=xl/sharedStrings.xml><?xml version="1.0" encoding="utf-8"?>
<sst xmlns="http://schemas.openxmlformats.org/spreadsheetml/2006/main" count="167" uniqueCount="127">
  <si>
    <t>Tabelle 25</t>
  </si>
  <si>
    <t xml:space="preserve">Altstadt..........................................................................  </t>
  </si>
  <si>
    <t xml:space="preserve">Bahnhofsvorstadt.....................................................................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</si>
  <si>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</si>
  <si>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Mitte............................................................................ </t>
  </si>
  <si>
    <t xml:space="preserve"> </t>
  </si>
  <si>
    <t>Handelsh‰fen (ohne Briefwahl).............................................</t>
  </si>
  <si>
    <t>Industrieh‰fen (ohne Briefwahl)...............................................</t>
  </si>
  <si>
    <t>Stadtbremisches ‹berseehafengebiet Bremerhaven</t>
  </si>
  <si>
    <t>(einschlieﬂlich Briefwahl Ortsteil 121 und 122)..................</t>
  </si>
  <si>
    <t>Neust‰dter Hafen (beim Ortsteil 121 erfaﬂt)........................</t>
  </si>
  <si>
    <t xml:space="preserve"> -</t>
  </si>
  <si>
    <t>Hohentorshafen (beim Ortsteil 121 erfaﬂt)...........................</t>
  </si>
  <si>
    <t>Stadtteil H‰fen (einschl. Briefwahl)......................................</t>
  </si>
  <si>
    <t xml:space="preserve">Stadtbezik Mitte.....................................................................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</si>
  <si>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</si>
  <si>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</si>
  <si>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</si>
  <si>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</si>
  <si>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</si>
  <si>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</si>
  <si>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</si>
  <si>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Huckelriede........................................................................... </t>
  </si>
  <si>
    <t xml:space="preserve">Stadtteil Neustadt.................................................................... </t>
  </si>
  <si>
    <t xml:space="preserve">Habenhausen...........................................................................  </t>
  </si>
  <si>
    <t xml:space="preserve">Arsten.................................................................................. 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</si>
  <si>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</si>
  <si>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</si>
  <si>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</si>
  <si>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</si>
  <si>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</si>
  <si>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</si>
  <si>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</si>
  <si>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</si>
  <si>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</si>
  <si>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Rablinghausen.......................................................................... </t>
  </si>
  <si>
    <t xml:space="preserve">Stadtteil Woltmershausen..........................................................   </t>
  </si>
  <si>
    <t xml:space="preserve">Seehausen............................................................................ </t>
  </si>
  <si>
    <t xml:space="preserve">Strom....................................................................................... </t>
  </si>
  <si>
    <t xml:space="preserve">Stadtbezirk S¸d.................................................................... 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</si>
  <si>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</si>
  <si>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</si>
  <si>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</si>
  <si>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</si>
  <si>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</si>
  <si>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</si>
  <si>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</si>
  <si>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</si>
  <si>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</si>
  <si>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</si>
  <si>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</si>
  <si>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</si>
  <si>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</si>
  <si>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</si>
  <si>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</si>
  <si>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</si>
  <si>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</si>
  <si>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</si>
  <si>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</si>
  <si>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</si>
  <si>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</si>
  <si>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</si>
  <si>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Borgfeld................................................................................... </t>
  </si>
  <si>
    <t xml:space="preserve">Oberneuland........................................................................... </t>
  </si>
  <si>
    <t xml:space="preserve">Ellener Feld.............................................................................  </t>
  </si>
  <si>
    <t xml:space="preserve">Ellenerbrok-Schevermoor.......................................................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</si>
  <si>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</si>
  <si>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</si>
  <si>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</si>
  <si>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</si>
  <si>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</si>
  <si>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</si>
  <si>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</si>
  <si>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</si>
  <si>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Mahndorf.................................................................................. </t>
  </si>
  <si>
    <t xml:space="preserve">Stadtteil Hemelingen.................................................................   </t>
  </si>
  <si>
    <t xml:space="preserve">Stadtbezirk Ost..........................................................................  </t>
  </si>
  <si>
    <t xml:space="preserve">Blockland..................................................................................... </t>
  </si>
  <si>
    <t xml:space="preserve">Regensburger Straﬂe................................................................. </t>
  </si>
  <si>
    <t xml:space="preserve">Findorff...................................................................................... </t>
  </si>
  <si>
    <t xml:space="preserve">Weidedamm........................................................................  </t>
  </si>
  <si>
    <t xml:space="preserve">In den Hufen............................................................................ </t>
  </si>
  <si>
    <t xml:space="preserve">Stadtteil Findorff.....................................................................  </t>
  </si>
  <si>
    <t xml:space="preserve">Utbremen............................................................................. </t>
  </si>
  <si>
    <t xml:space="preserve">Steffensweg..........................................................................   </t>
  </si>
  <si>
    <t xml:space="preserve">Westend...................................................................................  </t>
  </si>
  <si>
    <t xml:space="preserve">Walle...................................................................................... </t>
  </si>
  <si>
    <t xml:space="preserve">Osterfeuerberg.......................................................................  </t>
  </si>
  <si>
    <t>Hohweg...................................................................................</t>
  </si>
  <si>
    <t xml:space="preserve">Stadtteil Walle.......................................................................  </t>
  </si>
  <si>
    <t xml:space="preserve">Lindenhof.................................................................................  </t>
  </si>
  <si>
    <t xml:space="preserve">Grˆpelingen........................................................................... </t>
  </si>
  <si>
    <t xml:space="preserve">Ohlenhof...............................................................................  </t>
  </si>
  <si>
    <t>In den Wischen (ohne Briefwahl)...........................................</t>
  </si>
  <si>
    <t>Oslebshausen (einschl. Briefwahl Ortsteil 444)......................</t>
  </si>
  <si>
    <t xml:space="preserve">Stadtteil Grˆpelingen................................................................ </t>
  </si>
  <si>
    <t xml:space="preserve">Stadtbezirk West.................................................................. </t>
  </si>
  <si>
    <t xml:space="preserve">Burg-Grambke (einschl. Briefwahl Ortsteil 512)..................... </t>
  </si>
  <si>
    <t>Werderland (ohne Briefwahl)..................................................</t>
  </si>
  <si>
    <t xml:space="preserve">Burgdamm............................................................................  </t>
  </si>
  <si>
    <t xml:space="preserve">Lesum.................................................................................. </t>
  </si>
  <si>
    <t xml:space="preserve">St. Magnus........................................................................  </t>
  </si>
  <si>
    <t xml:space="preserve">Stadtteil Burglesum..............................................................   </t>
  </si>
  <si>
    <t xml:space="preserve">Vegesack..............................................................................  </t>
  </si>
  <si>
    <t xml:space="preserve">Grohn.....................................................................................   </t>
  </si>
  <si>
    <t xml:space="preserve">Schˆnebeck.......................................................................... </t>
  </si>
  <si>
    <t xml:space="preserve">Aumund-Hammersbeck...............................................................  </t>
  </si>
  <si>
    <t>F‰hr- Lobbendorf...............................................................................</t>
  </si>
  <si>
    <t xml:space="preserve">Stadtteil Vegesack.................................................................    </t>
  </si>
  <si>
    <t xml:space="preserve">Blumenthal.................................................................................  </t>
  </si>
  <si>
    <t xml:space="preserve">Rˆnnebeck.............................................................................  </t>
  </si>
  <si>
    <t xml:space="preserve">L¸ssum-Bockhorn........................................................................  </t>
  </si>
  <si>
    <t xml:space="preserve">Farge........................................................................................ </t>
  </si>
  <si>
    <t xml:space="preserve">Rekum.......................................................................................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</si>
  <si>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</si>
  <si>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</si>
  <si>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</si>
  <si>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</si>
  <si>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</si>
  <si>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Bremerhaven.............................................................................</t>
  </si>
  <si>
    <t>Land Bremen..................................................</t>
  </si>
  <si>
    <t xml:space="preserve">1) Nach Neuordnung der stadtbremischen Verwaltungsbezirke vom 27.5.1977 (Brem. GBL. S.219). </t>
  </si>
  <si>
    <t>2) Einschl. Wahlscheininhaber.</t>
  </si>
  <si>
    <t>3) ASD,DKP, REP, FAP, MLPD.</t>
  </si>
  <si>
    <t>4) Stadtteile mit Ortsamtsverwaltung.</t>
  </si>
  <si>
    <t>5) Ortsteile mit Ortsamtsverwaltung, die keinem Stadtteil zugeordnet sind.</t>
  </si>
  <si>
    <t>Quelle: Statistische Mitteilungen aus Bremen / Heft 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</si>
</sst>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.0"/>
    <numFmt numFmtId="179" formatCode="0.#"/>
    <numFmt numFmtId="180" formatCode="0.0"/>
    <numFmt numFmtId="181" formatCode="###\ ###"/>
  </numFmts>
  <fonts count="4">
    <font>
      <sz val="8"/>
      <name val="Helv"/>
    </font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4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2" fillId="0" borderId="0" xfId="0" applyFo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/>
    </xf>
    <xf numFmtId="18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9</xdr:col>
      <xdr:colOff>546100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CE87095D-2014-331B-B1A5-425EBDF101E1}"/>
            </a:ext>
          </a:extLst>
        </xdr:cNvPr>
        <xdr:cNvSpPr txBox="1">
          <a:spLocks noChangeArrowheads="1"/>
        </xdr:cNvSpPr>
      </xdr:nvSpPr>
      <xdr:spPr bwMode="auto">
        <a:xfrm>
          <a:off x="0" y="279400"/>
          <a:ext cx="7035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13.09.1987 nach Ortsteilen, Stadtteilen und Stadtbezirken (einschl. Briefwahl)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83D83567-4F81-D1F1-6155-437AF2AEBD5D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811E67DF-8BF0-5DB1-625B-0C69A71EA0DD}"/>
            </a:ext>
          </a:extLst>
        </xdr:cNvPr>
        <xdr:cNvSpPr txBox="1">
          <a:spLocks noChangeArrowheads="1"/>
        </xdr:cNvSpPr>
      </xdr:nvSpPr>
      <xdr:spPr bwMode="auto">
        <a:xfrm>
          <a:off x="2374900" y="9779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596900</xdr:colOff>
      <xdr:row>8</xdr:row>
      <xdr:rowOff>63500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F0042909-CD8F-48EA-EFE9-DFE7279A2FC4}"/>
            </a:ext>
          </a:extLst>
        </xdr:cNvPr>
        <xdr:cNvSpPr txBox="1">
          <a:spLocks noChangeArrowheads="1"/>
        </xdr:cNvSpPr>
      </xdr:nvSpPr>
      <xdr:spPr bwMode="auto">
        <a:xfrm>
          <a:off x="2971800" y="13462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9C24D76E-5566-5761-0343-A7902FBC77E1}"/>
            </a:ext>
          </a:extLst>
        </xdr:cNvPr>
        <xdr:cNvSpPr txBox="1">
          <a:spLocks noChangeArrowheads="1"/>
        </xdr:cNvSpPr>
      </xdr:nvSpPr>
      <xdr:spPr bwMode="auto">
        <a:xfrm>
          <a:off x="3136900" y="9779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9</xdr:col>
      <xdr:colOff>546100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28DDAD5A-4E2A-4992-61FE-F1A304DE03D0}"/>
            </a:ext>
          </a:extLst>
        </xdr:cNvPr>
        <xdr:cNvSpPr txBox="1">
          <a:spLocks noChangeArrowheads="1"/>
        </xdr:cNvSpPr>
      </xdr:nvSpPr>
      <xdr:spPr bwMode="auto">
        <a:xfrm>
          <a:off x="3695700" y="977900"/>
          <a:ext cx="33401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546100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0DA12413-7560-DC45-82C5-3AF68CE820CE}"/>
            </a:ext>
          </a:extLst>
        </xdr:cNvPr>
        <xdr:cNvSpPr txBox="1">
          <a:spLocks noChangeArrowheads="1"/>
        </xdr:cNvSpPr>
      </xdr:nvSpPr>
      <xdr:spPr bwMode="auto">
        <a:xfrm>
          <a:off x="3136900" y="18923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44C8AF8E-3C20-2C99-9D13-77790BE72CFE}"/>
            </a:ext>
          </a:extLst>
        </xdr:cNvPr>
        <xdr:cNvSpPr txBox="1">
          <a:spLocks noChangeArrowheads="1"/>
        </xdr:cNvSpPr>
      </xdr:nvSpPr>
      <xdr:spPr bwMode="auto">
        <a:xfrm>
          <a:off x="3695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ECAE82E5-08B1-C98E-3932-12CEA3E7ACDD}"/>
            </a:ext>
          </a:extLst>
        </xdr:cNvPr>
        <xdr:cNvSpPr txBox="1">
          <a:spLocks noChangeArrowheads="1"/>
        </xdr:cNvSpPr>
      </xdr:nvSpPr>
      <xdr:spPr bwMode="auto">
        <a:xfrm>
          <a:off x="42545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4690F392-5868-8093-2F9F-CDA9A95AC1DE}"/>
            </a:ext>
          </a:extLst>
        </xdr:cNvPr>
        <xdr:cNvSpPr txBox="1">
          <a:spLocks noChangeArrowheads="1"/>
        </xdr:cNvSpPr>
      </xdr:nvSpPr>
      <xdr:spPr bwMode="auto">
        <a:xfrm>
          <a:off x="48133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Die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GR‹NEN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A3357366-9A80-AD34-FD3F-F2063BA26204}"/>
            </a:ext>
          </a:extLst>
        </xdr:cNvPr>
        <xdr:cNvSpPr txBox="1">
          <a:spLocks noChangeArrowheads="1"/>
        </xdr:cNvSpPr>
      </xdr:nvSpPr>
      <xdr:spPr bwMode="auto">
        <a:xfrm>
          <a:off x="53721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40519985-848B-FA9D-3028-C253C37762A8}"/>
            </a:ext>
          </a:extLst>
        </xdr:cNvPr>
        <xdr:cNvSpPr txBox="1">
          <a:spLocks noChangeArrowheads="1"/>
        </xdr:cNvSpPr>
      </xdr:nvSpPr>
      <xdr:spPr bwMode="auto">
        <a:xfrm>
          <a:off x="59309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Liste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</a:t>
          </a:r>
        </a:p>
      </xdr:txBody>
    </xdr:sp>
    <xdr:clientData/>
  </xdr:twoCellAnchor>
  <xdr:oneCellAnchor>
    <xdr:from>
      <xdr:col>1</xdr:col>
      <xdr:colOff>863600</xdr:colOff>
      <xdr:row>44</xdr:row>
      <xdr:rowOff>12700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67B2BB75-0214-1793-1732-D98ABEC7F173}"/>
            </a:ext>
          </a:extLst>
        </xdr:cNvPr>
        <xdr:cNvSpPr txBox="1">
          <a:spLocks noChangeArrowheads="1"/>
        </xdr:cNvSpPr>
      </xdr:nvSpPr>
      <xdr:spPr bwMode="auto">
        <a:xfrm>
          <a:off x="1092200" y="7886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762000</xdr:colOff>
      <xdr:row>50</xdr:row>
      <xdr:rowOff>0</xdr:rowOff>
    </xdr:from>
    <xdr:ext cx="139700" cy="1270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7D9ABC42-9C02-894A-FE3E-71F8FCF98386}"/>
            </a:ext>
          </a:extLst>
        </xdr:cNvPr>
        <xdr:cNvSpPr txBox="1">
          <a:spLocks noChangeArrowheads="1"/>
        </xdr:cNvSpPr>
      </xdr:nvSpPr>
      <xdr:spPr bwMode="auto">
        <a:xfrm>
          <a:off x="990600" y="9017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56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25C8410F-E740-DCB0-DF93-952BF28F21C1}"/>
            </a:ext>
          </a:extLst>
        </xdr:cNvPr>
        <xdr:cNvSpPr txBox="1">
          <a:spLocks noChangeArrowheads="1"/>
        </xdr:cNvSpPr>
      </xdr:nvSpPr>
      <xdr:spPr bwMode="auto">
        <a:xfrm>
          <a:off x="723900" y="10172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57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EB4058C6-D663-3E08-36A3-47D9FB031190}"/>
            </a:ext>
          </a:extLst>
        </xdr:cNvPr>
        <xdr:cNvSpPr txBox="1">
          <a:spLocks noChangeArrowheads="1"/>
        </xdr:cNvSpPr>
      </xdr:nvSpPr>
      <xdr:spPr bwMode="auto">
        <a:xfrm>
          <a:off x="520700" y="10363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7</xdr:col>
      <xdr:colOff>469900</xdr:colOff>
      <xdr:row>2</xdr:row>
      <xdr:rowOff>139700</xdr:rowOff>
    </xdr:from>
    <xdr:ext cx="139700" cy="1397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171E3DD6-FC46-E616-9C18-41C6384E0625}"/>
            </a:ext>
          </a:extLst>
        </xdr:cNvPr>
        <xdr:cNvSpPr txBox="1">
          <a:spLocks noChangeArrowheads="1"/>
        </xdr:cNvSpPr>
      </xdr:nvSpPr>
      <xdr:spPr bwMode="auto">
        <a:xfrm>
          <a:off x="5842000" y="5080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1</xdr:col>
      <xdr:colOff>800100</xdr:colOff>
      <xdr:row>85</xdr:row>
      <xdr:rowOff>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A0BB613F-F7DA-FDD4-4A43-B56C90CE1D5A}"/>
            </a:ext>
          </a:extLst>
        </xdr:cNvPr>
        <xdr:cNvSpPr txBox="1">
          <a:spLocks noChangeArrowheads="1"/>
        </xdr:cNvSpPr>
      </xdr:nvSpPr>
      <xdr:spPr bwMode="auto">
        <a:xfrm>
          <a:off x="1028700" y="15684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94</xdr:row>
      <xdr:rowOff>177800</xdr:rowOff>
    </xdr:from>
    <xdr:ext cx="139700" cy="1397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9849D082-1EDC-B773-04F5-F5E8D20B2F89}"/>
            </a:ext>
          </a:extLst>
        </xdr:cNvPr>
        <xdr:cNvSpPr txBox="1">
          <a:spLocks noChangeArrowheads="1"/>
        </xdr:cNvSpPr>
      </xdr:nvSpPr>
      <xdr:spPr bwMode="auto">
        <a:xfrm>
          <a:off x="977900" y="17576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102</xdr:row>
      <xdr:rowOff>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13E17629-CD73-C4D5-C9AE-CB63EF277733}"/>
            </a:ext>
          </a:extLst>
        </xdr:cNvPr>
        <xdr:cNvSpPr txBox="1">
          <a:spLocks noChangeArrowheads="1"/>
        </xdr:cNvSpPr>
      </xdr:nvSpPr>
      <xdr:spPr bwMode="auto">
        <a:xfrm>
          <a:off x="1092200" y="18923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136</xdr:row>
      <xdr:rowOff>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8923CB66-A824-43D7-456E-D54D8C37E1A8}"/>
            </a:ext>
          </a:extLst>
        </xdr:cNvPr>
        <xdr:cNvSpPr txBox="1">
          <a:spLocks noChangeArrowheads="1"/>
        </xdr:cNvSpPr>
      </xdr:nvSpPr>
      <xdr:spPr bwMode="auto">
        <a:xfrm>
          <a:off x="1092200" y="25400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143</xdr:row>
      <xdr:rowOff>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0EC4F818-746A-F382-2F50-35B37D2FA708}"/>
            </a:ext>
          </a:extLst>
        </xdr:cNvPr>
        <xdr:cNvSpPr txBox="1">
          <a:spLocks noChangeArrowheads="1"/>
        </xdr:cNvSpPr>
      </xdr:nvSpPr>
      <xdr:spPr bwMode="auto">
        <a:xfrm>
          <a:off x="1092200" y="26733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150</xdr:row>
      <xdr:rowOff>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D4232D57-3C13-96F7-C51A-752090458976}"/>
            </a:ext>
          </a:extLst>
        </xdr:cNvPr>
        <xdr:cNvSpPr txBox="1">
          <a:spLocks noChangeArrowheads="1"/>
        </xdr:cNvSpPr>
      </xdr:nvSpPr>
      <xdr:spPr bwMode="auto">
        <a:xfrm>
          <a:off x="1092200" y="28067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381000</xdr:colOff>
      <xdr:row>87</xdr:row>
      <xdr:rowOff>0</xdr:rowOff>
    </xdr:from>
    <xdr:ext cx="139700" cy="1270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5B6AAF79-6706-3011-6781-ECA030083446}"/>
            </a:ext>
          </a:extLst>
        </xdr:cNvPr>
        <xdr:cNvSpPr txBox="1">
          <a:spLocks noChangeArrowheads="1"/>
        </xdr:cNvSpPr>
      </xdr:nvSpPr>
      <xdr:spPr bwMode="auto">
        <a:xfrm>
          <a:off x="609600" y="16065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571500</xdr:colOff>
      <xdr:row>88</xdr:row>
      <xdr:rowOff>12700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DC2D8366-34B1-F742-EC18-9D998A46070B}"/>
            </a:ext>
          </a:extLst>
        </xdr:cNvPr>
        <xdr:cNvSpPr txBox="1">
          <a:spLocks noChangeArrowheads="1"/>
        </xdr:cNvSpPr>
      </xdr:nvSpPr>
      <xdr:spPr bwMode="auto">
        <a:xfrm>
          <a:off x="800100" y="16268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444500</xdr:colOff>
      <xdr:row>106</xdr:row>
      <xdr:rowOff>12700</xdr:rowOff>
    </xdr:from>
    <xdr:ext cx="1397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AD542D8E-2D58-C9B0-8F09-5A220F65E915}"/>
            </a:ext>
          </a:extLst>
        </xdr:cNvPr>
        <xdr:cNvSpPr txBox="1">
          <a:spLocks noChangeArrowheads="1"/>
        </xdr:cNvSpPr>
      </xdr:nvSpPr>
      <xdr:spPr bwMode="auto">
        <a:xfrm>
          <a:off x="673100" y="19697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twoCellAnchor>
    <xdr:from>
      <xdr:col>8</xdr:col>
      <xdr:colOff>546100</xdr:colOff>
      <xdr:row>8</xdr:row>
      <xdr:rowOff>0</xdr:rowOff>
    </xdr:from>
    <xdr:to>
      <xdr:col>9</xdr:col>
      <xdr:colOff>546100</xdr:colOff>
      <xdr:row>12</xdr:row>
      <xdr:rowOff>0</xdr:rowOff>
    </xdr:to>
    <xdr:sp macro="" textlink="">
      <xdr:nvSpPr>
        <xdr:cNvPr id="1165" name="Text 141">
          <a:extLst>
            <a:ext uri="{FF2B5EF4-FFF2-40B4-BE49-F238E27FC236}">
              <a16:creationId xmlns:a16="http://schemas.microsoft.com/office/drawing/2014/main" id="{DC33252D-4522-97DA-A698-F4D9B1404FF6}"/>
            </a:ext>
          </a:extLst>
        </xdr:cNvPr>
        <xdr:cNvSpPr txBox="1">
          <a:spLocks noChangeArrowheads="1"/>
        </xdr:cNvSpPr>
      </xdr:nvSpPr>
      <xdr:spPr bwMode="auto">
        <a:xfrm>
          <a:off x="64770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9</xdr:col>
      <xdr:colOff>368300</xdr:colOff>
      <xdr:row>8</xdr:row>
      <xdr:rowOff>50800</xdr:rowOff>
    </xdr:from>
    <xdr:ext cx="139700" cy="1270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C6FF5C78-7D8C-FC97-F711-3966546AE11E}"/>
            </a:ext>
          </a:extLst>
        </xdr:cNvPr>
        <xdr:cNvSpPr txBox="1">
          <a:spLocks noChangeArrowheads="1"/>
        </xdr:cNvSpPr>
      </xdr:nvSpPr>
      <xdr:spPr bwMode="auto">
        <a:xfrm>
          <a:off x="6858000" y="13335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8F29-F383-1747-A861-12A3B3707CA0}">
  <dimension ref="A1:J177"/>
  <sheetViews>
    <sheetView tabSelected="1" topLeftCell="C1" workbookViewId="0">
      <selection activeCell="D18" sqref="D18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</cols>
  <sheetData>
    <row r="1" spans="1:10" ht="17.25" customHeight="1">
      <c r="E1" s="4" t="s">
        <v>0</v>
      </c>
    </row>
    <row r="16" spans="1:10" ht="15" customHeight="1">
      <c r="A16" s="1">
        <v>111</v>
      </c>
      <c r="B16" s="1" t="s">
        <v>1</v>
      </c>
      <c r="C16" s="12">
        <v>2560</v>
      </c>
      <c r="D16" s="7">
        <v>70</v>
      </c>
      <c r="E16" s="7">
        <v>40.5</v>
      </c>
      <c r="F16" s="7">
        <v>29</v>
      </c>
      <c r="G16" s="7">
        <v>11</v>
      </c>
      <c r="H16" s="7">
        <v>13.3</v>
      </c>
      <c r="I16" s="8">
        <v>2.7</v>
      </c>
      <c r="J16" s="8">
        <f>(($E16+$F16+$G16+$H16+$I16)-100)*(-1)</f>
        <v>3.5</v>
      </c>
    </row>
    <row r="17" spans="1:10" ht="15" customHeight="1">
      <c r="A17" s="1">
        <v>112</v>
      </c>
      <c r="B17" s="1" t="s">
        <v>2</v>
      </c>
      <c r="C17" s="12">
        <v>3771</v>
      </c>
      <c r="D17" s="7">
        <v>70</v>
      </c>
      <c r="E17" s="7">
        <v>46.8</v>
      </c>
      <c r="F17" s="7">
        <v>25.1</v>
      </c>
      <c r="G17" s="7">
        <v>9.6</v>
      </c>
      <c r="H17" s="7">
        <v>11.7</v>
      </c>
      <c r="I17" s="7">
        <v>3.9</v>
      </c>
      <c r="J17" s="8">
        <f>(($E17+$F17+$G17+$H17+$I17)-100)*(-1)</f>
        <v>2.8999999999999915</v>
      </c>
    </row>
    <row r="18" spans="1:10" ht="15" customHeight="1">
      <c r="A18" s="1">
        <v>113</v>
      </c>
      <c r="B18" s="1" t="s">
        <v>3</v>
      </c>
      <c r="C18" s="12">
        <v>6342</v>
      </c>
      <c r="D18" s="7">
        <v>70.8</v>
      </c>
      <c r="E18" s="7">
        <v>33</v>
      </c>
      <c r="F18" s="7">
        <v>18.3</v>
      </c>
      <c r="G18" s="7">
        <v>34.799999999999997</v>
      </c>
      <c r="H18" s="7">
        <v>8.9</v>
      </c>
      <c r="I18" s="7">
        <v>1.7</v>
      </c>
      <c r="J18" s="8">
        <f>(($E18+$F18+$G18+$H18+$I18)-100)*(-1)</f>
        <v>3.2999999999999972</v>
      </c>
    </row>
    <row r="19" spans="1:10" ht="15" customHeight="1">
      <c r="B19" s="2" t="s">
        <v>4</v>
      </c>
      <c r="C19" s="12">
        <v>12673</v>
      </c>
      <c r="D19" s="7">
        <v>70.400000000000006</v>
      </c>
      <c r="E19" s="7">
        <v>38.6</v>
      </c>
      <c r="F19" s="7">
        <v>22.5</v>
      </c>
      <c r="G19" s="7">
        <v>22.5</v>
      </c>
      <c r="H19" s="7">
        <v>10.6</v>
      </c>
      <c r="I19" s="7">
        <v>2.6</v>
      </c>
      <c r="J19" s="8">
        <f>(($E19+$F19+$G19+$H19+$I19)-100)*(-1)</f>
        <v>3.2000000000000171</v>
      </c>
    </row>
    <row r="20" spans="1:10" ht="15" customHeight="1">
      <c r="C20" s="12" t="s">
        <v>5</v>
      </c>
      <c r="D20" s="7"/>
      <c r="E20" s="7"/>
      <c r="F20" s="7"/>
      <c r="G20" s="7"/>
      <c r="H20" s="7"/>
      <c r="I20" s="7"/>
      <c r="J20" s="8"/>
    </row>
    <row r="21" spans="1:10" ht="15" customHeight="1">
      <c r="A21" s="1">
        <v>121</v>
      </c>
      <c r="B21" s="1" t="s">
        <v>6</v>
      </c>
      <c r="C21" s="12">
        <v>107</v>
      </c>
      <c r="D21" s="7">
        <v>54.2</v>
      </c>
      <c r="E21" s="7">
        <v>47.3</v>
      </c>
      <c r="F21" s="7">
        <v>27.3</v>
      </c>
      <c r="G21" s="7">
        <v>18.2</v>
      </c>
      <c r="H21" s="7">
        <v>1.8</v>
      </c>
      <c r="I21" s="7">
        <v>3.6</v>
      </c>
      <c r="J21" s="8">
        <f>(($E21+$F21+$G21+$H21+$I21)-100)*(-1)</f>
        <v>1.8000000000000114</v>
      </c>
    </row>
    <row r="22" spans="1:10" ht="15" customHeight="1">
      <c r="A22" s="1">
        <v>122</v>
      </c>
      <c r="B22" s="1" t="s">
        <v>7</v>
      </c>
      <c r="C22" s="12">
        <v>115</v>
      </c>
      <c r="D22" s="7">
        <v>60</v>
      </c>
      <c r="E22" s="7">
        <v>64.2</v>
      </c>
      <c r="F22" s="7">
        <v>11.9</v>
      </c>
      <c r="G22" s="9">
        <v>10.5</v>
      </c>
      <c r="H22" s="7">
        <v>9</v>
      </c>
      <c r="I22" s="9">
        <v>3</v>
      </c>
      <c r="J22" s="8">
        <f>(($E22+$F22+$G22+$H22+$I22)-100)*(-1)</f>
        <v>1.3999999999999915</v>
      </c>
    </row>
    <row r="23" spans="1:10" ht="15" customHeight="1">
      <c r="A23" s="1">
        <v>123</v>
      </c>
      <c r="B23" s="1" t="s">
        <v>8</v>
      </c>
      <c r="C23" s="12"/>
      <c r="D23" s="7"/>
      <c r="E23" s="7"/>
      <c r="F23" s="7"/>
      <c r="G23" s="7"/>
      <c r="H23" s="7"/>
      <c r="I23" s="7"/>
      <c r="J23" s="8"/>
    </row>
    <row r="24" spans="1:10" ht="15" customHeight="1">
      <c r="B24" s="1" t="s">
        <v>9</v>
      </c>
      <c r="C24" s="12">
        <v>112</v>
      </c>
      <c r="D24" s="7">
        <v>94.6</v>
      </c>
      <c r="E24" s="7">
        <v>64.2</v>
      </c>
      <c r="F24" s="7">
        <v>8.5</v>
      </c>
      <c r="G24" s="7">
        <v>8.5</v>
      </c>
      <c r="H24" s="7">
        <v>12.3</v>
      </c>
      <c r="I24" s="7">
        <v>1.9</v>
      </c>
      <c r="J24" s="8">
        <f>(($E24+$F24+$G24+$H24+$I24)-100)*(-1)</f>
        <v>4.5999999999999943</v>
      </c>
    </row>
    <row r="25" spans="1:10" ht="15" customHeight="1">
      <c r="A25" s="1">
        <v>124</v>
      </c>
      <c r="B25" s="1" t="s">
        <v>10</v>
      </c>
      <c r="C25" s="12" t="s">
        <v>11</v>
      </c>
      <c r="D25" s="6" t="s">
        <v>11</v>
      </c>
      <c r="E25" s="6" t="s">
        <v>11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</row>
    <row r="26" spans="1:10" ht="15" customHeight="1">
      <c r="A26" s="1">
        <v>125</v>
      </c>
      <c r="B26" s="1" t="s">
        <v>12</v>
      </c>
      <c r="C26" s="12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 t="s">
        <v>11</v>
      </c>
      <c r="J26" s="6" t="s">
        <v>11</v>
      </c>
    </row>
    <row r="27" spans="1:10" ht="15" customHeight="1">
      <c r="B27" s="2" t="s">
        <v>13</v>
      </c>
      <c r="C27" s="12">
        <v>334</v>
      </c>
      <c r="D27" s="7">
        <v>69.8</v>
      </c>
      <c r="E27" s="7">
        <v>60.1</v>
      </c>
      <c r="F27" s="7">
        <v>14</v>
      </c>
      <c r="G27" s="7">
        <v>11.4</v>
      </c>
      <c r="H27" s="7">
        <v>8.8000000000000007</v>
      </c>
      <c r="I27" s="7">
        <v>2.6</v>
      </c>
      <c r="J27" s="8">
        <f>(($E27+$F27+$G27+$H27+$I27)-100)*(-1)</f>
        <v>3.1000000000000085</v>
      </c>
    </row>
    <row r="28" spans="1:10" ht="15" customHeight="1">
      <c r="C28" s="12" t="s">
        <v>5</v>
      </c>
      <c r="D28" s="7"/>
      <c r="E28" s="7"/>
      <c r="F28" s="7"/>
      <c r="G28" s="7"/>
      <c r="H28" s="7"/>
      <c r="I28" s="7"/>
      <c r="J28" s="8"/>
    </row>
    <row r="29" spans="1:10" ht="15" customHeight="1">
      <c r="B29" s="2" t="s">
        <v>14</v>
      </c>
      <c r="C29" s="12">
        <v>13007</v>
      </c>
      <c r="D29" s="7">
        <v>70.400000000000006</v>
      </c>
      <c r="E29" s="7">
        <v>39.1</v>
      </c>
      <c r="F29" s="7">
        <v>22.3</v>
      </c>
      <c r="G29" s="7">
        <v>22.3</v>
      </c>
      <c r="H29" s="7">
        <v>10.6</v>
      </c>
      <c r="I29" s="7">
        <v>2.5</v>
      </c>
      <c r="J29" s="8">
        <f>(($E29+$F29+$G29+$H29+$I29)-100)*(-1)</f>
        <v>3.2000000000000028</v>
      </c>
    </row>
    <row r="30" spans="1:10" ht="15" customHeight="1">
      <c r="C30" s="12" t="s">
        <v>5</v>
      </c>
      <c r="D30" s="7"/>
      <c r="E30" s="7"/>
      <c r="F30" s="7"/>
      <c r="G30" s="7"/>
      <c r="H30" s="7"/>
      <c r="I30" s="7"/>
      <c r="J30" s="8"/>
    </row>
    <row r="31" spans="1:10" ht="15" customHeight="1">
      <c r="A31" s="1">
        <v>211</v>
      </c>
      <c r="B31" s="1" t="s">
        <v>15</v>
      </c>
      <c r="C31" s="12">
        <v>4265</v>
      </c>
      <c r="D31" s="7">
        <v>70.400000000000006</v>
      </c>
      <c r="E31" s="7">
        <v>48</v>
      </c>
      <c r="F31" s="7">
        <v>24.3</v>
      </c>
      <c r="G31" s="7">
        <v>13.1</v>
      </c>
      <c r="H31" s="7">
        <v>9.1999999999999993</v>
      </c>
      <c r="I31" s="7">
        <v>3.1</v>
      </c>
      <c r="J31" s="8">
        <f t="shared" ref="J31:J39" si="0">(($E31+$F31+$G31+$H31+$I31)-100)*(-1)</f>
        <v>2.3000000000000114</v>
      </c>
    </row>
    <row r="32" spans="1:10" ht="15" customHeight="1">
      <c r="A32" s="1">
        <v>212</v>
      </c>
      <c r="B32" s="1" t="s">
        <v>16</v>
      </c>
      <c r="C32" s="12">
        <v>3808</v>
      </c>
      <c r="D32" s="7">
        <v>69.599999999999994</v>
      </c>
      <c r="E32" s="7">
        <v>52.3</v>
      </c>
      <c r="F32" s="7">
        <v>18.899999999999999</v>
      </c>
      <c r="G32" s="7">
        <v>16.8</v>
      </c>
      <c r="H32" s="7">
        <v>5.9</v>
      </c>
      <c r="I32" s="7">
        <v>3.3</v>
      </c>
      <c r="J32" s="8">
        <f t="shared" si="0"/>
        <v>2.8000000000000114</v>
      </c>
    </row>
    <row r="33" spans="1:10" ht="15" customHeight="1">
      <c r="A33" s="1">
        <v>213</v>
      </c>
      <c r="B33" s="1" t="s">
        <v>17</v>
      </c>
      <c r="C33" s="12">
        <v>6077</v>
      </c>
      <c r="D33" s="7">
        <v>75.099999999999994</v>
      </c>
      <c r="E33" s="7">
        <v>43.7</v>
      </c>
      <c r="F33" s="7">
        <v>20.8</v>
      </c>
      <c r="G33" s="7">
        <v>17.899999999999999</v>
      </c>
      <c r="H33" s="7">
        <v>10.5</v>
      </c>
      <c r="I33" s="7">
        <v>3.2</v>
      </c>
      <c r="J33" s="8">
        <f t="shared" si="0"/>
        <v>3.8999999999999915</v>
      </c>
    </row>
    <row r="34" spans="1:10" ht="15" customHeight="1">
      <c r="A34" s="1">
        <v>214</v>
      </c>
      <c r="B34" s="1" t="s">
        <v>18</v>
      </c>
      <c r="C34" s="12">
        <v>4130</v>
      </c>
      <c r="D34" s="7">
        <v>72.7</v>
      </c>
      <c r="E34" s="7">
        <v>51.4</v>
      </c>
      <c r="F34" s="7">
        <v>20.3</v>
      </c>
      <c r="G34" s="7">
        <v>13.7</v>
      </c>
      <c r="H34" s="7">
        <v>7.7</v>
      </c>
      <c r="I34" s="7">
        <v>3.3</v>
      </c>
      <c r="J34" s="8">
        <f t="shared" si="0"/>
        <v>3.5999999999999943</v>
      </c>
    </row>
    <row r="35" spans="1:10" ht="15" customHeight="1">
      <c r="A35" s="1">
        <v>215</v>
      </c>
      <c r="B35" s="1" t="s">
        <v>19</v>
      </c>
      <c r="C35" s="12">
        <v>4424</v>
      </c>
      <c r="D35" s="7">
        <v>81.099999999999994</v>
      </c>
      <c r="E35" s="7">
        <v>58.1</v>
      </c>
      <c r="F35" s="7">
        <v>22.7</v>
      </c>
      <c r="G35" s="7">
        <v>6.1</v>
      </c>
      <c r="H35" s="7">
        <v>7.8</v>
      </c>
      <c r="I35" s="7">
        <v>3.1</v>
      </c>
      <c r="J35" s="8">
        <f t="shared" si="0"/>
        <v>2.2000000000000171</v>
      </c>
    </row>
    <row r="36" spans="1:10" ht="15" customHeight="1">
      <c r="A36" s="1">
        <v>216</v>
      </c>
      <c r="B36" s="1" t="s">
        <v>20</v>
      </c>
      <c r="C36" s="12">
        <v>5286</v>
      </c>
      <c r="D36" s="7">
        <v>72.5</v>
      </c>
      <c r="E36" s="7">
        <v>49.6</v>
      </c>
      <c r="F36" s="7">
        <v>20.3</v>
      </c>
      <c r="G36" s="7">
        <v>17.3</v>
      </c>
      <c r="H36" s="7">
        <v>6.9</v>
      </c>
      <c r="I36" s="7">
        <v>2.7</v>
      </c>
      <c r="J36" s="8">
        <f t="shared" si="0"/>
        <v>3.1999999999999886</v>
      </c>
    </row>
    <row r="37" spans="1:10" ht="15" customHeight="1">
      <c r="A37" s="1">
        <v>217</v>
      </c>
      <c r="B37" s="1" t="s">
        <v>21</v>
      </c>
      <c r="C37" s="12">
        <v>1238</v>
      </c>
      <c r="D37" s="7">
        <v>71.599999999999994</v>
      </c>
      <c r="E37" s="7">
        <v>56.8</v>
      </c>
      <c r="F37" s="7">
        <v>19.7</v>
      </c>
      <c r="G37" s="7">
        <v>8.8000000000000007</v>
      </c>
      <c r="H37" s="7">
        <v>9.1</v>
      </c>
      <c r="I37" s="8">
        <v>3.6</v>
      </c>
      <c r="J37" s="7">
        <f t="shared" si="0"/>
        <v>2.0000000000000142</v>
      </c>
    </row>
    <row r="38" spans="1:10" ht="15" customHeight="1">
      <c r="A38" s="1">
        <v>218</v>
      </c>
      <c r="B38" s="1" t="s">
        <v>22</v>
      </c>
      <c r="C38" s="12">
        <v>4722</v>
      </c>
      <c r="D38" s="7">
        <v>74.599999999999994</v>
      </c>
      <c r="E38" s="7">
        <v>53.5</v>
      </c>
      <c r="F38" s="7">
        <v>23.6</v>
      </c>
      <c r="G38" s="7">
        <v>10.3</v>
      </c>
      <c r="H38" s="7">
        <v>7.5</v>
      </c>
      <c r="I38" s="7">
        <v>2.9</v>
      </c>
      <c r="J38" s="8">
        <f t="shared" si="0"/>
        <v>2.2000000000000028</v>
      </c>
    </row>
    <row r="39" spans="1:10" ht="15" customHeight="1">
      <c r="B39" s="2" t="s">
        <v>23</v>
      </c>
      <c r="C39" s="12">
        <v>33950</v>
      </c>
      <c r="D39" s="7">
        <v>73.8</v>
      </c>
      <c r="E39" s="7">
        <v>50.8</v>
      </c>
      <c r="F39" s="7">
        <v>21.5</v>
      </c>
      <c r="G39" s="7">
        <v>13.5</v>
      </c>
      <c r="H39" s="7">
        <v>8.1</v>
      </c>
      <c r="I39" s="7">
        <v>3.1</v>
      </c>
      <c r="J39" s="7">
        <f t="shared" si="0"/>
        <v>3.0000000000000142</v>
      </c>
    </row>
    <row r="40" spans="1:10" ht="15" customHeight="1">
      <c r="C40" s="12" t="s">
        <v>5</v>
      </c>
      <c r="D40" s="7"/>
      <c r="E40" s="7"/>
      <c r="F40" s="7"/>
      <c r="G40" s="7"/>
      <c r="H40" s="7"/>
      <c r="I40" s="7"/>
      <c r="J40" s="8"/>
    </row>
    <row r="41" spans="1:10" ht="15" customHeight="1">
      <c r="A41" s="1">
        <v>231</v>
      </c>
      <c r="B41" s="1" t="s">
        <v>24</v>
      </c>
      <c r="C41" s="12">
        <v>6372</v>
      </c>
      <c r="D41" s="7">
        <v>84.5</v>
      </c>
      <c r="E41" s="7">
        <v>53.7</v>
      </c>
      <c r="F41" s="7">
        <v>22.9</v>
      </c>
      <c r="G41" s="7">
        <v>7.2</v>
      </c>
      <c r="H41" s="8">
        <v>12.9</v>
      </c>
      <c r="I41" s="8">
        <v>1.8</v>
      </c>
      <c r="J41" s="7">
        <f>(($E41+$F41+$G41+$H41+$I41)-100)*(-1)</f>
        <v>1.5</v>
      </c>
    </row>
    <row r="42" spans="1:10" ht="15" customHeight="1">
      <c r="A42" s="1">
        <v>232</v>
      </c>
      <c r="B42" s="1" t="s">
        <v>25</v>
      </c>
      <c r="C42" s="12">
        <v>3743</v>
      </c>
      <c r="D42" s="7">
        <v>83.5</v>
      </c>
      <c r="E42" s="7">
        <v>57.4</v>
      </c>
      <c r="F42" s="7">
        <v>21.4</v>
      </c>
      <c r="G42" s="7">
        <v>6.9</v>
      </c>
      <c r="H42" s="7">
        <v>10</v>
      </c>
      <c r="I42" s="8">
        <v>2.8</v>
      </c>
      <c r="J42" s="8">
        <f>(($E42+$F42+$G42+$H42+$I42)-100)*(-1)</f>
        <v>1.5</v>
      </c>
    </row>
    <row r="43" spans="1:10" ht="15" customHeight="1">
      <c r="A43" s="1">
        <v>233</v>
      </c>
      <c r="B43" s="1" t="s">
        <v>26</v>
      </c>
      <c r="C43" s="12">
        <v>9346</v>
      </c>
      <c r="D43" s="7">
        <v>73.8</v>
      </c>
      <c r="E43" s="7">
        <v>60.7</v>
      </c>
      <c r="F43" s="7">
        <v>19.7</v>
      </c>
      <c r="G43" s="7">
        <v>7.4</v>
      </c>
      <c r="H43" s="8">
        <v>7.3</v>
      </c>
      <c r="I43" s="8">
        <v>3.1</v>
      </c>
      <c r="J43" s="8">
        <f>(($E43+$F43+$G43+$H43+$I43)-100)*(-1)</f>
        <v>1.7999999999999972</v>
      </c>
    </row>
    <row r="44" spans="1:10" ht="15" customHeight="1">
      <c r="A44" s="1">
        <v>234</v>
      </c>
      <c r="B44" s="1" t="s">
        <v>27</v>
      </c>
      <c r="C44" s="12">
        <v>4431</v>
      </c>
      <c r="D44" s="7">
        <v>82.9</v>
      </c>
      <c r="E44" s="7">
        <v>52.8</v>
      </c>
      <c r="F44" s="7">
        <v>24.1</v>
      </c>
      <c r="G44" s="7">
        <v>8</v>
      </c>
      <c r="H44" s="8">
        <v>10.1</v>
      </c>
      <c r="I44" s="7">
        <v>3.5</v>
      </c>
      <c r="J44" s="8">
        <f>(($E44+$F44+$G44+$H44+$I44)-100)*(-1)</f>
        <v>1.5</v>
      </c>
    </row>
    <row r="45" spans="1:10" ht="15" customHeight="1">
      <c r="B45" s="2" t="s">
        <v>28</v>
      </c>
      <c r="C45" s="12">
        <v>23892</v>
      </c>
      <c r="D45" s="7">
        <v>79.8</v>
      </c>
      <c r="E45" s="7">
        <v>56.7</v>
      </c>
      <c r="F45" s="7">
        <v>21.8</v>
      </c>
      <c r="G45" s="7">
        <v>7.4</v>
      </c>
      <c r="H45" s="8">
        <v>9.8000000000000007</v>
      </c>
      <c r="I45" s="8">
        <v>2.8</v>
      </c>
      <c r="J45" s="8">
        <f>(($E45+$F45+$G45+$H45+$I45)-100)*(-1)</f>
        <v>1.5</v>
      </c>
    </row>
    <row r="46" spans="1:10" ht="15" customHeight="1">
      <c r="C46" s="12" t="s">
        <v>5</v>
      </c>
      <c r="D46" s="7"/>
      <c r="E46" s="7"/>
      <c r="F46" s="7"/>
      <c r="G46" s="7"/>
      <c r="H46" s="7"/>
      <c r="I46" s="7"/>
      <c r="J46" s="8"/>
    </row>
    <row r="47" spans="1:10" ht="15" customHeight="1">
      <c r="A47" s="1">
        <v>241</v>
      </c>
      <c r="B47" s="1" t="s">
        <v>29</v>
      </c>
      <c r="C47" s="12">
        <v>8224</v>
      </c>
      <c r="D47" s="7">
        <v>76.599999999999994</v>
      </c>
      <c r="E47" s="7">
        <v>57</v>
      </c>
      <c r="F47" s="7">
        <v>22</v>
      </c>
      <c r="G47" s="7">
        <v>6.9</v>
      </c>
      <c r="H47" s="7">
        <v>9.3000000000000007</v>
      </c>
      <c r="I47" s="8">
        <v>2.8</v>
      </c>
      <c r="J47" s="7">
        <f>(($E47+$F47+$G47+$H47+$I47)-100)*(-1)</f>
        <v>2</v>
      </c>
    </row>
    <row r="48" spans="1:10" ht="15" customHeight="1">
      <c r="A48" s="1">
        <v>242</v>
      </c>
      <c r="B48" s="1" t="s">
        <v>30</v>
      </c>
      <c r="C48" s="12">
        <v>5298</v>
      </c>
      <c r="D48" s="7">
        <v>74</v>
      </c>
      <c r="E48" s="7">
        <v>64.5</v>
      </c>
      <c r="F48" s="7">
        <v>16.600000000000001</v>
      </c>
      <c r="G48" s="7">
        <v>6.6</v>
      </c>
      <c r="H48" s="7">
        <v>7.2</v>
      </c>
      <c r="I48" s="7">
        <v>3.3</v>
      </c>
      <c r="J48" s="8">
        <f>(($E48+$F48+$G48+$H48+$I48)-100)*(-1)</f>
        <v>1.8000000000000114</v>
      </c>
    </row>
    <row r="49" spans="1:10" ht="15" customHeight="1">
      <c r="A49" s="1">
        <v>243</v>
      </c>
      <c r="B49" s="1" t="s">
        <v>31</v>
      </c>
      <c r="C49" s="12">
        <v>6473</v>
      </c>
      <c r="D49" s="7">
        <v>76.400000000000006</v>
      </c>
      <c r="E49" s="7">
        <v>57.1</v>
      </c>
      <c r="F49" s="7">
        <v>22.4</v>
      </c>
      <c r="G49" s="7">
        <v>6.3</v>
      </c>
      <c r="H49" s="8">
        <v>8.1999999999999993</v>
      </c>
      <c r="I49" s="7">
        <v>3.6</v>
      </c>
      <c r="J49" s="8">
        <f>(($E49+$F49+$G49+$H49+$I49)-100)*(-1)</f>
        <v>2.4000000000000057</v>
      </c>
    </row>
    <row r="50" spans="1:10" ht="15" customHeight="1">
      <c r="A50" s="1">
        <v>244</v>
      </c>
      <c r="B50" s="1" t="s">
        <v>32</v>
      </c>
      <c r="C50" s="12">
        <v>3232</v>
      </c>
      <c r="D50" s="7">
        <v>82.2</v>
      </c>
      <c r="E50" s="7">
        <v>47.9</v>
      </c>
      <c r="F50" s="7">
        <v>21.8</v>
      </c>
      <c r="G50" s="7">
        <v>11.5</v>
      </c>
      <c r="H50" s="7">
        <v>13.7</v>
      </c>
      <c r="I50" s="8">
        <v>3.2</v>
      </c>
      <c r="J50" s="8">
        <f>(($E50+$F50+$G50+$H50+$I50)-100)*(-1)</f>
        <v>1.8999999999999915</v>
      </c>
    </row>
    <row r="51" spans="1:10" ht="15" customHeight="1">
      <c r="B51" s="2" t="s">
        <v>33</v>
      </c>
      <c r="C51" s="12">
        <v>23227</v>
      </c>
      <c r="D51" s="7">
        <v>76.7</v>
      </c>
      <c r="E51" s="7">
        <v>57.3</v>
      </c>
      <c r="F51" s="7">
        <v>20.9</v>
      </c>
      <c r="G51" s="7">
        <v>7.3</v>
      </c>
      <c r="H51" s="8">
        <v>9.1999999999999993</v>
      </c>
      <c r="I51" s="8">
        <v>3.2</v>
      </c>
      <c r="J51" s="8">
        <f>(($E51+$F51+$G51+$H51+$I51)-100)*(-1)</f>
        <v>2.1000000000000085</v>
      </c>
    </row>
    <row r="52" spans="1:10" ht="15" customHeight="1">
      <c r="C52" s="12" t="s">
        <v>5</v>
      </c>
      <c r="D52" s="7"/>
      <c r="E52" s="7"/>
      <c r="F52" s="7"/>
      <c r="G52" s="7"/>
      <c r="H52" s="7"/>
      <c r="I52" s="7"/>
      <c r="J52" s="8"/>
    </row>
    <row r="53" spans="1:10" ht="15" customHeight="1">
      <c r="A53" s="1">
        <v>251</v>
      </c>
      <c r="B53" s="1" t="s">
        <v>34</v>
      </c>
      <c r="C53" s="12">
        <v>8110</v>
      </c>
      <c r="D53" s="7">
        <v>74.3</v>
      </c>
      <c r="E53" s="7">
        <v>63.66</v>
      </c>
      <c r="F53" s="7">
        <v>16.899999999999999</v>
      </c>
      <c r="G53" s="7">
        <v>8.1</v>
      </c>
      <c r="H53" s="8">
        <v>6.2</v>
      </c>
      <c r="I53" s="7">
        <v>2.8</v>
      </c>
      <c r="J53" s="7">
        <f>(($E53+$F53+$G53+$H53+$I53)-100)*(-1)</f>
        <v>2.3400000000000034</v>
      </c>
    </row>
    <row r="54" spans="1:10" ht="15" customHeight="1">
      <c r="A54" s="1">
        <v>252</v>
      </c>
      <c r="B54" s="1" t="s">
        <v>35</v>
      </c>
      <c r="C54" s="12">
        <v>2572</v>
      </c>
      <c r="D54" s="7">
        <v>76.599999999999994</v>
      </c>
      <c r="E54" s="7">
        <v>64.400000000000006</v>
      </c>
      <c r="F54" s="7">
        <v>17</v>
      </c>
      <c r="G54" s="7">
        <v>6.8</v>
      </c>
      <c r="H54" s="7">
        <v>8.5</v>
      </c>
      <c r="I54" s="7">
        <v>1.5</v>
      </c>
      <c r="J54" s="8">
        <f>(($E54+$F54+$G54+$H54+$I54)-100)*(-1)</f>
        <v>1.7999999999999972</v>
      </c>
    </row>
    <row r="55" spans="1:10" ht="15" customHeight="1">
      <c r="B55" s="2" t="s">
        <v>36</v>
      </c>
      <c r="C55" s="12">
        <v>10682</v>
      </c>
      <c r="D55" s="7">
        <v>74.900000000000006</v>
      </c>
      <c r="E55" s="7">
        <v>63.8</v>
      </c>
      <c r="F55" s="7">
        <v>16.899999999999999</v>
      </c>
      <c r="G55" s="7">
        <v>7.8</v>
      </c>
      <c r="H55" s="8">
        <v>6.8</v>
      </c>
      <c r="I55" s="7">
        <v>2.5</v>
      </c>
      <c r="J55" s="8">
        <f>(($E55+$F55+$G55+$H55+$I55)-100)*(-1)</f>
        <v>2.2000000000000171</v>
      </c>
    </row>
    <row r="56" spans="1:10" ht="15" customHeight="1">
      <c r="C56" s="12" t="s">
        <v>5</v>
      </c>
      <c r="D56" s="10"/>
      <c r="E56" s="10"/>
      <c r="F56" s="10"/>
      <c r="G56" s="7"/>
      <c r="H56" s="7"/>
      <c r="I56" s="7"/>
      <c r="J56" s="8"/>
    </row>
    <row r="57" spans="1:10" ht="15" customHeight="1">
      <c r="A57" s="1">
        <v>261</v>
      </c>
      <c r="B57" s="1" t="s">
        <v>37</v>
      </c>
      <c r="C57" s="12">
        <v>572</v>
      </c>
      <c r="D57" s="11">
        <v>87.8</v>
      </c>
      <c r="E57" s="11">
        <v>57.2</v>
      </c>
      <c r="F57" s="11">
        <v>28.4</v>
      </c>
      <c r="G57" s="8">
        <v>4.8</v>
      </c>
      <c r="H57" s="7">
        <v>7.2</v>
      </c>
      <c r="I57" s="7">
        <v>1.4</v>
      </c>
      <c r="J57" s="7">
        <f>(($E57+$F57+$G57+$H57+$I57)-100)*(-1)</f>
        <v>1</v>
      </c>
    </row>
    <row r="58" spans="1:10" ht="15" customHeight="1">
      <c r="A58" s="1">
        <v>271</v>
      </c>
      <c r="B58" s="1" t="s">
        <v>38</v>
      </c>
      <c r="C58" s="12">
        <v>334</v>
      </c>
      <c r="D58" s="7">
        <v>88.3</v>
      </c>
      <c r="E58" s="7">
        <v>45.9</v>
      </c>
      <c r="F58" s="7">
        <v>37</v>
      </c>
      <c r="G58" s="7">
        <v>5.5</v>
      </c>
      <c r="H58" s="8">
        <v>6.2</v>
      </c>
      <c r="I58" s="8">
        <v>1.4</v>
      </c>
      <c r="J58" s="7">
        <f>(($E58+$F58+$G58+$H58+$I58)-100)*(-1)</f>
        <v>3.9999999999999858</v>
      </c>
    </row>
    <row r="59" spans="1:10" ht="15" customHeight="1">
      <c r="C59" s="12" t="s">
        <v>5</v>
      </c>
      <c r="D59" s="7"/>
      <c r="E59" s="7"/>
      <c r="F59" s="7"/>
      <c r="G59" s="7"/>
      <c r="H59" s="7"/>
      <c r="I59" s="7"/>
      <c r="J59" s="8"/>
    </row>
    <row r="60" spans="1:10" ht="15" customHeight="1">
      <c r="B60" s="2" t="s">
        <v>39</v>
      </c>
      <c r="C60" s="12">
        <v>92657</v>
      </c>
      <c r="D60" s="7">
        <v>76.3</v>
      </c>
      <c r="E60" s="7">
        <v>55.5</v>
      </c>
      <c r="F60" s="7">
        <v>21</v>
      </c>
      <c r="G60" s="7">
        <v>9.6</v>
      </c>
      <c r="H60" s="7">
        <v>8.6999999999999993</v>
      </c>
      <c r="I60" s="7">
        <v>2.9</v>
      </c>
      <c r="J60" s="8">
        <f>(($E60+$F60+$G60+$H60+$I60)-100)*(-1)</f>
        <v>2.2999999999999972</v>
      </c>
    </row>
    <row r="61" spans="1:10" ht="15" customHeight="1">
      <c r="C61" s="12" t="s">
        <v>5</v>
      </c>
      <c r="D61" s="7"/>
      <c r="E61" s="7"/>
      <c r="F61" s="7"/>
      <c r="G61" s="7"/>
      <c r="H61" s="7"/>
      <c r="I61" s="7"/>
      <c r="J61" s="8"/>
    </row>
    <row r="62" spans="1:10" ht="15" customHeight="1">
      <c r="A62" s="1">
        <v>311</v>
      </c>
      <c r="B62" s="1" t="s">
        <v>40</v>
      </c>
      <c r="C62" s="12">
        <v>5735</v>
      </c>
      <c r="D62" s="7">
        <v>73.2</v>
      </c>
      <c r="E62" s="7">
        <v>37.4</v>
      </c>
      <c r="F62" s="7">
        <v>16.2</v>
      </c>
      <c r="G62" s="7">
        <v>32.9</v>
      </c>
      <c r="H62" s="7">
        <v>7.6</v>
      </c>
      <c r="I62" s="7">
        <v>2.6</v>
      </c>
      <c r="J62" s="8">
        <f>(($E62+$F62+$G62+$H62+$I62)-100)*(-1)</f>
        <v>3.3000000000000114</v>
      </c>
    </row>
    <row r="63" spans="1:10" ht="15" customHeight="1">
      <c r="A63" s="1">
        <v>312</v>
      </c>
      <c r="B63" s="1" t="s">
        <v>41</v>
      </c>
      <c r="C63" s="12">
        <v>5576</v>
      </c>
      <c r="D63" s="7">
        <v>73.7</v>
      </c>
      <c r="E63" s="7">
        <v>34.9</v>
      </c>
      <c r="F63" s="7">
        <v>19</v>
      </c>
      <c r="G63" s="7">
        <v>31</v>
      </c>
      <c r="H63" s="7">
        <v>9.6999999999999993</v>
      </c>
      <c r="I63" s="7">
        <v>2.4</v>
      </c>
      <c r="J63" s="7">
        <f>(($E63+$F63+$G63+$H63+$I63)-100)*(-1)</f>
        <v>2.9999999999999858</v>
      </c>
    </row>
    <row r="64" spans="1:10" ht="15" customHeight="1">
      <c r="A64" s="1">
        <v>313</v>
      </c>
      <c r="B64" s="1" t="s">
        <v>42</v>
      </c>
      <c r="C64" s="12">
        <v>8374</v>
      </c>
      <c r="D64" s="7">
        <v>77.2</v>
      </c>
      <c r="E64" s="7">
        <v>39.299999999999997</v>
      </c>
      <c r="F64" s="7">
        <v>23</v>
      </c>
      <c r="G64" s="7">
        <v>20.3</v>
      </c>
      <c r="H64" s="7">
        <v>12</v>
      </c>
      <c r="I64" s="7">
        <v>2.9</v>
      </c>
      <c r="J64" s="8">
        <f>(($E64+$F64+$G64+$H64+$I64)-100)*(-1)</f>
        <v>2.5</v>
      </c>
    </row>
    <row r="65" spans="1:10" ht="15" customHeight="1">
      <c r="A65" s="1">
        <v>314</v>
      </c>
      <c r="B65" s="1" t="s">
        <v>43</v>
      </c>
      <c r="C65" s="12">
        <v>4100</v>
      </c>
      <c r="D65" s="7">
        <v>76.3</v>
      </c>
      <c r="E65" s="7">
        <v>48.2</v>
      </c>
      <c r="F65" s="7">
        <v>23.1</v>
      </c>
      <c r="G65" s="7">
        <v>13</v>
      </c>
      <c r="H65" s="7">
        <v>10.5</v>
      </c>
      <c r="I65" s="7">
        <v>2.7</v>
      </c>
      <c r="J65" s="8">
        <f>(($E65+$F65+$G65+$H65+$I65)-100)*(-1)</f>
        <v>2.4999999999999858</v>
      </c>
    </row>
    <row r="66" spans="1:10" ht="15" customHeight="1">
      <c r="B66" s="2" t="s">
        <v>44</v>
      </c>
      <c r="C66" s="12">
        <v>23785</v>
      </c>
      <c r="D66" s="7">
        <v>75.3</v>
      </c>
      <c r="E66" s="7">
        <v>39.4</v>
      </c>
      <c r="F66" s="7">
        <v>20.5</v>
      </c>
      <c r="G66" s="7">
        <v>24.4</v>
      </c>
      <c r="H66" s="7">
        <v>10.199999999999999</v>
      </c>
      <c r="I66" s="7">
        <v>2.7</v>
      </c>
      <c r="J66" s="8">
        <f>(($E66+$F66+$G66+$H66+$I66)-100)*(-1)</f>
        <v>2.7999999999999972</v>
      </c>
    </row>
    <row r="67" spans="1:10" ht="15" customHeight="1">
      <c r="C67" s="12" t="s">
        <v>5</v>
      </c>
      <c r="D67" s="7"/>
      <c r="E67" s="7"/>
      <c r="F67" s="7"/>
      <c r="G67" s="7"/>
      <c r="H67" s="7"/>
      <c r="I67" s="7"/>
      <c r="J67" s="8"/>
    </row>
    <row r="68" spans="1:10" ht="15" customHeight="1">
      <c r="A68" s="1">
        <v>321</v>
      </c>
      <c r="B68" s="1" t="s">
        <v>45</v>
      </c>
      <c r="C68" s="12">
        <v>5137</v>
      </c>
      <c r="D68" s="7">
        <v>83.3</v>
      </c>
      <c r="E68" s="7">
        <v>34.1</v>
      </c>
      <c r="F68" s="7">
        <v>31.7</v>
      </c>
      <c r="G68" s="7">
        <v>9.4</v>
      </c>
      <c r="H68" s="7">
        <v>18.7</v>
      </c>
      <c r="I68" s="7">
        <v>2.7</v>
      </c>
      <c r="J68" s="8">
        <f t="shared" ref="J68:J75" si="1">(($E68+$F68+$G68+$H68+$I68)-100)*(-1)</f>
        <v>3.3999999999999915</v>
      </c>
    </row>
    <row r="69" spans="1:10" ht="15" customHeight="1">
      <c r="A69" s="1">
        <v>322</v>
      </c>
      <c r="B69" s="1" t="s">
        <v>46</v>
      </c>
      <c r="C69" s="12">
        <v>3938</v>
      </c>
      <c r="D69" s="7">
        <v>78</v>
      </c>
      <c r="E69" s="7">
        <v>21.7</v>
      </c>
      <c r="F69" s="7">
        <v>32.6</v>
      </c>
      <c r="G69" s="7">
        <v>17.5</v>
      </c>
      <c r="H69" s="7">
        <v>23.7</v>
      </c>
      <c r="I69" s="7">
        <v>2</v>
      </c>
      <c r="J69" s="8">
        <f t="shared" si="1"/>
        <v>2.5</v>
      </c>
    </row>
    <row r="70" spans="1:10" ht="15" customHeight="1">
      <c r="A70" s="1">
        <v>323</v>
      </c>
      <c r="B70" s="1" t="s">
        <v>47</v>
      </c>
      <c r="C70" s="12">
        <v>2272</v>
      </c>
      <c r="D70" s="7">
        <v>76.599999999999994</v>
      </c>
      <c r="E70" s="7">
        <v>26.3</v>
      </c>
      <c r="F70" s="7">
        <v>28.6</v>
      </c>
      <c r="G70" s="7">
        <v>20.3</v>
      </c>
      <c r="H70" s="7">
        <v>19.2</v>
      </c>
      <c r="I70" s="8">
        <v>2.6</v>
      </c>
      <c r="J70" s="7">
        <f t="shared" si="1"/>
        <v>3</v>
      </c>
    </row>
    <row r="71" spans="1:10" ht="15" customHeight="1">
      <c r="A71" s="1">
        <v>324</v>
      </c>
      <c r="B71" s="1" t="s">
        <v>48</v>
      </c>
      <c r="C71" s="12">
        <v>5484</v>
      </c>
      <c r="D71" s="7">
        <v>83.8</v>
      </c>
      <c r="E71" s="7">
        <v>31.3</v>
      </c>
      <c r="F71" s="7">
        <v>34.700000000000003</v>
      </c>
      <c r="G71" s="7">
        <v>9.9</v>
      </c>
      <c r="H71" s="7">
        <v>18.100000000000001</v>
      </c>
      <c r="I71" s="7">
        <v>3</v>
      </c>
      <c r="J71" s="7">
        <f t="shared" si="1"/>
        <v>3</v>
      </c>
    </row>
    <row r="72" spans="1:10" ht="15" customHeight="1">
      <c r="A72" s="1">
        <v>325</v>
      </c>
      <c r="B72" s="1" t="s">
        <v>49</v>
      </c>
      <c r="C72" s="12">
        <v>5943</v>
      </c>
      <c r="D72" s="7">
        <v>80.599999999999994</v>
      </c>
      <c r="E72" s="7">
        <v>27.7</v>
      </c>
      <c r="F72" s="7">
        <v>33.5</v>
      </c>
      <c r="G72" s="7">
        <v>10.5</v>
      </c>
      <c r="H72" s="7">
        <v>24.3</v>
      </c>
      <c r="I72" s="7">
        <v>2.2000000000000002</v>
      </c>
      <c r="J72" s="7">
        <f t="shared" si="1"/>
        <v>1.7999999999999972</v>
      </c>
    </row>
    <row r="73" spans="1:10" ht="15" customHeight="1">
      <c r="A73" s="1">
        <v>326</v>
      </c>
      <c r="B73" s="1" t="s">
        <v>50</v>
      </c>
      <c r="C73" s="12">
        <v>3089</v>
      </c>
      <c r="D73" s="7">
        <v>80.400000000000006</v>
      </c>
      <c r="E73" s="7">
        <v>23.2</v>
      </c>
      <c r="F73" s="7">
        <v>32.6</v>
      </c>
      <c r="G73" s="7">
        <v>16.899999999999999</v>
      </c>
      <c r="H73" s="7">
        <v>21.7</v>
      </c>
      <c r="I73" s="7">
        <v>3</v>
      </c>
      <c r="J73" s="8">
        <f t="shared" si="1"/>
        <v>2.6000000000000085</v>
      </c>
    </row>
    <row r="74" spans="1:10" ht="15" customHeight="1">
      <c r="A74" s="1">
        <v>327</v>
      </c>
      <c r="B74" s="1" t="s">
        <v>51</v>
      </c>
      <c r="C74" s="12">
        <v>6623</v>
      </c>
      <c r="D74" s="7">
        <v>81</v>
      </c>
      <c r="E74" s="7">
        <v>27.2</v>
      </c>
      <c r="F74" s="7">
        <v>30.2</v>
      </c>
      <c r="G74" s="7">
        <v>16.399999999999999</v>
      </c>
      <c r="H74" s="7">
        <v>21.4</v>
      </c>
      <c r="I74" s="8">
        <v>2.7</v>
      </c>
      <c r="J74" s="8">
        <f t="shared" si="1"/>
        <v>2.1000000000000085</v>
      </c>
    </row>
    <row r="75" spans="1:10" ht="15" customHeight="1">
      <c r="B75" s="2" t="s">
        <v>52</v>
      </c>
      <c r="C75" s="12">
        <v>32486</v>
      </c>
      <c r="D75" s="7">
        <v>81</v>
      </c>
      <c r="E75" s="7">
        <v>28</v>
      </c>
      <c r="F75" s="7">
        <v>32.200000000000003</v>
      </c>
      <c r="G75" s="7">
        <v>13.5</v>
      </c>
      <c r="H75" s="7">
        <v>21.1</v>
      </c>
      <c r="I75" s="8">
        <v>2.6</v>
      </c>
      <c r="J75" s="8">
        <f t="shared" si="1"/>
        <v>2.5999999999999943</v>
      </c>
    </row>
    <row r="76" spans="1:10" ht="15" customHeight="1">
      <c r="C76" s="12" t="s">
        <v>5</v>
      </c>
      <c r="D76" s="7"/>
      <c r="E76" s="7"/>
      <c r="F76" s="7"/>
      <c r="G76" s="7"/>
      <c r="H76" s="7"/>
      <c r="I76" s="7"/>
      <c r="J76" s="8"/>
    </row>
    <row r="77" spans="1:10" ht="15" customHeight="1">
      <c r="A77" s="1">
        <v>331</v>
      </c>
      <c r="B77" s="1" t="s">
        <v>53</v>
      </c>
      <c r="C77" s="12">
        <v>6543</v>
      </c>
      <c r="D77" s="7">
        <v>80.2</v>
      </c>
      <c r="E77" s="7">
        <v>46.6</v>
      </c>
      <c r="F77" s="7">
        <v>25.9</v>
      </c>
      <c r="G77" s="7">
        <v>7.1</v>
      </c>
      <c r="H77" s="7">
        <v>14.4</v>
      </c>
      <c r="I77" s="8">
        <v>3.9</v>
      </c>
      <c r="J77" s="8">
        <f>(($E77+$F77+$G77+$H77+$I77)-100)*(-1)</f>
        <v>2.0999999999999943</v>
      </c>
    </row>
    <row r="78" spans="1:10" ht="15" customHeight="1">
      <c r="A78" s="1">
        <v>332</v>
      </c>
      <c r="B78" s="1" t="s">
        <v>54</v>
      </c>
      <c r="C78" s="12">
        <v>6154</v>
      </c>
      <c r="D78" s="7">
        <v>76.900000000000006</v>
      </c>
      <c r="E78" s="7">
        <v>62.3</v>
      </c>
      <c r="F78" s="7">
        <v>18.899999999999999</v>
      </c>
      <c r="G78" s="7">
        <v>6</v>
      </c>
      <c r="H78" s="7">
        <v>5.8</v>
      </c>
      <c r="I78" s="7">
        <v>4</v>
      </c>
      <c r="J78" s="7">
        <f>(($E78+$F78+$G78+$H78+$I78)-100)*(-1)</f>
        <v>3.0000000000000142</v>
      </c>
    </row>
    <row r="79" spans="1:10" ht="15" customHeight="1">
      <c r="A79" s="1">
        <v>334</v>
      </c>
      <c r="B79" s="1" t="s">
        <v>55</v>
      </c>
      <c r="C79" s="12">
        <v>3440</v>
      </c>
      <c r="D79" s="7">
        <v>74.400000000000006</v>
      </c>
      <c r="E79" s="7">
        <v>60.2</v>
      </c>
      <c r="F79" s="7">
        <v>19.899999999999999</v>
      </c>
      <c r="G79" s="7">
        <v>6.4</v>
      </c>
      <c r="H79" s="7">
        <v>5.4</v>
      </c>
      <c r="I79" s="7">
        <v>4.9000000000000004</v>
      </c>
      <c r="J79" s="8">
        <f>(($E79+$F79+$G79+$H79+$I79)-100)*(-1)</f>
        <v>3.1999999999999886</v>
      </c>
    </row>
    <row r="80" spans="1:10" ht="15" customHeight="1">
      <c r="A80" s="1">
        <v>335</v>
      </c>
      <c r="B80" s="1" t="s">
        <v>56</v>
      </c>
      <c r="C80" s="12">
        <v>6032</v>
      </c>
      <c r="D80" s="7">
        <v>76.900000000000006</v>
      </c>
      <c r="E80" s="7">
        <v>60.7</v>
      </c>
      <c r="F80" s="7">
        <v>21.7</v>
      </c>
      <c r="G80" s="7">
        <v>5.0999999999999996</v>
      </c>
      <c r="H80" s="8">
        <v>5.8</v>
      </c>
      <c r="I80" s="7">
        <v>3.6</v>
      </c>
      <c r="J80" s="8">
        <f>(($E80+$F80+$G80+$H80+$I80)-100)*(-1)</f>
        <v>3.1000000000000085</v>
      </c>
    </row>
    <row r="81" spans="1:10" ht="15" customHeight="1">
      <c r="B81" s="2" t="s">
        <v>57</v>
      </c>
      <c r="C81" s="12">
        <v>22169</v>
      </c>
      <c r="D81" s="7">
        <v>77.5</v>
      </c>
      <c r="E81" s="7">
        <v>56.7</v>
      </c>
      <c r="F81" s="7">
        <v>21.9</v>
      </c>
      <c r="G81" s="7">
        <v>6.2</v>
      </c>
      <c r="H81" s="7">
        <v>8.4</v>
      </c>
      <c r="I81" s="7">
        <v>4</v>
      </c>
      <c r="J81" s="8">
        <f>(($E81+$F81+$G81+$H81+$I81)-100)*(-1)</f>
        <v>2.7999999999999972</v>
      </c>
    </row>
    <row r="82" spans="1:10" ht="15" customHeight="1">
      <c r="C82" s="12"/>
      <c r="D82" s="7"/>
      <c r="E82" s="7"/>
      <c r="F82" s="7"/>
      <c r="G82" s="7"/>
      <c r="H82" s="7"/>
      <c r="I82" s="7"/>
      <c r="J82" s="8"/>
    </row>
    <row r="83" spans="1:10" ht="15" customHeight="1">
      <c r="A83" s="1">
        <v>341</v>
      </c>
      <c r="B83" s="1" t="s">
        <v>58</v>
      </c>
      <c r="C83" s="12">
        <v>3327</v>
      </c>
      <c r="D83" s="7">
        <v>82.1</v>
      </c>
      <c r="E83" s="7">
        <v>32</v>
      </c>
      <c r="F83" s="7">
        <v>33.4</v>
      </c>
      <c r="G83" s="7">
        <v>8.4</v>
      </c>
      <c r="H83" s="7">
        <v>22.4</v>
      </c>
      <c r="I83" s="8">
        <v>2.4</v>
      </c>
      <c r="J83" s="8">
        <f>(($E83+$F83+$G83+$H83+$I83)-100)*(-1)</f>
        <v>1.3999999999999773</v>
      </c>
    </row>
    <row r="84" spans="1:10" ht="15" customHeight="1">
      <c r="A84" s="1">
        <v>342</v>
      </c>
      <c r="B84" s="1" t="s">
        <v>59</v>
      </c>
      <c r="C84" s="12">
        <v>5116</v>
      </c>
      <c r="D84" s="7">
        <v>79.2</v>
      </c>
      <c r="E84" s="7">
        <v>34.5</v>
      </c>
      <c r="F84" s="7">
        <v>30.2</v>
      </c>
      <c r="G84" s="7">
        <v>13</v>
      </c>
      <c r="H84" s="7">
        <v>18</v>
      </c>
      <c r="I84" s="8">
        <v>1.9</v>
      </c>
      <c r="J84" s="8">
        <f>(($E84+$F84+$G84+$H84+$I84)-100)*(-1)</f>
        <v>2.3999999999999915</v>
      </c>
    </row>
    <row r="85" spans="1:10" ht="15" customHeight="1">
      <c r="A85" s="1">
        <v>343</v>
      </c>
      <c r="B85" s="1" t="s">
        <v>60</v>
      </c>
      <c r="C85" s="12">
        <v>8848</v>
      </c>
      <c r="D85" s="7">
        <v>82.2</v>
      </c>
      <c r="E85" s="7">
        <v>43</v>
      </c>
      <c r="F85" s="7">
        <v>27.2</v>
      </c>
      <c r="G85" s="7">
        <v>10.1</v>
      </c>
      <c r="H85" s="7">
        <v>15.5</v>
      </c>
      <c r="I85" s="8">
        <v>2.2000000000000002</v>
      </c>
      <c r="J85" s="7">
        <f>(($E85+$F85+$G85+$H85+$I85)-100)*(-1)</f>
        <v>2</v>
      </c>
    </row>
    <row r="86" spans="1:10" ht="15" customHeight="1">
      <c r="B86" s="2" t="s">
        <v>61</v>
      </c>
      <c r="C86" s="12">
        <v>17291</v>
      </c>
      <c r="D86" s="7">
        <v>81.3</v>
      </c>
      <c r="E86" s="7">
        <v>38.4</v>
      </c>
      <c r="F86" s="7">
        <v>29.3</v>
      </c>
      <c r="G86" s="7">
        <v>10.6</v>
      </c>
      <c r="H86" s="7">
        <v>17.600000000000001</v>
      </c>
      <c r="I86" s="7">
        <v>2.2000000000000002</v>
      </c>
      <c r="J86" s="8">
        <f>(($E86+$F86+$G86+$H86+$I86)-100)*(-1)</f>
        <v>1.8999999999999915</v>
      </c>
    </row>
    <row r="87" spans="1:10" ht="15" customHeight="1">
      <c r="C87" s="12" t="s">
        <v>5</v>
      </c>
      <c r="D87" s="7"/>
      <c r="E87" s="7"/>
      <c r="F87" s="7"/>
      <c r="G87" s="7"/>
      <c r="H87" s="7"/>
      <c r="I87" s="7"/>
      <c r="J87" s="8"/>
    </row>
    <row r="88" spans="1:10" ht="15" customHeight="1">
      <c r="A88">
        <v>351</v>
      </c>
      <c r="B88" s="3" t="s">
        <v>62</v>
      </c>
      <c r="C88" s="12">
        <v>3835</v>
      </c>
      <c r="D88" s="7">
        <v>82.1</v>
      </c>
      <c r="E88" s="7">
        <v>37.5</v>
      </c>
      <c r="F88" s="7">
        <v>33.299999999999997</v>
      </c>
      <c r="G88" s="7">
        <v>9.6</v>
      </c>
      <c r="H88" s="8">
        <v>15.8</v>
      </c>
      <c r="I88" s="7">
        <v>2.4</v>
      </c>
      <c r="J88" s="8">
        <f>(($E88+$F88+$G88+$H88+$I88)-100)*(-1)</f>
        <v>1.4000000000000057</v>
      </c>
    </row>
    <row r="89" spans="1:10" ht="15" customHeight="1">
      <c r="A89">
        <v>361</v>
      </c>
      <c r="B89" s="3" t="s">
        <v>63</v>
      </c>
      <c r="C89" s="12">
        <v>8503</v>
      </c>
      <c r="D89" s="7">
        <v>84.1</v>
      </c>
      <c r="E89" s="7">
        <v>25.1</v>
      </c>
      <c r="F89" s="7">
        <v>36.200000000000003</v>
      </c>
      <c r="G89" s="7">
        <v>6.8</v>
      </c>
      <c r="H89" s="7">
        <v>27.6</v>
      </c>
      <c r="I89" s="8">
        <v>2.4</v>
      </c>
      <c r="J89" s="8">
        <f>(($E89+$F89+$G89+$H89+$I89)-100)*(-1)</f>
        <v>1.8999999999999773</v>
      </c>
    </row>
    <row r="90" spans="1:10" ht="15" customHeight="1">
      <c r="A90"/>
      <c r="B90"/>
      <c r="C90" s="12" t="s">
        <v>5</v>
      </c>
      <c r="D90" s="7"/>
      <c r="E90" s="7"/>
      <c r="F90" s="7"/>
      <c r="G90" s="7"/>
      <c r="H90" s="7"/>
      <c r="I90" s="7"/>
      <c r="J90" s="8"/>
    </row>
    <row r="91" spans="1:10" ht="15" customHeight="1">
      <c r="A91" s="1">
        <v>371</v>
      </c>
      <c r="B91" s="1" t="s">
        <v>64</v>
      </c>
      <c r="C91" s="12">
        <v>2876</v>
      </c>
      <c r="D91" s="7">
        <v>80.3</v>
      </c>
      <c r="E91" s="7">
        <v>51.7</v>
      </c>
      <c r="F91" s="7">
        <v>26.8</v>
      </c>
      <c r="G91" s="7">
        <v>7</v>
      </c>
      <c r="H91" s="7">
        <v>9.8000000000000007</v>
      </c>
      <c r="I91" s="7">
        <v>2.4</v>
      </c>
      <c r="J91" s="8">
        <f t="shared" ref="J91:J96" si="2">(($E91+$F91+$G91+$H91+$I91)-100)*(-1)</f>
        <v>2.2999999999999972</v>
      </c>
    </row>
    <row r="92" spans="1:10" ht="15" customHeight="1">
      <c r="A92" s="1">
        <v>372</v>
      </c>
      <c r="B92" s="1" t="s">
        <v>65</v>
      </c>
      <c r="C92" s="12">
        <v>9573</v>
      </c>
      <c r="D92" s="7">
        <v>76.2</v>
      </c>
      <c r="E92" s="7">
        <v>58.5</v>
      </c>
      <c r="F92" s="7">
        <v>20.399999999999999</v>
      </c>
      <c r="G92" s="7">
        <v>7.1</v>
      </c>
      <c r="H92" s="7">
        <v>8.8000000000000007</v>
      </c>
      <c r="I92" s="7">
        <v>3</v>
      </c>
      <c r="J92" s="8">
        <f t="shared" si="2"/>
        <v>2.2000000000000028</v>
      </c>
    </row>
    <row r="93" spans="1:10" ht="15" customHeight="1">
      <c r="A93" s="1">
        <v>373</v>
      </c>
      <c r="B93" s="1" t="s">
        <v>66</v>
      </c>
      <c r="C93" s="12">
        <v>6703</v>
      </c>
      <c r="D93" s="7">
        <v>68.5</v>
      </c>
      <c r="E93" s="7">
        <v>61</v>
      </c>
      <c r="F93" s="7">
        <v>20.3</v>
      </c>
      <c r="G93" s="7">
        <v>6.2</v>
      </c>
      <c r="H93" s="8">
        <v>6.8</v>
      </c>
      <c r="I93" s="8">
        <v>3.5</v>
      </c>
      <c r="J93" s="7">
        <f t="shared" si="2"/>
        <v>2.2000000000000028</v>
      </c>
    </row>
    <row r="94" spans="1:10" ht="15" customHeight="1">
      <c r="A94" s="1">
        <v>374</v>
      </c>
      <c r="B94" s="1" t="s">
        <v>67</v>
      </c>
      <c r="C94" s="12">
        <v>3631</v>
      </c>
      <c r="D94" s="7">
        <v>81</v>
      </c>
      <c r="E94" s="7">
        <v>56</v>
      </c>
      <c r="F94" s="7">
        <v>21.3</v>
      </c>
      <c r="G94" s="7">
        <v>9</v>
      </c>
      <c r="H94" s="7">
        <v>9.1</v>
      </c>
      <c r="I94" s="8">
        <v>2.9</v>
      </c>
      <c r="J94" s="8">
        <f t="shared" si="2"/>
        <v>1.7000000000000028</v>
      </c>
    </row>
    <row r="95" spans="1:10" ht="15" customHeight="1">
      <c r="A95" s="1">
        <v>375</v>
      </c>
      <c r="B95" s="1" t="s">
        <v>68</v>
      </c>
      <c r="C95" s="12">
        <v>4933</v>
      </c>
      <c r="D95" s="7">
        <v>73.5</v>
      </c>
      <c r="E95" s="7">
        <v>61</v>
      </c>
      <c r="F95" s="7">
        <v>20.399999999999999</v>
      </c>
      <c r="G95" s="7">
        <v>7.1</v>
      </c>
      <c r="H95" s="7">
        <v>6.8</v>
      </c>
      <c r="I95" s="8">
        <v>2.5</v>
      </c>
      <c r="J95" s="8">
        <f t="shared" si="2"/>
        <v>2.2000000000000028</v>
      </c>
    </row>
    <row r="96" spans="1:10" ht="15" customHeight="1">
      <c r="B96" s="2" t="s">
        <v>69</v>
      </c>
      <c r="C96" s="12">
        <v>27716</v>
      </c>
      <c r="D96" s="7">
        <v>74.900000000000006</v>
      </c>
      <c r="E96" s="7">
        <v>58.4</v>
      </c>
      <c r="F96" s="7">
        <v>21.2</v>
      </c>
      <c r="G96" s="7">
        <v>7.2</v>
      </c>
      <c r="H96" s="7">
        <v>8.1999999999999993</v>
      </c>
      <c r="I96" s="7">
        <v>3</v>
      </c>
      <c r="J96" s="7">
        <f t="shared" si="2"/>
        <v>2</v>
      </c>
    </row>
    <row r="97" spans="1:10" ht="15" customHeight="1">
      <c r="C97" s="12" t="s">
        <v>5</v>
      </c>
      <c r="D97" s="7"/>
      <c r="E97" s="7"/>
      <c r="F97" s="7"/>
      <c r="G97" s="7"/>
      <c r="H97" s="7"/>
      <c r="I97" s="7"/>
      <c r="J97" s="8"/>
    </row>
    <row r="98" spans="1:10" ht="15" customHeight="1">
      <c r="A98" s="1">
        <v>381</v>
      </c>
      <c r="B98" s="1" t="s">
        <v>70</v>
      </c>
      <c r="C98" s="12">
        <v>7822</v>
      </c>
      <c r="D98" s="7">
        <v>78.400000000000006</v>
      </c>
      <c r="E98" s="7">
        <v>54.6</v>
      </c>
      <c r="F98" s="7">
        <v>22.8</v>
      </c>
      <c r="G98" s="7">
        <v>8.1</v>
      </c>
      <c r="H98" s="7">
        <v>8.9</v>
      </c>
      <c r="I98" s="7">
        <v>3.1</v>
      </c>
      <c r="J98" s="8">
        <f t="shared" ref="J98:J103" si="3">(($E98+$F98+$G98+$H98+$I98)-100)*(-1)</f>
        <v>2.5</v>
      </c>
    </row>
    <row r="99" spans="1:10" ht="15" customHeight="1">
      <c r="A99" s="1">
        <v>382</v>
      </c>
      <c r="B99" s="1" t="s">
        <v>71</v>
      </c>
      <c r="C99" s="12">
        <v>8316</v>
      </c>
      <c r="D99" s="7">
        <v>76.2</v>
      </c>
      <c r="E99" s="7">
        <v>51.3</v>
      </c>
      <c r="F99" s="7">
        <v>23.3</v>
      </c>
      <c r="G99" s="7">
        <v>11.9</v>
      </c>
      <c r="H99" s="7">
        <v>8.8000000000000007</v>
      </c>
      <c r="I99" s="7">
        <v>2.4</v>
      </c>
      <c r="J99" s="8">
        <f t="shared" si="3"/>
        <v>2.2999999999999972</v>
      </c>
    </row>
    <row r="100" spans="1:10" ht="15" customHeight="1">
      <c r="A100" s="1">
        <v>383</v>
      </c>
      <c r="B100" s="1" t="s">
        <v>72</v>
      </c>
      <c r="C100" s="12">
        <v>6882</v>
      </c>
      <c r="D100" s="7">
        <v>73.5</v>
      </c>
      <c r="E100" s="7">
        <v>56.9</v>
      </c>
      <c r="F100" s="7">
        <v>23.3</v>
      </c>
      <c r="G100" s="7">
        <v>8</v>
      </c>
      <c r="H100" s="7">
        <v>6.9</v>
      </c>
      <c r="I100" s="7">
        <v>2.5</v>
      </c>
      <c r="J100" s="8">
        <f t="shared" si="3"/>
        <v>2.3999999999999915</v>
      </c>
    </row>
    <row r="101" spans="1:10" ht="15" customHeight="1">
      <c r="A101" s="1">
        <v>384</v>
      </c>
      <c r="B101" s="1" t="s">
        <v>73</v>
      </c>
      <c r="C101" s="12">
        <v>4681</v>
      </c>
      <c r="D101" s="7">
        <v>81.400000000000006</v>
      </c>
      <c r="E101" s="7">
        <v>58.7</v>
      </c>
      <c r="F101" s="7">
        <v>22.4</v>
      </c>
      <c r="G101" s="7">
        <v>6.6</v>
      </c>
      <c r="H101" s="8">
        <v>8.1999999999999993</v>
      </c>
      <c r="I101" s="8">
        <v>2.2000000000000002</v>
      </c>
      <c r="J101" s="8">
        <f t="shared" si="3"/>
        <v>1.9000000000000057</v>
      </c>
    </row>
    <row r="102" spans="1:10" ht="15" customHeight="1">
      <c r="A102" s="1">
        <v>385</v>
      </c>
      <c r="B102" s="1" t="s">
        <v>74</v>
      </c>
      <c r="C102" s="12">
        <v>3851</v>
      </c>
      <c r="D102" s="7">
        <v>77.900000000000006</v>
      </c>
      <c r="E102" s="7">
        <v>58.8</v>
      </c>
      <c r="F102" s="7">
        <v>23.8</v>
      </c>
      <c r="G102" s="7">
        <v>6.2</v>
      </c>
      <c r="H102" s="7">
        <v>7.3</v>
      </c>
      <c r="I102" s="8">
        <v>2.1</v>
      </c>
      <c r="J102" s="8">
        <f t="shared" si="3"/>
        <v>1.8000000000000114</v>
      </c>
    </row>
    <row r="103" spans="1:10" ht="15" customHeight="1">
      <c r="B103" s="2" t="s">
        <v>75</v>
      </c>
      <c r="C103" s="12">
        <v>31552</v>
      </c>
      <c r="D103" s="7">
        <v>77.099999999999994</v>
      </c>
      <c r="E103" s="7">
        <v>55.4</v>
      </c>
      <c r="F103" s="7">
        <v>23.1</v>
      </c>
      <c r="G103" s="7">
        <v>8.6</v>
      </c>
      <c r="H103" s="7">
        <v>8.1999999999999993</v>
      </c>
      <c r="I103" s="7">
        <v>2.5</v>
      </c>
      <c r="J103" s="8">
        <f t="shared" si="3"/>
        <v>2.2000000000000028</v>
      </c>
    </row>
    <row r="104" spans="1:10" ht="15" customHeight="1">
      <c r="C104" s="12" t="s">
        <v>5</v>
      </c>
      <c r="D104" s="7"/>
      <c r="E104" s="7"/>
      <c r="F104" s="7"/>
      <c r="G104" s="7"/>
      <c r="H104" s="7"/>
      <c r="I104" s="7"/>
      <c r="J104" s="8"/>
    </row>
    <row r="105" spans="1:10" ht="15" customHeight="1">
      <c r="B105" s="2" t="s">
        <v>76</v>
      </c>
      <c r="C105" s="12">
        <v>167337</v>
      </c>
      <c r="D105" s="7">
        <v>78.2</v>
      </c>
      <c r="E105" s="7">
        <v>44.4</v>
      </c>
      <c r="F105" s="7">
        <v>25.8</v>
      </c>
      <c r="G105" s="7">
        <v>11.3</v>
      </c>
      <c r="H105" s="7">
        <v>13.3</v>
      </c>
      <c r="I105" s="7">
        <v>2.8</v>
      </c>
      <c r="J105" s="7">
        <f>(($E105+$F105+$G105+$H105+$I105)-100)*(-1)</f>
        <v>2.4000000000000057</v>
      </c>
    </row>
    <row r="106" spans="1:10" ht="15" customHeight="1">
      <c r="C106" s="12" t="s">
        <v>5</v>
      </c>
      <c r="D106" s="7"/>
      <c r="E106" s="7"/>
      <c r="F106" s="7"/>
      <c r="G106" s="7"/>
      <c r="H106" s="7"/>
      <c r="I106" s="7"/>
      <c r="J106" s="8"/>
    </row>
    <row r="107" spans="1:10" ht="15" customHeight="1">
      <c r="A107" s="1">
        <v>411</v>
      </c>
      <c r="B107" s="1" t="s">
        <v>77</v>
      </c>
      <c r="C107" s="12">
        <v>344</v>
      </c>
      <c r="D107" s="7">
        <v>85.5</v>
      </c>
      <c r="E107" s="7">
        <v>19.8</v>
      </c>
      <c r="F107" s="7">
        <v>45.7</v>
      </c>
      <c r="G107" s="7">
        <v>8.1999999999999993</v>
      </c>
      <c r="H107" s="9">
        <v>23.2</v>
      </c>
      <c r="I107" s="7">
        <v>2.1</v>
      </c>
      <c r="J107" s="7">
        <f>(($E107+$F107+$G107+$H107+$I107)-100)*(-1)</f>
        <v>1</v>
      </c>
    </row>
    <row r="108" spans="1:10" ht="15" customHeight="1">
      <c r="C108" s="12" t="s">
        <v>5</v>
      </c>
      <c r="D108" s="7"/>
      <c r="E108" s="7"/>
      <c r="F108" s="7"/>
      <c r="G108" s="7"/>
      <c r="H108" s="7"/>
      <c r="I108" s="7"/>
      <c r="J108" s="8"/>
    </row>
    <row r="109" spans="1:10" ht="15" customHeight="1">
      <c r="A109" s="1">
        <v>421</v>
      </c>
      <c r="B109" s="1" t="s">
        <v>78</v>
      </c>
      <c r="C109" s="12">
        <v>5446</v>
      </c>
      <c r="D109" s="7">
        <v>76.400000000000006</v>
      </c>
      <c r="E109" s="7">
        <v>55.8</v>
      </c>
      <c r="F109" s="7">
        <v>18.8</v>
      </c>
      <c r="G109" s="7">
        <v>13.2</v>
      </c>
      <c r="H109" s="7">
        <v>6.9</v>
      </c>
      <c r="I109" s="7">
        <v>2.8</v>
      </c>
      <c r="J109" s="8">
        <f>(($E109+$F109+$G109+$H109+$I109)-100)*(-1)</f>
        <v>2.5</v>
      </c>
    </row>
    <row r="110" spans="1:10" ht="15" customHeight="1">
      <c r="A110" s="1">
        <v>422</v>
      </c>
      <c r="B110" s="1" t="s">
        <v>79</v>
      </c>
      <c r="C110" s="12">
        <v>5706</v>
      </c>
      <c r="D110" s="7">
        <v>75.400000000000006</v>
      </c>
      <c r="E110" s="7">
        <v>54.4</v>
      </c>
      <c r="F110" s="7">
        <v>18.5</v>
      </c>
      <c r="G110" s="7">
        <v>14.2</v>
      </c>
      <c r="H110" s="7">
        <v>7.5</v>
      </c>
      <c r="I110" s="7">
        <v>3.1</v>
      </c>
      <c r="J110" s="8">
        <f>(($E110+$F110+$G110+$H110+$I110)-100)*(-1)</f>
        <v>2.2999999999999972</v>
      </c>
    </row>
    <row r="111" spans="1:10" ht="15" customHeight="1">
      <c r="A111" s="1">
        <v>423</v>
      </c>
      <c r="B111" s="1" t="s">
        <v>80</v>
      </c>
      <c r="C111" s="12">
        <v>8264</v>
      </c>
      <c r="D111" s="7">
        <v>81</v>
      </c>
      <c r="E111" s="7">
        <v>49.5</v>
      </c>
      <c r="F111" s="7">
        <v>24.5</v>
      </c>
      <c r="G111" s="7">
        <v>9.9</v>
      </c>
      <c r="H111" s="7">
        <v>10.8</v>
      </c>
      <c r="I111" s="7">
        <v>2.8</v>
      </c>
      <c r="J111" s="8">
        <f>(($E111+$F111+$G111+$H111+$I111)-100)*(-1)</f>
        <v>2.5</v>
      </c>
    </row>
    <row r="112" spans="1:10" ht="15" customHeight="1">
      <c r="A112" s="1">
        <v>424</v>
      </c>
      <c r="B112" s="1" t="s">
        <v>81</v>
      </c>
      <c r="C112" s="12">
        <v>719</v>
      </c>
      <c r="D112" s="7">
        <v>73.3</v>
      </c>
      <c r="E112" s="7">
        <v>49</v>
      </c>
      <c r="F112" s="7">
        <v>22.4</v>
      </c>
      <c r="G112" s="7">
        <v>6.9</v>
      </c>
      <c r="H112" s="7">
        <v>8.4</v>
      </c>
      <c r="I112" s="7">
        <v>8</v>
      </c>
      <c r="J112" s="8">
        <f>(($E112+$F112+$G112+$H112+$I112)-100)*(-1)</f>
        <v>5.2999999999999829</v>
      </c>
    </row>
    <row r="113" spans="1:10" ht="15" customHeight="1">
      <c r="B113" s="2" t="s">
        <v>82</v>
      </c>
      <c r="C113" s="12">
        <v>20135</v>
      </c>
      <c r="D113" s="7">
        <v>77.900000000000006</v>
      </c>
      <c r="E113" s="7">
        <v>52.5</v>
      </c>
      <c r="F113" s="7">
        <v>21.3</v>
      </c>
      <c r="G113" s="7">
        <v>11.9</v>
      </c>
      <c r="H113" s="7">
        <v>8.8000000000000007</v>
      </c>
      <c r="I113" s="7">
        <v>3.1</v>
      </c>
      <c r="J113" s="8">
        <f>(($E113+$F113+$G113+$H113+$I113)-100)*(-1)</f>
        <v>2.4000000000000057</v>
      </c>
    </row>
    <row r="114" spans="1:10" ht="15" customHeight="1">
      <c r="C114" s="12" t="s">
        <v>5</v>
      </c>
      <c r="D114" s="7"/>
      <c r="E114" s="7"/>
      <c r="F114" s="7"/>
      <c r="G114" s="7"/>
      <c r="H114" s="7"/>
      <c r="I114" s="7"/>
      <c r="J114" s="8"/>
    </row>
    <row r="115" spans="1:10" ht="15" customHeight="1">
      <c r="A115" s="1">
        <v>431</v>
      </c>
      <c r="B115" s="1" t="s">
        <v>83</v>
      </c>
      <c r="C115" s="12">
        <v>2661</v>
      </c>
      <c r="D115" s="7">
        <v>78.400000000000006</v>
      </c>
      <c r="E115" s="7">
        <v>57.7</v>
      </c>
      <c r="F115" s="7">
        <v>23.1</v>
      </c>
      <c r="G115" s="7">
        <v>6.4</v>
      </c>
      <c r="H115" s="8">
        <v>7.1</v>
      </c>
      <c r="I115" s="7">
        <v>3.6</v>
      </c>
      <c r="J115" s="8">
        <f t="shared" ref="J115:J121" si="4">(($E115+$F115+$G115+$H115+$I115)-100)*(-1)</f>
        <v>2.0999999999999943</v>
      </c>
    </row>
    <row r="116" spans="1:10" ht="15" customHeight="1">
      <c r="A116" s="1">
        <v>432</v>
      </c>
      <c r="B116" s="1" t="s">
        <v>84</v>
      </c>
      <c r="C116" s="12">
        <v>3915</v>
      </c>
      <c r="D116" s="7">
        <v>73.8</v>
      </c>
      <c r="E116" s="7">
        <v>61.2</v>
      </c>
      <c r="F116" s="7">
        <v>19.8</v>
      </c>
      <c r="G116" s="7">
        <v>7.8</v>
      </c>
      <c r="H116" s="8">
        <v>5.2</v>
      </c>
      <c r="I116" s="7">
        <v>3.2</v>
      </c>
      <c r="J116" s="8">
        <f t="shared" si="4"/>
        <v>2.7999999999999972</v>
      </c>
    </row>
    <row r="117" spans="1:10" ht="15" customHeight="1">
      <c r="A117" s="1">
        <v>433</v>
      </c>
      <c r="B117" s="1" t="s">
        <v>85</v>
      </c>
      <c r="C117" s="12">
        <v>5282</v>
      </c>
      <c r="D117" s="7">
        <v>74</v>
      </c>
      <c r="E117" s="7">
        <v>58.1</v>
      </c>
      <c r="F117" s="7">
        <v>19.100000000000001</v>
      </c>
      <c r="G117" s="7">
        <v>10.5</v>
      </c>
      <c r="H117" s="7">
        <v>6.5</v>
      </c>
      <c r="I117" s="7">
        <v>3.4</v>
      </c>
      <c r="J117" s="8">
        <f t="shared" si="4"/>
        <v>2.3999999999999915</v>
      </c>
    </row>
    <row r="118" spans="1:10" ht="15" customHeight="1">
      <c r="A118" s="1">
        <v>434</v>
      </c>
      <c r="B118" s="1" t="s">
        <v>86</v>
      </c>
      <c r="C118" s="12">
        <v>6177</v>
      </c>
      <c r="D118" s="7">
        <v>74.2</v>
      </c>
      <c r="E118" s="7">
        <v>55.9</v>
      </c>
      <c r="F118" s="7">
        <v>21.4</v>
      </c>
      <c r="G118" s="7">
        <v>10</v>
      </c>
      <c r="H118" s="7">
        <v>6.8</v>
      </c>
      <c r="I118" s="7">
        <v>3.1</v>
      </c>
      <c r="J118" s="8">
        <f t="shared" si="4"/>
        <v>2.8000000000000114</v>
      </c>
    </row>
    <row r="119" spans="1:10" ht="15" customHeight="1">
      <c r="A119" s="1">
        <v>435</v>
      </c>
      <c r="B119" s="1" t="s">
        <v>87</v>
      </c>
      <c r="C119" s="12">
        <v>4193</v>
      </c>
      <c r="D119" s="7">
        <v>75.8</v>
      </c>
      <c r="E119" s="7">
        <v>63.1</v>
      </c>
      <c r="F119" s="7">
        <v>18.7</v>
      </c>
      <c r="G119" s="7">
        <v>7.6</v>
      </c>
      <c r="H119" s="8">
        <v>5.7</v>
      </c>
      <c r="I119" s="8">
        <v>2.6</v>
      </c>
      <c r="J119" s="8">
        <f t="shared" si="4"/>
        <v>2.3000000000000114</v>
      </c>
    </row>
    <row r="120" spans="1:10" ht="15" customHeight="1">
      <c r="A120" s="1">
        <v>436</v>
      </c>
      <c r="B120" s="1" t="s">
        <v>88</v>
      </c>
      <c r="C120" s="12">
        <v>1301</v>
      </c>
      <c r="D120" s="7">
        <v>69.5</v>
      </c>
      <c r="E120" s="7">
        <v>55</v>
      </c>
      <c r="F120" s="7">
        <v>21.1</v>
      </c>
      <c r="G120" s="7">
        <v>9.8000000000000007</v>
      </c>
      <c r="H120" s="7">
        <v>6.7</v>
      </c>
      <c r="I120" s="7">
        <v>3.5</v>
      </c>
      <c r="J120" s="8">
        <f t="shared" si="4"/>
        <v>3.9000000000000057</v>
      </c>
    </row>
    <row r="121" spans="1:10" ht="15" customHeight="1">
      <c r="B121" s="2" t="s">
        <v>89</v>
      </c>
      <c r="C121" s="12">
        <v>23529</v>
      </c>
      <c r="D121" s="7">
        <v>74.599999999999994</v>
      </c>
      <c r="E121" s="7">
        <v>58.7</v>
      </c>
      <c r="F121" s="7">
        <v>20.3</v>
      </c>
      <c r="G121" s="7">
        <v>8.9</v>
      </c>
      <c r="H121" s="8">
        <v>6.3</v>
      </c>
      <c r="I121" s="7">
        <v>3.2</v>
      </c>
      <c r="J121" s="8">
        <f t="shared" si="4"/>
        <v>2.5999999999999943</v>
      </c>
    </row>
    <row r="122" spans="1:10" ht="15" customHeight="1">
      <c r="C122" s="12" t="s">
        <v>5</v>
      </c>
      <c r="D122" s="7"/>
      <c r="E122" s="7"/>
      <c r="F122" s="7"/>
      <c r="G122" s="7"/>
      <c r="H122" s="7"/>
      <c r="I122" s="7"/>
      <c r="J122" s="8"/>
    </row>
    <row r="123" spans="1:10" ht="15" customHeight="1">
      <c r="A123" s="1">
        <v>441</v>
      </c>
      <c r="B123" s="1" t="s">
        <v>90</v>
      </c>
      <c r="C123" s="12">
        <v>5733</v>
      </c>
      <c r="D123" s="7">
        <v>73.2</v>
      </c>
      <c r="E123" s="7">
        <v>66.599999999999994</v>
      </c>
      <c r="F123" s="7">
        <v>15.1</v>
      </c>
      <c r="G123" s="7">
        <v>6.9</v>
      </c>
      <c r="H123" s="8">
        <v>4.8</v>
      </c>
      <c r="I123" s="7">
        <v>3.7</v>
      </c>
      <c r="J123" s="8">
        <f t="shared" ref="J123:J128" si="5">(($E123+$F123+$G123+$H123+$I123)-100)*(-1)</f>
        <v>2.9000000000000057</v>
      </c>
    </row>
    <row r="124" spans="1:10" ht="15" customHeight="1">
      <c r="A124" s="1">
        <v>442</v>
      </c>
      <c r="B124" s="1" t="s">
        <v>91</v>
      </c>
      <c r="C124" s="12">
        <v>6875</v>
      </c>
      <c r="D124" s="7">
        <v>73.8</v>
      </c>
      <c r="E124" s="7">
        <v>68.599999999999994</v>
      </c>
      <c r="F124" s="7">
        <v>15.9</v>
      </c>
      <c r="G124" s="7">
        <v>5.4</v>
      </c>
      <c r="H124" s="8">
        <v>4.7</v>
      </c>
      <c r="I124" s="7">
        <v>3.2</v>
      </c>
      <c r="J124" s="8">
        <f t="shared" si="5"/>
        <v>2.1999999999999886</v>
      </c>
    </row>
    <row r="125" spans="1:10" ht="15" customHeight="1">
      <c r="A125" s="1">
        <v>443</v>
      </c>
      <c r="B125" s="1" t="s">
        <v>92</v>
      </c>
      <c r="C125" s="12">
        <v>6632</v>
      </c>
      <c r="D125" s="7">
        <v>72</v>
      </c>
      <c r="E125" s="7">
        <v>69.099999999999994</v>
      </c>
      <c r="F125" s="7">
        <v>14.8</v>
      </c>
      <c r="G125" s="7">
        <v>5.7</v>
      </c>
      <c r="H125" s="8">
        <v>4.7</v>
      </c>
      <c r="I125" s="7">
        <v>3</v>
      </c>
      <c r="J125" s="8">
        <f t="shared" si="5"/>
        <v>2.7000000000000028</v>
      </c>
    </row>
    <row r="126" spans="1:10" ht="15" customHeight="1">
      <c r="A126" s="1">
        <v>444</v>
      </c>
      <c r="B126" s="1" t="s">
        <v>93</v>
      </c>
      <c r="C126" s="12">
        <v>102</v>
      </c>
      <c r="D126" s="7">
        <v>57.8</v>
      </c>
      <c r="E126" s="7">
        <v>55.9</v>
      </c>
      <c r="F126" s="7">
        <v>17</v>
      </c>
      <c r="G126" s="9">
        <v>10.199999999999999</v>
      </c>
      <c r="H126" s="8">
        <v>3.4</v>
      </c>
      <c r="I126" s="7">
        <v>11.9</v>
      </c>
      <c r="J126" s="8">
        <f t="shared" si="5"/>
        <v>1.5999999999999801</v>
      </c>
    </row>
    <row r="127" spans="1:10" ht="15" customHeight="1">
      <c r="A127" s="1">
        <v>445</v>
      </c>
      <c r="B127" s="1" t="s">
        <v>94</v>
      </c>
      <c r="C127" s="12">
        <v>6440</v>
      </c>
      <c r="D127" s="7">
        <v>73.7</v>
      </c>
      <c r="E127" s="7">
        <v>67.7</v>
      </c>
      <c r="F127" s="7">
        <v>16.7</v>
      </c>
      <c r="G127" s="7">
        <v>6.2</v>
      </c>
      <c r="H127" s="7">
        <v>4.3</v>
      </c>
      <c r="I127" s="7">
        <v>2.9</v>
      </c>
      <c r="J127" s="7">
        <f t="shared" si="5"/>
        <v>2.1999999999999886</v>
      </c>
    </row>
    <row r="128" spans="1:10" ht="15" customHeight="1">
      <c r="B128" s="2" t="s">
        <v>95</v>
      </c>
      <c r="C128" s="12">
        <v>25782</v>
      </c>
      <c r="D128" s="7">
        <v>73.099999999999994</v>
      </c>
      <c r="E128" s="7">
        <v>60</v>
      </c>
      <c r="F128" s="7">
        <v>15.6</v>
      </c>
      <c r="G128" s="7">
        <v>6</v>
      </c>
      <c r="H128" s="8">
        <v>4.5999999999999996</v>
      </c>
      <c r="I128" s="7">
        <v>3.2</v>
      </c>
      <c r="J128" s="8">
        <f t="shared" si="5"/>
        <v>10.600000000000009</v>
      </c>
    </row>
    <row r="129" spans="1:10" ht="15" customHeight="1">
      <c r="C129" s="12" t="s">
        <v>5</v>
      </c>
      <c r="D129" s="7"/>
      <c r="E129" s="7"/>
      <c r="F129" s="7"/>
      <c r="G129" s="7"/>
      <c r="H129" s="7"/>
      <c r="I129" s="7"/>
      <c r="J129" s="8"/>
    </row>
    <row r="130" spans="1:10" ht="15" customHeight="1">
      <c r="B130" s="2" t="s">
        <v>96</v>
      </c>
      <c r="C130" s="12">
        <v>69790</v>
      </c>
      <c r="D130" s="7">
        <v>75.099999999999994</v>
      </c>
      <c r="E130" s="7">
        <v>60</v>
      </c>
      <c r="F130" s="7">
        <v>19.100000000000001</v>
      </c>
      <c r="G130" s="7">
        <v>8.6999999999999993</v>
      </c>
      <c r="H130" s="8">
        <v>6.5</v>
      </c>
      <c r="I130" s="7">
        <v>3.2</v>
      </c>
      <c r="J130" s="8">
        <f>(($E130+$F130+$G130+$H130+$I130)-100)*(-1)</f>
        <v>2.5</v>
      </c>
    </row>
    <row r="131" spans="1:10" ht="15" customHeight="1">
      <c r="C131" s="12" t="s">
        <v>5</v>
      </c>
      <c r="D131" s="7"/>
      <c r="E131" s="7"/>
      <c r="F131" s="7"/>
      <c r="G131" s="7"/>
      <c r="H131" s="7"/>
      <c r="I131" s="7"/>
      <c r="J131" s="8"/>
    </row>
    <row r="132" spans="1:10" ht="15" customHeight="1">
      <c r="A132" s="1">
        <v>511</v>
      </c>
      <c r="B132" s="1" t="s">
        <v>97</v>
      </c>
      <c r="C132" s="12">
        <v>4983</v>
      </c>
      <c r="D132" s="7">
        <v>76.2</v>
      </c>
      <c r="E132" s="7">
        <v>56.7</v>
      </c>
      <c r="F132" s="7">
        <v>22</v>
      </c>
      <c r="G132" s="7">
        <v>8.6999999999999993</v>
      </c>
      <c r="H132" s="7">
        <v>7.9</v>
      </c>
      <c r="I132" s="7">
        <v>3.1</v>
      </c>
      <c r="J132" s="8">
        <f t="shared" ref="J132:J137" si="6">(($E132+$F132+$G132+$H132+$I132)-100)*(-1)</f>
        <v>1.5999999999999943</v>
      </c>
    </row>
    <row r="133" spans="1:10" ht="15" customHeight="1">
      <c r="A133" s="1">
        <v>512</v>
      </c>
      <c r="B133" s="1" t="s">
        <v>98</v>
      </c>
      <c r="C133" s="12">
        <v>257</v>
      </c>
      <c r="D133" s="7">
        <v>64.599999999999994</v>
      </c>
      <c r="E133" s="7">
        <v>47.3</v>
      </c>
      <c r="F133" s="7">
        <v>24.8</v>
      </c>
      <c r="G133" s="7">
        <v>15.2</v>
      </c>
      <c r="H133" s="8">
        <v>9.6999999999999993</v>
      </c>
      <c r="I133" s="9">
        <v>2.4</v>
      </c>
      <c r="J133" s="8">
        <f t="shared" si="6"/>
        <v>0.59999999999999432</v>
      </c>
    </row>
    <row r="134" spans="1:10" ht="15" customHeight="1">
      <c r="A134" s="1">
        <v>513</v>
      </c>
      <c r="B134" s="1" t="s">
        <v>99</v>
      </c>
      <c r="C134" s="12">
        <v>8545</v>
      </c>
      <c r="D134" s="7">
        <v>75.099999999999994</v>
      </c>
      <c r="E134" s="7">
        <v>58.4</v>
      </c>
      <c r="F134" s="7">
        <v>21.6</v>
      </c>
      <c r="G134" s="7">
        <v>7</v>
      </c>
      <c r="H134" s="7">
        <v>7.9</v>
      </c>
      <c r="I134" s="7">
        <v>3.2</v>
      </c>
      <c r="J134" s="8">
        <f t="shared" si="6"/>
        <v>1.8999999999999915</v>
      </c>
    </row>
    <row r="135" spans="1:10" ht="15" customHeight="1">
      <c r="A135" s="1">
        <v>514</v>
      </c>
      <c r="B135" s="1" t="s">
        <v>100</v>
      </c>
      <c r="C135" s="12">
        <v>7677</v>
      </c>
      <c r="D135" s="7">
        <v>78.900000000000006</v>
      </c>
      <c r="E135" s="7">
        <v>47.2</v>
      </c>
      <c r="F135" s="7">
        <v>24.9</v>
      </c>
      <c r="G135" s="7">
        <v>9.8000000000000007</v>
      </c>
      <c r="H135" s="7">
        <v>13.9</v>
      </c>
      <c r="I135" s="7">
        <v>2.6</v>
      </c>
      <c r="J135" s="7">
        <f t="shared" si="6"/>
        <v>1.6000000000000085</v>
      </c>
    </row>
    <row r="136" spans="1:10" ht="15" customHeight="1">
      <c r="A136" s="1">
        <v>515</v>
      </c>
      <c r="B136" s="1" t="s">
        <v>101</v>
      </c>
      <c r="C136" s="12">
        <v>4788</v>
      </c>
      <c r="D136" s="7">
        <v>80</v>
      </c>
      <c r="E136" s="7">
        <v>38.299999999999997</v>
      </c>
      <c r="F136" s="7">
        <v>32.1</v>
      </c>
      <c r="G136" s="7">
        <v>9.9</v>
      </c>
      <c r="H136" s="7">
        <v>14.6</v>
      </c>
      <c r="I136" s="8">
        <v>3.9</v>
      </c>
      <c r="J136" s="8">
        <f t="shared" si="6"/>
        <v>1.1999999999999886</v>
      </c>
    </row>
    <row r="137" spans="1:10" ht="15" customHeight="1">
      <c r="B137" s="2" t="s">
        <v>102</v>
      </c>
      <c r="C137" s="12">
        <v>26250</v>
      </c>
      <c r="D137" s="7">
        <v>77.2</v>
      </c>
      <c r="E137" s="7">
        <v>50.8</v>
      </c>
      <c r="F137" s="7">
        <v>24.7</v>
      </c>
      <c r="G137" s="7">
        <v>8.8000000000000007</v>
      </c>
      <c r="H137" s="7">
        <v>11</v>
      </c>
      <c r="I137" s="7">
        <v>3.1</v>
      </c>
      <c r="J137" s="8">
        <f t="shared" si="6"/>
        <v>1.6000000000000085</v>
      </c>
    </row>
    <row r="138" spans="1:10" ht="15" customHeight="1">
      <c r="C138" s="12" t="s">
        <v>5</v>
      </c>
      <c r="D138" s="7"/>
      <c r="E138" s="7"/>
      <c r="F138" s="7"/>
      <c r="G138" s="7"/>
      <c r="H138" s="7"/>
      <c r="I138" s="7"/>
      <c r="J138" s="8"/>
    </row>
    <row r="139" spans="1:10" ht="15" customHeight="1">
      <c r="A139" s="1">
        <v>521</v>
      </c>
      <c r="B139" s="1" t="s">
        <v>103</v>
      </c>
      <c r="C139" s="12">
        <v>5088</v>
      </c>
      <c r="D139" s="7">
        <v>76</v>
      </c>
      <c r="E139" s="7">
        <v>45.8</v>
      </c>
      <c r="F139" s="7">
        <v>28.2</v>
      </c>
      <c r="G139" s="7">
        <v>11.1</v>
      </c>
      <c r="H139" s="7">
        <v>9.5</v>
      </c>
      <c r="I139" s="7">
        <v>3.4</v>
      </c>
      <c r="J139" s="7">
        <f t="shared" ref="J139:J144" si="7">(($E139+$F139+$G139+$H139+$I139)-100)*(-1)</f>
        <v>2</v>
      </c>
    </row>
    <row r="140" spans="1:10" ht="15" customHeight="1">
      <c r="A140" s="1">
        <v>522</v>
      </c>
      <c r="B140" s="1" t="s">
        <v>104</v>
      </c>
      <c r="C140" s="12">
        <v>3993</v>
      </c>
      <c r="D140" s="7">
        <v>77.7</v>
      </c>
      <c r="E140" s="7">
        <v>58.8</v>
      </c>
      <c r="F140" s="7">
        <v>22.6</v>
      </c>
      <c r="G140" s="7">
        <v>6.9</v>
      </c>
      <c r="H140" s="8">
        <v>6.3</v>
      </c>
      <c r="I140" s="7">
        <v>3.4</v>
      </c>
      <c r="J140" s="7">
        <f t="shared" si="7"/>
        <v>1.9999999999999858</v>
      </c>
    </row>
    <row r="141" spans="1:10" ht="15" customHeight="1">
      <c r="A141" s="1">
        <v>523</v>
      </c>
      <c r="B141" s="1" t="s">
        <v>105</v>
      </c>
      <c r="C141" s="12">
        <v>4629</v>
      </c>
      <c r="D141" s="7">
        <v>79.5</v>
      </c>
      <c r="E141" s="7">
        <v>45.9</v>
      </c>
      <c r="F141" s="7">
        <v>26.1</v>
      </c>
      <c r="G141" s="7">
        <v>9.6999999999999993</v>
      </c>
      <c r="H141" s="7">
        <v>13.6</v>
      </c>
      <c r="I141" s="7">
        <v>3.5</v>
      </c>
      <c r="J141" s="8">
        <f t="shared" si="7"/>
        <v>1.2000000000000028</v>
      </c>
    </row>
    <row r="142" spans="1:10" ht="15" customHeight="1">
      <c r="A142" s="1">
        <v>524</v>
      </c>
      <c r="B142" s="1" t="s">
        <v>106</v>
      </c>
      <c r="C142" s="12">
        <v>6262</v>
      </c>
      <c r="D142" s="7">
        <v>77.5</v>
      </c>
      <c r="E142" s="7">
        <v>60.8</v>
      </c>
      <c r="F142" s="7">
        <v>20.7</v>
      </c>
      <c r="G142" s="7">
        <v>7.9</v>
      </c>
      <c r="H142" s="8">
        <v>5.2</v>
      </c>
      <c r="I142" s="7">
        <v>3.9</v>
      </c>
      <c r="J142" s="8">
        <f t="shared" si="7"/>
        <v>1.4999999999999858</v>
      </c>
    </row>
    <row r="143" spans="1:10" ht="15" customHeight="1">
      <c r="A143" s="1">
        <v>525</v>
      </c>
      <c r="B143" s="1" t="s">
        <v>107</v>
      </c>
      <c r="C143" s="12">
        <v>7007</v>
      </c>
      <c r="D143" s="7">
        <v>77</v>
      </c>
      <c r="E143" s="7">
        <v>57.6</v>
      </c>
      <c r="F143" s="7">
        <v>23.1</v>
      </c>
      <c r="G143" s="7">
        <v>8.6</v>
      </c>
      <c r="H143" s="8">
        <v>5.8</v>
      </c>
      <c r="I143" s="7">
        <v>3.9</v>
      </c>
      <c r="J143" s="7">
        <f t="shared" si="7"/>
        <v>1</v>
      </c>
    </row>
    <row r="144" spans="1:10" ht="15" customHeight="1">
      <c r="B144" s="2" t="s">
        <v>108</v>
      </c>
      <c r="C144" s="12">
        <v>26979</v>
      </c>
      <c r="D144" s="7">
        <v>77.5</v>
      </c>
      <c r="E144" s="7">
        <v>54.3</v>
      </c>
      <c r="F144" s="7">
        <v>23.9</v>
      </c>
      <c r="G144" s="7">
        <v>8.8000000000000007</v>
      </c>
      <c r="H144" s="7">
        <v>7.8</v>
      </c>
      <c r="I144" s="7">
        <v>3.7</v>
      </c>
      <c r="J144" s="8">
        <f t="shared" si="7"/>
        <v>1.5000000000000142</v>
      </c>
    </row>
    <row r="145" spans="1:10" ht="15" customHeight="1">
      <c r="C145" s="12" t="s">
        <v>5</v>
      </c>
      <c r="D145" s="7"/>
      <c r="E145" s="7"/>
      <c r="F145" s="7"/>
      <c r="G145" s="7"/>
      <c r="H145" s="7"/>
      <c r="I145" s="7"/>
      <c r="J145" s="8"/>
    </row>
    <row r="146" spans="1:10" ht="15" customHeight="1">
      <c r="A146" s="1">
        <v>531</v>
      </c>
      <c r="B146" s="1" t="s">
        <v>109</v>
      </c>
      <c r="C146" s="12">
        <v>7212</v>
      </c>
      <c r="D146" s="7">
        <v>75</v>
      </c>
      <c r="E146" s="7">
        <v>51.5</v>
      </c>
      <c r="F146" s="7">
        <v>28.3</v>
      </c>
      <c r="G146" s="7">
        <v>6.8</v>
      </c>
      <c r="H146" s="8">
        <v>7.9</v>
      </c>
      <c r="I146" s="7">
        <v>3.6</v>
      </c>
      <c r="J146" s="8">
        <f t="shared" ref="J146:J151" si="8">(($E146+$F146+$G146+$H146+$I146)-100)*(-1)</f>
        <v>1.9000000000000057</v>
      </c>
    </row>
    <row r="147" spans="1:10" ht="15" customHeight="1">
      <c r="A147" s="1">
        <v>532</v>
      </c>
      <c r="B147" s="1" t="s">
        <v>110</v>
      </c>
      <c r="C147" s="12">
        <v>3816</v>
      </c>
      <c r="D147" s="7">
        <v>77.599999999999994</v>
      </c>
      <c r="E147" s="7">
        <v>53.8</v>
      </c>
      <c r="F147" s="7">
        <v>25.1</v>
      </c>
      <c r="G147" s="7">
        <v>7.9</v>
      </c>
      <c r="H147" s="8">
        <v>7.6</v>
      </c>
      <c r="I147" s="7">
        <v>3.8</v>
      </c>
      <c r="J147" s="8">
        <f t="shared" si="8"/>
        <v>1.7999999999999972</v>
      </c>
    </row>
    <row r="148" spans="1:10" ht="15" customHeight="1">
      <c r="A148" s="1">
        <v>533</v>
      </c>
      <c r="B148" s="1" t="s">
        <v>111</v>
      </c>
      <c r="C148" s="12">
        <v>9877</v>
      </c>
      <c r="D148" s="7">
        <v>73.3</v>
      </c>
      <c r="E148" s="7">
        <v>63.5</v>
      </c>
      <c r="F148" s="7">
        <v>20.6</v>
      </c>
      <c r="G148" s="7">
        <v>6.6</v>
      </c>
      <c r="H148" s="7">
        <v>4</v>
      </c>
      <c r="I148" s="7">
        <v>3.5</v>
      </c>
      <c r="J148" s="8">
        <f t="shared" si="8"/>
        <v>1.8000000000000114</v>
      </c>
    </row>
    <row r="149" spans="1:10" ht="15" customHeight="1">
      <c r="A149" s="1">
        <v>534</v>
      </c>
      <c r="B149" s="1" t="s">
        <v>112</v>
      </c>
      <c r="C149" s="12">
        <v>2728</v>
      </c>
      <c r="D149" s="7">
        <v>77.099999999999994</v>
      </c>
      <c r="E149" s="7">
        <v>55.5</v>
      </c>
      <c r="F149" s="7">
        <v>25.2</v>
      </c>
      <c r="G149" s="7">
        <v>6.6</v>
      </c>
      <c r="H149" s="8">
        <v>7.5</v>
      </c>
      <c r="I149" s="7">
        <v>3.6</v>
      </c>
      <c r="J149" s="7">
        <f t="shared" si="8"/>
        <v>1.6000000000000085</v>
      </c>
    </row>
    <row r="150" spans="1:10" ht="15" customHeight="1">
      <c r="A150" s="1">
        <v>535</v>
      </c>
      <c r="B150" s="1" t="s">
        <v>113</v>
      </c>
      <c r="C150" s="12">
        <v>1620</v>
      </c>
      <c r="D150" s="7">
        <v>78.599999999999994</v>
      </c>
      <c r="E150" s="7">
        <v>53.7</v>
      </c>
      <c r="F150" s="7">
        <v>27.7</v>
      </c>
      <c r="G150" s="7">
        <v>8.5</v>
      </c>
      <c r="H150" s="7">
        <v>6.6</v>
      </c>
      <c r="I150" s="7">
        <v>2.8</v>
      </c>
      <c r="J150" s="8">
        <f t="shared" si="8"/>
        <v>0.70000000000000284</v>
      </c>
    </row>
    <row r="151" spans="1:10" ht="15" customHeight="1">
      <c r="B151" s="2" t="s">
        <v>114</v>
      </c>
      <c r="C151" s="12">
        <v>25253</v>
      </c>
      <c r="D151" s="7">
        <v>75.2</v>
      </c>
      <c r="E151" s="7">
        <v>57</v>
      </c>
      <c r="F151" s="7">
        <v>24.5</v>
      </c>
      <c r="G151" s="7">
        <v>7</v>
      </c>
      <c r="H151" s="8">
        <v>6.2</v>
      </c>
      <c r="I151" s="7">
        <v>3.6</v>
      </c>
      <c r="J151" s="8">
        <f t="shared" si="8"/>
        <v>1.7000000000000028</v>
      </c>
    </row>
    <row r="152" spans="1:10" ht="15" customHeight="1">
      <c r="C152" s="12" t="s">
        <v>5</v>
      </c>
      <c r="D152" s="7"/>
      <c r="E152" s="7"/>
      <c r="F152" s="7"/>
      <c r="G152" s="7"/>
      <c r="H152" s="7"/>
      <c r="I152" s="7"/>
      <c r="J152" s="8"/>
    </row>
    <row r="153" spans="1:10" ht="15" customHeight="1">
      <c r="B153" s="2" t="s">
        <v>115</v>
      </c>
      <c r="C153" s="12">
        <v>78482</v>
      </c>
      <c r="D153" s="7">
        <v>76.599999999999994</v>
      </c>
      <c r="E153" s="7">
        <v>54</v>
      </c>
      <c r="F153" s="7">
        <v>24.4</v>
      </c>
      <c r="G153" s="7">
        <v>8.1999999999999993</v>
      </c>
      <c r="H153" s="7">
        <v>8.4</v>
      </c>
      <c r="I153" s="7">
        <v>3.4</v>
      </c>
      <c r="J153" s="8">
        <f>(($E153+$F153+$G153+$H153+$I153)-100)*(-1)</f>
        <v>1.5999999999999801</v>
      </c>
    </row>
    <row r="154" spans="1:10" ht="15" customHeight="1">
      <c r="C154" s="12" t="s">
        <v>5</v>
      </c>
      <c r="D154" s="7"/>
      <c r="E154" s="7"/>
      <c r="F154" s="7"/>
      <c r="G154" s="7"/>
      <c r="H154" s="7"/>
      <c r="I154" s="7"/>
      <c r="J154" s="8"/>
    </row>
    <row r="155" spans="1:10" ht="15" customHeight="1">
      <c r="B155" s="2" t="s">
        <v>116</v>
      </c>
      <c r="C155" s="12">
        <v>421273</v>
      </c>
      <c r="D155" s="7">
        <v>76.7</v>
      </c>
      <c r="E155" s="7">
        <v>51</v>
      </c>
      <c r="F155" s="7">
        <v>23.3</v>
      </c>
      <c r="G155" s="7">
        <v>10.3</v>
      </c>
      <c r="H155" s="7">
        <v>10.199999999999999</v>
      </c>
      <c r="I155" s="7">
        <v>3</v>
      </c>
      <c r="J155" s="8">
        <f>(($E155+$F155+$G155+$H155+$I155)-100)*(-1)</f>
        <v>2.2000000000000028</v>
      </c>
    </row>
    <row r="156" spans="1:10" ht="15" customHeight="1">
      <c r="B156" s="1" t="s">
        <v>117</v>
      </c>
      <c r="C156" s="12"/>
      <c r="D156" s="7"/>
      <c r="E156" s="7"/>
      <c r="F156" s="7"/>
      <c r="G156" s="7"/>
      <c r="H156" s="7"/>
      <c r="I156" s="7"/>
      <c r="J156" s="8"/>
    </row>
    <row r="157" spans="1:10" ht="15" customHeight="1">
      <c r="B157" s="1" t="s">
        <v>118</v>
      </c>
      <c r="C157" s="12">
        <v>58091</v>
      </c>
      <c r="D157" s="7">
        <v>92.5</v>
      </c>
      <c r="E157" s="7">
        <v>41.2</v>
      </c>
      <c r="F157" s="7">
        <v>28.9</v>
      </c>
      <c r="G157" s="7">
        <v>11.2</v>
      </c>
      <c r="H157" s="7">
        <v>12.8</v>
      </c>
      <c r="I157" s="8">
        <v>3.3</v>
      </c>
      <c r="J157" s="8">
        <f>(($E157+$F157+$G157+$H157+$I157)-100)*(-1)</f>
        <v>2.6000000000000085</v>
      </c>
    </row>
    <row r="158" spans="1:10" ht="15" customHeight="1">
      <c r="C158" s="12"/>
      <c r="D158" s="7"/>
      <c r="E158" s="7"/>
      <c r="F158" s="7"/>
      <c r="G158" s="7"/>
      <c r="H158" s="7"/>
      <c r="I158" s="7"/>
      <c r="J158" s="8"/>
    </row>
    <row r="159" spans="1:10" ht="15" customHeight="1">
      <c r="B159" s="2" t="s">
        <v>119</v>
      </c>
      <c r="C159" s="12">
        <v>97795</v>
      </c>
      <c r="D159" s="7">
        <v>70.900000000000006</v>
      </c>
      <c r="E159" s="7">
        <v>48.2</v>
      </c>
      <c r="F159" s="7">
        <v>24.2</v>
      </c>
      <c r="G159" s="7">
        <v>10</v>
      </c>
      <c r="H159" s="7">
        <v>9.1999999999999993</v>
      </c>
      <c r="I159" s="7">
        <v>5.4</v>
      </c>
      <c r="J159" s="7">
        <f>(($E159+$F159+$G159+$H159+$I159)-100)*(-1)</f>
        <v>2.9999999999999858</v>
      </c>
    </row>
    <row r="160" spans="1:10" ht="15" customHeight="1">
      <c r="C160" s="12"/>
      <c r="D160" s="7"/>
      <c r="E160" s="7"/>
      <c r="F160" s="7"/>
      <c r="G160" s="7"/>
      <c r="H160" s="7"/>
      <c r="I160" s="7"/>
      <c r="J160" s="8"/>
    </row>
    <row r="161" spans="1:10" ht="15" customHeight="1">
      <c r="B161" s="13" t="s">
        <v>120</v>
      </c>
      <c r="C161" s="12">
        <v>519068</v>
      </c>
      <c r="D161" s="7">
        <v>75.599999999999994</v>
      </c>
      <c r="E161" s="7">
        <v>50.5</v>
      </c>
      <c r="F161" s="7">
        <v>23.4</v>
      </c>
      <c r="G161" s="7">
        <v>10.199999999999999</v>
      </c>
      <c r="H161" s="7">
        <v>10</v>
      </c>
      <c r="I161" s="7">
        <v>3.4</v>
      </c>
      <c r="J161" s="7">
        <f>(($E161+$F161+$G161+$H161+$I161)-100)*(-1)</f>
        <v>2.4999999999999858</v>
      </c>
    </row>
    <row r="162" spans="1:10" ht="15" customHeight="1">
      <c r="C162" t="s">
        <v>5</v>
      </c>
    </row>
    <row r="163" spans="1:10" ht="15" customHeight="1">
      <c r="A163" s="5" t="s">
        <v>121</v>
      </c>
      <c r="B163" s="5"/>
    </row>
    <row r="164" spans="1:10" ht="15" customHeight="1">
      <c r="A164" s="3" t="s">
        <v>122</v>
      </c>
    </row>
    <row r="165" spans="1:10" ht="15" customHeight="1">
      <c r="A165" s="1" t="s">
        <v>123</v>
      </c>
    </row>
    <row r="166" spans="1:10" ht="15" customHeight="1">
      <c r="A166" s="3" t="s">
        <v>124</v>
      </c>
    </row>
    <row r="167" spans="1:10" ht="15" customHeight="1">
      <c r="A167" s="3" t="s">
        <v>125</v>
      </c>
    </row>
    <row r="168" spans="1:10" ht="15" customHeight="1">
      <c r="A168" s="1" t="s">
        <v>126</v>
      </c>
    </row>
    <row r="169" spans="1:10" ht="15" customHeight="1"/>
    <row r="170" spans="1:10" ht="15" customHeight="1"/>
    <row r="171" spans="1:10" ht="15" customHeight="1"/>
    <row r="172" spans="1:10" ht="15" customHeight="1"/>
    <row r="173" spans="1:10" ht="15" customHeight="1"/>
    <row r="174" spans="1:10" ht="15" customHeight="1"/>
    <row r="175" spans="1:10" ht="15" customHeight="1"/>
    <row r="176" spans="1:10" ht="15" customHeight="1"/>
    <row r="177" ht="15" customHeight="1"/>
  </sheetData>
  <printOptions horizontalCentered="1"/>
  <pageMargins left="0.39370078740157483" right="0.31496062992125984" top="0.39370078740157483" bottom="0.62992125984251968" header="0.4921259845" footer="0.4921259845"/>
  <pageSetup paperSize="9" orientation="landscape" horizontalDpi="0" verticalDpi="0"/>
  <headerFooter alignWithMargins="0">
    <oddHeader xml:space="preserve">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2026-03-20T20:13:29Z</dcterms:created>
  <dcterms:modified xsi:type="dcterms:W3CDTF">2026-03-20T20:13:29Z</dcterms:modified>
</cp:coreProperties>
</file>