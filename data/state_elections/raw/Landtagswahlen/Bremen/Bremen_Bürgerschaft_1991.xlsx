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20FE1C1C-7CAC-2345-9B04-DB8DD0B56598}" xr6:coauthVersionLast="47" xr6:coauthVersionMax="47" xr10:uidLastSave="{00000000-0000-0000-0000-000000000000}"/>
  <bookViews>
    <workbookView xWindow="0" yWindow="660" windowWidth="30240" windowHeight="17560" xr2:uid="{F1257226-10D2-F149-9E01-831FAC641D5E}"/>
  </bookViews>
  <sheets>
    <sheet name="Bremen_Bürgerschaft_1991" sheetId="1" r:id="rId1"/>
  </sheets>
  <calcPr calcId="0" refMode="R1C1"/>
</workbook>
</file>

<file path=xl/calcChain.xml><?xml version="1.0" encoding="utf-8"?>
<calcChain xmlns="http://schemas.openxmlformats.org/spreadsheetml/2006/main">
  <c r="K16" i="1" l="1"/>
  <c r="K17" i="1"/>
  <c r="K18" i="1"/>
  <c r="K19" i="1"/>
  <c r="K24" i="1"/>
  <c r="K29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45" i="1"/>
  <c r="K47" i="1"/>
  <c r="K48" i="1"/>
  <c r="K49" i="1"/>
  <c r="K50" i="1"/>
  <c r="K51" i="1"/>
  <c r="K53" i="1"/>
  <c r="K54" i="1"/>
  <c r="K55" i="1"/>
  <c r="K57" i="1"/>
  <c r="K58" i="1"/>
  <c r="K60" i="1"/>
  <c r="K62" i="1"/>
  <c r="K63" i="1"/>
  <c r="K64" i="1"/>
  <c r="K65" i="1"/>
  <c r="K66" i="1"/>
  <c r="K68" i="1"/>
  <c r="K69" i="1"/>
  <c r="K70" i="1"/>
  <c r="K71" i="1"/>
  <c r="K72" i="1"/>
  <c r="K73" i="1"/>
  <c r="K74" i="1"/>
  <c r="K75" i="1"/>
  <c r="K77" i="1"/>
  <c r="K78" i="1"/>
  <c r="K79" i="1"/>
  <c r="K80" i="1"/>
  <c r="K81" i="1"/>
  <c r="K83" i="1"/>
  <c r="K84" i="1"/>
  <c r="K85" i="1"/>
  <c r="K86" i="1"/>
  <c r="K88" i="1"/>
  <c r="K89" i="1"/>
  <c r="K91" i="1"/>
  <c r="K92" i="1"/>
  <c r="K93" i="1"/>
  <c r="K94" i="1"/>
  <c r="K95" i="1"/>
  <c r="K96" i="1"/>
  <c r="K98" i="1"/>
  <c r="K99" i="1"/>
  <c r="K100" i="1"/>
  <c r="K101" i="1"/>
  <c r="K102" i="1"/>
  <c r="K103" i="1"/>
  <c r="K105" i="1"/>
  <c r="K107" i="1"/>
  <c r="K109" i="1"/>
  <c r="K110" i="1"/>
  <c r="K111" i="1"/>
  <c r="K112" i="1"/>
  <c r="K113" i="1"/>
  <c r="K115" i="1"/>
  <c r="K116" i="1"/>
  <c r="K117" i="1"/>
  <c r="K118" i="1"/>
  <c r="K119" i="1"/>
  <c r="K120" i="1"/>
  <c r="K121" i="1"/>
  <c r="K123" i="1"/>
  <c r="K124" i="1"/>
  <c r="K125" i="1"/>
  <c r="K126" i="1"/>
  <c r="K127" i="1"/>
  <c r="K128" i="1"/>
  <c r="K130" i="1"/>
  <c r="K132" i="1"/>
  <c r="K133" i="1"/>
  <c r="K134" i="1"/>
  <c r="K135" i="1"/>
  <c r="K136" i="1"/>
  <c r="K137" i="1"/>
  <c r="K139" i="1"/>
  <c r="K140" i="1"/>
  <c r="K141" i="1"/>
  <c r="K142" i="1"/>
  <c r="K143" i="1"/>
  <c r="K144" i="1"/>
  <c r="K146" i="1"/>
  <c r="K147" i="1"/>
  <c r="K148" i="1"/>
  <c r="K149" i="1"/>
  <c r="K150" i="1"/>
  <c r="K151" i="1"/>
  <c r="K153" i="1"/>
  <c r="K155" i="1"/>
  <c r="K157" i="1"/>
  <c r="K159" i="1"/>
  <c r="K161" i="1"/>
</calcChain>
</file>

<file path=xl/sharedStrings.xml><?xml version="1.0" encoding="utf-8"?>
<sst xmlns="http://schemas.openxmlformats.org/spreadsheetml/2006/main" count="192" uniqueCount="133">
  <si>
    <t>Tabelle 26</t>
  </si>
  <si>
    <t xml:space="preserve">Altstadt..........................................................................  </t>
  </si>
  <si>
    <t>2 629</t>
  </si>
  <si>
    <t xml:space="preserve">Bahnhofsvorstadt.....................................................................   </t>
  </si>
  <si>
    <t>3 785</t>
  </si>
  <si>
    <t xml:space="preserve">Ostertor...................................................................................  </t>
  </si>
  <si>
    <t xml:space="preserve">Stadtteil Mitte............................................................................ </t>
  </si>
  <si>
    <t xml:space="preserve"> </t>
  </si>
  <si>
    <t>Handelsh‰fen (Siehe bei Stadtteil 43 Walle)........................</t>
  </si>
  <si>
    <t xml:space="preserve"> -</t>
  </si>
  <si>
    <t>Industrieh‰fen (Siehe bei Stadtteil 44 Grˆpelingen)..................</t>
  </si>
  <si>
    <t>Stadtbremisches ‹berseehafengebiet Bremerhaven</t>
  </si>
  <si>
    <t>(ohne Briefwahl).................................................................</t>
  </si>
  <si>
    <t>Neust‰dter Hafen (Siehe bei Stadtteil 25 Wolt-</t>
  </si>
  <si>
    <t>mershausen).................................................................</t>
  </si>
  <si>
    <t>Hohentorshafen    (Siehe bei Stadteil 25 Wolt-</t>
  </si>
  <si>
    <t>mershausen)....................................................................</t>
  </si>
  <si>
    <t xml:space="preserve">Stadtbezik Mitte................................................................. </t>
  </si>
  <si>
    <t xml:space="preserve">Alte Neustadt............................................................................  </t>
  </si>
  <si>
    <t xml:space="preserve">Hohentor..........................................................................   </t>
  </si>
  <si>
    <t xml:space="preserve">Neustadt.............................................................................   </t>
  </si>
  <si>
    <t xml:space="preserve">S¸dervorstadt...................................................................... </t>
  </si>
  <si>
    <t xml:space="preserve">Gartenstadt S¸d................................................................... </t>
  </si>
  <si>
    <t xml:space="preserve">Buntentor....................................................................................   </t>
  </si>
  <si>
    <t>Neuenland...............................................................................</t>
  </si>
  <si>
    <t xml:space="preserve">Huckelriede........................................................................... </t>
  </si>
  <si>
    <t xml:space="preserve">Stadtteil Neustadt.................................................................... </t>
  </si>
  <si>
    <t xml:space="preserve">Habenhausen...........................................................................  </t>
  </si>
  <si>
    <t xml:space="preserve">Arsten.................................................................................. </t>
  </si>
  <si>
    <t xml:space="preserve">Kattenturm........................................................................... </t>
  </si>
  <si>
    <t xml:space="preserve">Kattenesch..........................................................................  </t>
  </si>
  <si>
    <t xml:space="preserve">Stadtteil Obervieland............................................................    </t>
  </si>
  <si>
    <t xml:space="preserve">Mittelshuchting.....................................................................  </t>
  </si>
  <si>
    <t xml:space="preserve">Sodenmatt............................................................................   </t>
  </si>
  <si>
    <t xml:space="preserve">Kirchhuchting............................................................................ </t>
  </si>
  <si>
    <t xml:space="preserve">Grolland..................................................................................... </t>
  </si>
  <si>
    <t xml:space="preserve">Stadtteil Huchting..................................................................     </t>
  </si>
  <si>
    <t xml:space="preserve">Woltmershausen....................................................................  </t>
  </si>
  <si>
    <t xml:space="preserve">Rablinghausen.......................................................................... </t>
  </si>
  <si>
    <t xml:space="preserve">Stadtteil Woltmershausen  (einschl. OT 124 u. 125).......... </t>
  </si>
  <si>
    <t xml:space="preserve">Seehausen............................................................................ </t>
  </si>
  <si>
    <t xml:space="preserve">Strom....................................................................................... </t>
  </si>
  <si>
    <t xml:space="preserve">Stadtbezirk S¸d  (einschl. OT 124 u. 125)...................................... </t>
  </si>
  <si>
    <t xml:space="preserve">Steintor....................................................................................  </t>
  </si>
  <si>
    <t xml:space="preserve">Fesenfeld..............................................................................  </t>
  </si>
  <si>
    <t xml:space="preserve">Peterswerder........................................................................... </t>
  </si>
  <si>
    <t xml:space="preserve">Hulsberg.............................................................................  </t>
  </si>
  <si>
    <t xml:space="preserve">Stadtteil ÷stl. Vorstadt.........................................................  </t>
  </si>
  <si>
    <t xml:space="preserve">Neu-Schwachhausen..........................................................  </t>
  </si>
  <si>
    <t xml:space="preserve">B¸rgerpark........................................................................... </t>
  </si>
  <si>
    <t xml:space="preserve">B¸rgerweide-Barkhof..........................................................  </t>
  </si>
  <si>
    <t xml:space="preserve">Riensberg..........................................................................    </t>
  </si>
  <si>
    <t xml:space="preserve">Radio Bremen.....................................................................  </t>
  </si>
  <si>
    <t xml:space="preserve">Schwachhausen....................................................................  </t>
  </si>
  <si>
    <t xml:space="preserve">Gete....................................................................................  </t>
  </si>
  <si>
    <t xml:space="preserve">Stadtteil Schwachhausen......................................................   </t>
  </si>
  <si>
    <t xml:space="preserve">Gartenstadt Vahr.................................................................  </t>
  </si>
  <si>
    <t xml:space="preserve">Neue Vahr Nord.....................................................................   </t>
  </si>
  <si>
    <t>Neue Vahr S¸dwest...................................................................</t>
  </si>
  <si>
    <t xml:space="preserve">Neue Vahr S¸dost..................................................................  </t>
  </si>
  <si>
    <t xml:space="preserve">Stadtteil Vahr..........................................................................  </t>
  </si>
  <si>
    <t xml:space="preserve">Horn...............................................................................................  </t>
  </si>
  <si>
    <t xml:space="preserve">Lehe......................................................................................  </t>
  </si>
  <si>
    <t xml:space="preserve">Lehesterdeich....................................................................... </t>
  </si>
  <si>
    <t xml:space="preserve">Stadtteil Horn-Lehe..............................................................    </t>
  </si>
  <si>
    <t xml:space="preserve">Borgfeld................................................................................... </t>
  </si>
  <si>
    <t xml:space="preserve">Oberneuland........................................................................... </t>
  </si>
  <si>
    <t xml:space="preserve">Ellener Feld.............................................................................  </t>
  </si>
  <si>
    <t xml:space="preserve">Ellenerbrok-Schevermoor....................................................... </t>
  </si>
  <si>
    <t xml:space="preserve">Tenever................................................................................... </t>
  </si>
  <si>
    <t xml:space="preserve">Osterholz................................................................................   </t>
  </si>
  <si>
    <t xml:space="preserve">Blockdiek..............................................................................  </t>
  </si>
  <si>
    <t xml:space="preserve">Stadtteil Osterholz...................................................................    </t>
  </si>
  <si>
    <t>Sebaldsbr¸ck...............................................................................</t>
  </si>
  <si>
    <t xml:space="preserve">Hastedt................................................................................  </t>
  </si>
  <si>
    <t xml:space="preserve">Hemelingen............................................................................... </t>
  </si>
  <si>
    <t xml:space="preserve">Arbergen................................................................................... </t>
  </si>
  <si>
    <t xml:space="preserve">Mahndorf.................................................................................. </t>
  </si>
  <si>
    <t xml:space="preserve">Stadtteil Hemelingen.................................................................   </t>
  </si>
  <si>
    <t xml:space="preserve">Stadtbezirk Ost..........................................................................  </t>
  </si>
  <si>
    <t xml:space="preserve">Blockland..................................................................................... </t>
  </si>
  <si>
    <t xml:space="preserve">Regensburger Straﬂe................................................................. </t>
  </si>
  <si>
    <t xml:space="preserve">Findorff...................................................................................... </t>
  </si>
  <si>
    <t xml:space="preserve">Weidedamm........................................................................  </t>
  </si>
  <si>
    <t xml:space="preserve">In den Hufen............................................................................ </t>
  </si>
  <si>
    <t xml:space="preserve">Stadtteil Findorff.....................................................................  </t>
  </si>
  <si>
    <t xml:space="preserve">Utbremen............................................................................. </t>
  </si>
  <si>
    <t xml:space="preserve">Steffensweg..........................................................................   </t>
  </si>
  <si>
    <t xml:space="preserve">Westend...................................................................................  </t>
  </si>
  <si>
    <t xml:space="preserve">Walle...................................................................................... </t>
  </si>
  <si>
    <t xml:space="preserve">Osterfeuerberg.......................................................................  </t>
  </si>
  <si>
    <t>Hohweg...................................................................................</t>
  </si>
  <si>
    <t xml:space="preserve">Stadtteil Walle.......................................................................  </t>
  </si>
  <si>
    <t xml:space="preserve">Lindenhof.................................................................................  </t>
  </si>
  <si>
    <t xml:space="preserve">Grˆpelingen........................................................................... </t>
  </si>
  <si>
    <t xml:space="preserve">Ohlenhof...............................................................................  </t>
  </si>
  <si>
    <t>In den Wischen (ohne Briefwahl)..............................................</t>
  </si>
  <si>
    <t>Oslebshausen (einschl. Briefwahl OT 122 u. 444)..............</t>
  </si>
  <si>
    <t xml:space="preserve">Stadtteil Grˆpelingen   (einschl. OT 122)............................. </t>
  </si>
  <si>
    <t>Stadtbezirk West   (einschl. OT 121 u. 122)........................</t>
  </si>
  <si>
    <t xml:space="preserve">Burg-Grambke (einschl. Briefwahl Ortsteil 512).................. </t>
  </si>
  <si>
    <t>Werderland (ohne Briefwahl).................................................</t>
  </si>
  <si>
    <t xml:space="preserve">Burgdamm............................................................................  </t>
  </si>
  <si>
    <t xml:space="preserve">Lesum.................................................................................. </t>
  </si>
  <si>
    <t xml:space="preserve">St. Magnus........................................................................  </t>
  </si>
  <si>
    <t xml:space="preserve">Stadtteil Burglesum..............................................................   </t>
  </si>
  <si>
    <t xml:space="preserve">Vegesack..............................................................................  </t>
  </si>
  <si>
    <t xml:space="preserve">Grohn.....................................................................................   </t>
  </si>
  <si>
    <t xml:space="preserve">Schˆnebeck.......................................................................... </t>
  </si>
  <si>
    <t xml:space="preserve">Aumund-Hammersbeck...............................................................  </t>
  </si>
  <si>
    <t>F‰hr- Lobbendorf...............................................................................</t>
  </si>
  <si>
    <t xml:space="preserve">Stadtteil Vegesack.................................................................    </t>
  </si>
  <si>
    <t xml:space="preserve">Blumenthal.................................................................................  </t>
  </si>
  <si>
    <t xml:space="preserve">Rˆnnebeck.............................................................................  </t>
  </si>
  <si>
    <t xml:space="preserve">L¸ssum-Bockhorn........................................................................  </t>
  </si>
  <si>
    <t xml:space="preserve">Farge........................................................................................ </t>
  </si>
  <si>
    <t xml:space="preserve">Rekum....................................................................................... </t>
  </si>
  <si>
    <t xml:space="preserve">Stadtteil Blumenthal..............................................................  </t>
  </si>
  <si>
    <t xml:space="preserve">Stadtbezirk Nord........................................................................ </t>
  </si>
  <si>
    <t xml:space="preserve">Stadt Bremen.....................................................................  </t>
  </si>
  <si>
    <t>darunter</t>
  </si>
  <si>
    <t xml:space="preserve">Briefwahl.................................................................................. </t>
  </si>
  <si>
    <t>7 155</t>
  </si>
  <si>
    <t>Bremerhaven.............................................................................</t>
  </si>
  <si>
    <t>98 249</t>
  </si>
  <si>
    <t>Land Bremen..................................................</t>
  </si>
  <si>
    <t>519 336</t>
  </si>
  <si>
    <t xml:space="preserve">1) Nach Neuordnung der stadtbremischen Verwaltungsbezirke vom 27.5.1977 (Brem. GBL. S.219). </t>
  </si>
  <si>
    <t>2) Einschl. Wahlscheininhaber.</t>
  </si>
  <si>
    <t>3) Die Grauen,  PBC.</t>
  </si>
  <si>
    <t>4) Stadtteile mit Ortsamtsverwaltung.</t>
  </si>
  <si>
    <t>5) Ortsteile mit Ortsamtsverwaltung, die keinem Stadtteil zugeordnet sind.</t>
  </si>
  <si>
    <t>Quelle: Amtliche Bekanntmachung vom 9.10.1991 (Brem. ABl. Nr. 81 vom 29.10.1991).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</si>
</sst>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#.0"/>
    <numFmt numFmtId="179" formatCode="0.#"/>
    <numFmt numFmtId="181" formatCode="###\ ###\ ###"/>
  </numFmts>
  <fonts count="4">
    <font>
      <sz val="8"/>
      <name val="Helv"/>
    </font>
    <font>
      <b/>
      <sz val="10"/>
      <name val="Helv"/>
    </font>
    <font>
      <sz val="8"/>
      <name val="Helv"/>
    </font>
    <font>
      <b/>
      <sz val="12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7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left"/>
    </xf>
    <xf numFmtId="0" fontId="3" fillId="0" borderId="0" xfId="0" applyFo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/>
    </xf>
    <xf numFmtId="181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8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/>
    <xf numFmtId="0" fontId="0" fillId="2" borderId="0" xfId="0" applyFill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11</xdr:col>
      <xdr:colOff>0</xdr:colOff>
      <xdr:row>5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DFCF869C-CA0C-5A06-DE8B-602459CFEA7D}"/>
            </a:ext>
          </a:extLst>
        </xdr:cNvPr>
        <xdr:cNvSpPr txBox="1">
          <a:spLocks noChangeArrowheads="1"/>
        </xdr:cNvSpPr>
      </xdr:nvSpPr>
      <xdr:spPr bwMode="auto">
        <a:xfrm>
          <a:off x="0" y="279400"/>
          <a:ext cx="75819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29.09.1991 nach Ortsteilen, Stadtteilen und Stadtbezirken (einschl. Briefwahl)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D7AEE842-1F5F-2582-804B-8EC150421573}"/>
            </a:ext>
          </a:extLst>
        </xdr:cNvPr>
        <xdr:cNvSpPr txBox="1">
          <a:spLocks noChangeArrowheads="1"/>
        </xdr:cNvSpPr>
      </xdr:nvSpPr>
      <xdr:spPr bwMode="auto">
        <a:xfrm>
          <a:off x="0" y="9779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82C3EF13-1B11-F3AE-2046-95A199BB5269}"/>
            </a:ext>
          </a:extLst>
        </xdr:cNvPr>
        <xdr:cNvSpPr txBox="1">
          <a:spLocks noChangeArrowheads="1"/>
        </xdr:cNvSpPr>
      </xdr:nvSpPr>
      <xdr:spPr bwMode="auto">
        <a:xfrm>
          <a:off x="2374900" y="9779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596900</xdr:colOff>
      <xdr:row>8</xdr:row>
      <xdr:rowOff>63500</xdr:rowOff>
    </xdr:from>
    <xdr:ext cx="139700" cy="1270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0896B779-FAD3-0546-6B84-E5528FD6F7FA}"/>
            </a:ext>
          </a:extLst>
        </xdr:cNvPr>
        <xdr:cNvSpPr txBox="1">
          <a:spLocks noChangeArrowheads="1"/>
        </xdr:cNvSpPr>
      </xdr:nvSpPr>
      <xdr:spPr bwMode="auto">
        <a:xfrm>
          <a:off x="2971800" y="13462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twoCellAnchor>
    <xdr:from>
      <xdr:col>3</xdr:col>
      <xdr:colOff>0</xdr:colOff>
      <xdr:row>6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7F17B4ED-CA60-2F9D-321F-CDEA41B09C7B}"/>
            </a:ext>
          </a:extLst>
        </xdr:cNvPr>
        <xdr:cNvSpPr txBox="1">
          <a:spLocks noChangeArrowheads="1"/>
        </xdr:cNvSpPr>
      </xdr:nvSpPr>
      <xdr:spPr bwMode="auto">
        <a:xfrm>
          <a:off x="3136900" y="9779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10</xdr:col>
      <xdr:colOff>520700</xdr:colOff>
      <xdr:row>8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7C2B6DDB-49B3-EC9A-727C-5EE829C89EA6}"/>
            </a:ext>
          </a:extLst>
        </xdr:cNvPr>
        <xdr:cNvSpPr txBox="1">
          <a:spLocks noChangeArrowheads="1"/>
        </xdr:cNvSpPr>
      </xdr:nvSpPr>
      <xdr:spPr bwMode="auto">
        <a:xfrm>
          <a:off x="3695700" y="977900"/>
          <a:ext cx="38735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10</xdr:col>
      <xdr:colOff>520700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18CF0363-2FA7-06D9-E3D5-682717908B62}"/>
            </a:ext>
          </a:extLst>
        </xdr:cNvPr>
        <xdr:cNvSpPr txBox="1">
          <a:spLocks noChangeArrowheads="1"/>
        </xdr:cNvSpPr>
      </xdr:nvSpPr>
      <xdr:spPr bwMode="auto">
        <a:xfrm>
          <a:off x="3136900" y="1892300"/>
          <a:ext cx="4432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0E319F1B-808E-09E0-15EB-9ED2CA19FB9B}"/>
            </a:ext>
          </a:extLst>
        </xdr:cNvPr>
        <xdr:cNvSpPr txBox="1">
          <a:spLocks noChangeArrowheads="1"/>
        </xdr:cNvSpPr>
      </xdr:nvSpPr>
      <xdr:spPr bwMode="auto">
        <a:xfrm>
          <a:off x="36957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D8A15E67-62A6-C387-62FB-E74AE2694442}"/>
            </a:ext>
          </a:extLst>
        </xdr:cNvPr>
        <xdr:cNvSpPr txBox="1">
          <a:spLocks noChangeArrowheads="1"/>
        </xdr:cNvSpPr>
      </xdr:nvSpPr>
      <xdr:spPr bwMode="auto">
        <a:xfrm>
          <a:off x="42545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65F5ECE9-279B-272F-F7FD-40024F2E0860}"/>
            </a:ext>
          </a:extLst>
        </xdr:cNvPr>
        <xdr:cNvSpPr txBox="1">
          <a:spLocks noChangeArrowheads="1"/>
        </xdr:cNvSpPr>
      </xdr:nvSpPr>
      <xdr:spPr bwMode="auto">
        <a:xfrm>
          <a:off x="48133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Die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GR‹NEN</a:t>
          </a: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C35699B9-73A2-2105-A84C-2C000EACBE5D}"/>
            </a:ext>
          </a:extLst>
        </xdr:cNvPr>
        <xdr:cNvSpPr txBox="1">
          <a:spLocks noChangeArrowheads="1"/>
        </xdr:cNvSpPr>
      </xdr:nvSpPr>
      <xdr:spPr bwMode="auto">
        <a:xfrm>
          <a:off x="53721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7</xdr:col>
      <xdr:colOff>546100</xdr:colOff>
      <xdr:row>8</xdr:row>
      <xdr:rowOff>0</xdr:rowOff>
    </xdr:from>
    <xdr:to>
      <xdr:col>8</xdr:col>
      <xdr:colOff>546100</xdr:colOff>
      <xdr:row>12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A2490C5D-9383-AD41-5FDB-8E0A911672D4}"/>
            </a:ext>
          </a:extLst>
        </xdr:cNvPr>
        <xdr:cNvSpPr txBox="1">
          <a:spLocks noChangeArrowheads="1"/>
        </xdr:cNvSpPr>
      </xdr:nvSpPr>
      <xdr:spPr bwMode="auto">
        <a:xfrm>
          <a:off x="59182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DVU</a:t>
          </a:r>
        </a:p>
      </xdr:txBody>
    </xdr:sp>
    <xdr:clientData/>
  </xdr:twoCellAnchor>
  <xdr:oneCellAnchor>
    <xdr:from>
      <xdr:col>1</xdr:col>
      <xdr:colOff>863600</xdr:colOff>
      <xdr:row>44</xdr:row>
      <xdr:rowOff>12700</xdr:rowOff>
    </xdr:from>
    <xdr:ext cx="139700" cy="1270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F2B5F1C2-60FD-F766-4127-0C3E9F7905CB}"/>
            </a:ext>
          </a:extLst>
        </xdr:cNvPr>
        <xdr:cNvSpPr txBox="1">
          <a:spLocks noChangeArrowheads="1"/>
        </xdr:cNvSpPr>
      </xdr:nvSpPr>
      <xdr:spPr bwMode="auto">
        <a:xfrm>
          <a:off x="1092200" y="7886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49</xdr:row>
      <xdr:rowOff>152400</xdr:rowOff>
    </xdr:from>
    <xdr:ext cx="139700" cy="1397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61E68316-ECB0-4D61-7C38-7E0C0F96F6D7}"/>
            </a:ext>
          </a:extLst>
        </xdr:cNvPr>
        <xdr:cNvSpPr txBox="1">
          <a:spLocks noChangeArrowheads="1"/>
        </xdr:cNvSpPr>
      </xdr:nvSpPr>
      <xdr:spPr bwMode="auto">
        <a:xfrm>
          <a:off x="977900" y="89789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495300</xdr:colOff>
      <xdr:row>56</xdr:row>
      <xdr:rowOff>12700</xdr:rowOff>
    </xdr:from>
    <xdr:ext cx="139700" cy="1270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D67A3BED-B685-099C-27B1-CDA14512A15C}"/>
            </a:ext>
          </a:extLst>
        </xdr:cNvPr>
        <xdr:cNvSpPr txBox="1">
          <a:spLocks noChangeArrowheads="1"/>
        </xdr:cNvSpPr>
      </xdr:nvSpPr>
      <xdr:spPr bwMode="auto">
        <a:xfrm>
          <a:off x="723900" y="10172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292100</xdr:colOff>
      <xdr:row>57</xdr:row>
      <xdr:rowOff>12700</xdr:rowOff>
    </xdr:from>
    <xdr:ext cx="139700" cy="127000"/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D8639690-A8AA-CE4B-3B0B-7B619BA435EB}"/>
            </a:ext>
          </a:extLst>
        </xdr:cNvPr>
        <xdr:cNvSpPr txBox="1">
          <a:spLocks noChangeArrowheads="1"/>
        </xdr:cNvSpPr>
      </xdr:nvSpPr>
      <xdr:spPr bwMode="auto">
        <a:xfrm>
          <a:off x="520700" y="10363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8</xdr:col>
      <xdr:colOff>190500</xdr:colOff>
      <xdr:row>2</xdr:row>
      <xdr:rowOff>139700</xdr:rowOff>
    </xdr:from>
    <xdr:ext cx="127000" cy="127000"/>
    <xdr:sp macro="" textlink="">
      <xdr:nvSpPr>
        <xdr:cNvPr id="1152" name="Text 128">
          <a:extLst>
            <a:ext uri="{FF2B5EF4-FFF2-40B4-BE49-F238E27FC236}">
              <a16:creationId xmlns:a16="http://schemas.microsoft.com/office/drawing/2014/main" id="{BD0EB980-4444-07F8-ADEC-F9C2C17D66E7}"/>
            </a:ext>
          </a:extLst>
        </xdr:cNvPr>
        <xdr:cNvSpPr txBox="1">
          <a:spLocks noChangeArrowheads="1"/>
        </xdr:cNvSpPr>
      </xdr:nvSpPr>
      <xdr:spPr bwMode="auto">
        <a:xfrm>
          <a:off x="6121400" y="508000"/>
          <a:ext cx="1270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oneCellAnchor>
    <xdr:from>
      <xdr:col>1</xdr:col>
      <xdr:colOff>800100</xdr:colOff>
      <xdr:row>85</xdr:row>
      <xdr:rowOff>0</xdr:rowOff>
    </xdr:from>
    <xdr:ext cx="139700" cy="127000"/>
    <xdr:sp macro="" textlink="">
      <xdr:nvSpPr>
        <xdr:cNvPr id="1155" name="Text 131">
          <a:extLst>
            <a:ext uri="{FF2B5EF4-FFF2-40B4-BE49-F238E27FC236}">
              <a16:creationId xmlns:a16="http://schemas.microsoft.com/office/drawing/2014/main" id="{41B91F72-7404-0176-804E-167E4F27F4AE}"/>
            </a:ext>
          </a:extLst>
        </xdr:cNvPr>
        <xdr:cNvSpPr txBox="1">
          <a:spLocks noChangeArrowheads="1"/>
        </xdr:cNvSpPr>
      </xdr:nvSpPr>
      <xdr:spPr bwMode="auto">
        <a:xfrm>
          <a:off x="1028700" y="15684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94</xdr:row>
      <xdr:rowOff>177800</xdr:rowOff>
    </xdr:from>
    <xdr:ext cx="139700" cy="139700"/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DE69D5EB-65F4-3629-684F-E7CA607E0B91}"/>
            </a:ext>
          </a:extLst>
        </xdr:cNvPr>
        <xdr:cNvSpPr txBox="1">
          <a:spLocks noChangeArrowheads="1"/>
        </xdr:cNvSpPr>
      </xdr:nvSpPr>
      <xdr:spPr bwMode="auto">
        <a:xfrm>
          <a:off x="977900" y="175768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102</xdr:row>
      <xdr:rowOff>0</xdr:rowOff>
    </xdr:from>
    <xdr:ext cx="139700" cy="1270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1E08BAB6-EDA8-9A26-AC70-ED2B555E549B}"/>
            </a:ext>
          </a:extLst>
        </xdr:cNvPr>
        <xdr:cNvSpPr txBox="1">
          <a:spLocks noChangeArrowheads="1"/>
        </xdr:cNvSpPr>
      </xdr:nvSpPr>
      <xdr:spPr bwMode="auto">
        <a:xfrm>
          <a:off x="1092200" y="18923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136</xdr:row>
      <xdr:rowOff>0</xdr:rowOff>
    </xdr:from>
    <xdr:ext cx="139700" cy="127000"/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B333CE0E-F654-8C82-5FCA-C5BF5199ACB3}"/>
            </a:ext>
          </a:extLst>
        </xdr:cNvPr>
        <xdr:cNvSpPr txBox="1">
          <a:spLocks noChangeArrowheads="1"/>
        </xdr:cNvSpPr>
      </xdr:nvSpPr>
      <xdr:spPr bwMode="auto">
        <a:xfrm>
          <a:off x="1092200" y="25400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143</xdr:row>
      <xdr:rowOff>0</xdr:rowOff>
    </xdr:from>
    <xdr:ext cx="139700" cy="127000"/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0EEC341F-7D9C-7FD2-ABAD-C53823BC9D8D}"/>
            </a:ext>
          </a:extLst>
        </xdr:cNvPr>
        <xdr:cNvSpPr txBox="1">
          <a:spLocks noChangeArrowheads="1"/>
        </xdr:cNvSpPr>
      </xdr:nvSpPr>
      <xdr:spPr bwMode="auto">
        <a:xfrm>
          <a:off x="1092200" y="26733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863600</xdr:colOff>
      <xdr:row>150</xdr:row>
      <xdr:rowOff>0</xdr:rowOff>
    </xdr:from>
    <xdr:ext cx="139700" cy="127000"/>
    <xdr:sp macro="" textlink="">
      <xdr:nvSpPr>
        <xdr:cNvPr id="1160" name="Text 136">
          <a:extLst>
            <a:ext uri="{FF2B5EF4-FFF2-40B4-BE49-F238E27FC236}">
              <a16:creationId xmlns:a16="http://schemas.microsoft.com/office/drawing/2014/main" id="{4284C78C-4ECA-DAFE-A78D-B30F551D5914}"/>
            </a:ext>
          </a:extLst>
        </xdr:cNvPr>
        <xdr:cNvSpPr txBox="1">
          <a:spLocks noChangeArrowheads="1"/>
        </xdr:cNvSpPr>
      </xdr:nvSpPr>
      <xdr:spPr bwMode="auto">
        <a:xfrm>
          <a:off x="1092200" y="28067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381000</xdr:colOff>
      <xdr:row>87</xdr:row>
      <xdr:rowOff>0</xdr:rowOff>
    </xdr:from>
    <xdr:ext cx="139700" cy="127000"/>
    <xdr:sp macro="" textlink="">
      <xdr:nvSpPr>
        <xdr:cNvPr id="1161" name="Text 137">
          <a:extLst>
            <a:ext uri="{FF2B5EF4-FFF2-40B4-BE49-F238E27FC236}">
              <a16:creationId xmlns:a16="http://schemas.microsoft.com/office/drawing/2014/main" id="{A7B8DE6F-AF9F-86C6-16CE-07F9799579D2}"/>
            </a:ext>
          </a:extLst>
        </xdr:cNvPr>
        <xdr:cNvSpPr txBox="1">
          <a:spLocks noChangeArrowheads="1"/>
        </xdr:cNvSpPr>
      </xdr:nvSpPr>
      <xdr:spPr bwMode="auto">
        <a:xfrm>
          <a:off x="609600" y="16065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571500</xdr:colOff>
      <xdr:row>88</xdr:row>
      <xdr:rowOff>12700</xdr:rowOff>
    </xdr:from>
    <xdr:ext cx="139700" cy="127000"/>
    <xdr:sp macro="" textlink="">
      <xdr:nvSpPr>
        <xdr:cNvPr id="1162" name="Text 138">
          <a:extLst>
            <a:ext uri="{FF2B5EF4-FFF2-40B4-BE49-F238E27FC236}">
              <a16:creationId xmlns:a16="http://schemas.microsoft.com/office/drawing/2014/main" id="{7D07F4A5-D5D0-C01F-6EC9-09F2D49D8191}"/>
            </a:ext>
          </a:extLst>
        </xdr:cNvPr>
        <xdr:cNvSpPr txBox="1">
          <a:spLocks noChangeArrowheads="1"/>
        </xdr:cNvSpPr>
      </xdr:nvSpPr>
      <xdr:spPr bwMode="auto">
        <a:xfrm>
          <a:off x="800100" y="16268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444500</xdr:colOff>
      <xdr:row>106</xdr:row>
      <xdr:rowOff>12700</xdr:rowOff>
    </xdr:from>
    <xdr:ext cx="139700" cy="127000"/>
    <xdr:sp macro="" textlink="">
      <xdr:nvSpPr>
        <xdr:cNvPr id="1163" name="Text 139">
          <a:extLst>
            <a:ext uri="{FF2B5EF4-FFF2-40B4-BE49-F238E27FC236}">
              <a16:creationId xmlns:a16="http://schemas.microsoft.com/office/drawing/2014/main" id="{59AD1201-66EA-C05E-3E53-A23534BFF0C1}"/>
            </a:ext>
          </a:extLst>
        </xdr:cNvPr>
        <xdr:cNvSpPr txBox="1">
          <a:spLocks noChangeArrowheads="1"/>
        </xdr:cNvSpPr>
      </xdr:nvSpPr>
      <xdr:spPr bwMode="auto">
        <a:xfrm>
          <a:off x="673100" y="19697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twoCellAnchor>
    <xdr:from>
      <xdr:col>9</xdr:col>
      <xdr:colOff>520700</xdr:colOff>
      <xdr:row>8</xdr:row>
      <xdr:rowOff>0</xdr:rowOff>
    </xdr:from>
    <xdr:to>
      <xdr:col>10</xdr:col>
      <xdr:colOff>520700</xdr:colOff>
      <xdr:row>12</xdr:row>
      <xdr:rowOff>0</xdr:rowOff>
    </xdr:to>
    <xdr:sp macro="" textlink="">
      <xdr:nvSpPr>
        <xdr:cNvPr id="1165" name="Text 141">
          <a:extLst>
            <a:ext uri="{FF2B5EF4-FFF2-40B4-BE49-F238E27FC236}">
              <a16:creationId xmlns:a16="http://schemas.microsoft.com/office/drawing/2014/main" id="{23E44C09-086F-9A75-D0C6-D6B4782B44B9}"/>
            </a:ext>
          </a:extLst>
        </xdr:cNvPr>
        <xdr:cNvSpPr txBox="1">
          <a:spLocks noChangeArrowheads="1"/>
        </xdr:cNvSpPr>
      </xdr:nvSpPr>
      <xdr:spPr bwMode="auto">
        <a:xfrm>
          <a:off x="70104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oneCellAnchor>
    <xdr:from>
      <xdr:col>10</xdr:col>
      <xdr:colOff>342900</xdr:colOff>
      <xdr:row>8</xdr:row>
      <xdr:rowOff>63500</xdr:rowOff>
    </xdr:from>
    <xdr:ext cx="152400" cy="127000"/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09D61F17-B398-777F-3770-40703C9D7DFC}"/>
            </a:ext>
          </a:extLst>
        </xdr:cNvPr>
        <xdr:cNvSpPr txBox="1">
          <a:spLocks noChangeArrowheads="1"/>
        </xdr:cNvSpPr>
      </xdr:nvSpPr>
      <xdr:spPr bwMode="auto">
        <a:xfrm>
          <a:off x="7391400" y="1346200"/>
          <a:ext cx="1524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twoCellAnchor>
    <xdr:from>
      <xdr:col>8</xdr:col>
      <xdr:colOff>546100</xdr:colOff>
      <xdr:row>8</xdr:row>
      <xdr:rowOff>0</xdr:rowOff>
    </xdr:from>
    <xdr:to>
      <xdr:col>9</xdr:col>
      <xdr:colOff>546100</xdr:colOff>
      <xdr:row>12</xdr:row>
      <xdr:rowOff>0</xdr:rowOff>
    </xdr:to>
    <xdr:sp macro="" textlink="">
      <xdr:nvSpPr>
        <xdr:cNvPr id="1166" name="Text 142">
          <a:extLst>
            <a:ext uri="{FF2B5EF4-FFF2-40B4-BE49-F238E27FC236}">
              <a16:creationId xmlns:a16="http://schemas.microsoft.com/office/drawing/2014/main" id="{7B0D0AD5-EEFF-1973-0C7C-DA67525CAD6D}"/>
            </a:ext>
          </a:extLst>
        </xdr:cNvPr>
        <xdr:cNvSpPr txBox="1">
          <a:spLocks noChangeArrowheads="1"/>
        </xdr:cNvSpPr>
      </xdr:nvSpPr>
      <xdr:spPr bwMode="auto">
        <a:xfrm>
          <a:off x="64770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3B8C-963F-504F-A809-A72FA36B0829}">
  <dimension ref="A1:K177"/>
  <sheetViews>
    <sheetView tabSelected="1" topLeftCell="C1" workbookViewId="0">
      <selection activeCell="C16" sqref="C16"/>
    </sheetView>
  </sheetViews>
  <sheetFormatPr baseColWidth="10" defaultRowHeight="12" customHeight="1"/>
  <cols>
    <col min="1" max="1" width="4.5" style="1" customWidth="1"/>
    <col min="2" max="2" width="42.25" style="1" customWidth="1"/>
    <col min="3" max="3" width="15" customWidth="1"/>
    <col min="4" max="10" width="11" customWidth="1"/>
    <col min="11" max="11" width="10.5" customWidth="1"/>
  </cols>
  <sheetData>
    <row r="1" spans="1:11" ht="17.25" customHeight="1">
      <c r="E1" s="5" t="s">
        <v>0</v>
      </c>
    </row>
    <row r="16" spans="1:11" ht="15" customHeight="1">
      <c r="A16" s="1">
        <v>111</v>
      </c>
      <c r="B16" s="1" t="s">
        <v>1</v>
      </c>
      <c r="C16" s="8" t="s">
        <v>2</v>
      </c>
      <c r="D16" s="9">
        <v>66.72</v>
      </c>
      <c r="E16" s="9">
        <v>30.27</v>
      </c>
      <c r="F16" s="9">
        <v>39.340000000000003</v>
      </c>
      <c r="G16" s="9">
        <v>12.71</v>
      </c>
      <c r="H16" s="9">
        <v>10.17</v>
      </c>
      <c r="I16" s="9">
        <v>3.64</v>
      </c>
      <c r="J16" s="9">
        <v>2.02</v>
      </c>
      <c r="K16" s="10">
        <f>(($E16+$F16+$G16+$H16+$I16+$J16)-100)*(-1)</f>
        <v>1.8500000000000085</v>
      </c>
    </row>
    <row r="17" spans="1:11" ht="15" customHeight="1">
      <c r="A17" s="1">
        <v>112</v>
      </c>
      <c r="B17" s="1" t="s">
        <v>3</v>
      </c>
      <c r="C17" s="8" t="s">
        <v>4</v>
      </c>
      <c r="D17" s="9">
        <v>67.69</v>
      </c>
      <c r="E17" s="9">
        <v>33.22</v>
      </c>
      <c r="F17" s="9">
        <v>34.67</v>
      </c>
      <c r="G17" s="9">
        <v>12.36</v>
      </c>
      <c r="H17" s="9">
        <v>10.63</v>
      </c>
      <c r="I17" s="9">
        <v>5.08</v>
      </c>
      <c r="J17" s="9">
        <v>1.53</v>
      </c>
      <c r="K17" s="10">
        <f>(($E17+$F17+$G17+$H17+$I17+$J17)-100)*(-1)</f>
        <v>2.5100000000000051</v>
      </c>
    </row>
    <row r="18" spans="1:11" ht="15" customHeight="1">
      <c r="A18" s="1">
        <v>113</v>
      </c>
      <c r="B18" s="1" t="s">
        <v>5</v>
      </c>
      <c r="C18" s="8">
        <v>6640</v>
      </c>
      <c r="D18" s="9">
        <v>70.36</v>
      </c>
      <c r="E18" s="9">
        <v>26.15</v>
      </c>
      <c r="F18" s="9">
        <v>22.64</v>
      </c>
      <c r="G18" s="9">
        <v>35.99</v>
      </c>
      <c r="H18" s="9">
        <v>9.75</v>
      </c>
      <c r="I18" s="9">
        <v>2.19</v>
      </c>
      <c r="J18" s="10">
        <v>0.93</v>
      </c>
      <c r="K18" s="10">
        <f>(($E18+$F18+$G18+$H18+$I18+$J18)-100)*(-1)</f>
        <v>2.3499999999999943</v>
      </c>
    </row>
    <row r="19" spans="1:11" ht="15" customHeight="1">
      <c r="B19" s="2" t="s">
        <v>6</v>
      </c>
      <c r="C19" s="8">
        <v>13054</v>
      </c>
      <c r="D19" s="9">
        <v>68.849999999999994</v>
      </c>
      <c r="E19" s="9">
        <v>28.97</v>
      </c>
      <c r="F19" s="9">
        <v>29.33</v>
      </c>
      <c r="G19" s="9">
        <v>24.7</v>
      </c>
      <c r="H19" s="9">
        <v>10.08</v>
      </c>
      <c r="I19" s="9">
        <v>3.3</v>
      </c>
      <c r="J19" s="9">
        <v>1.32</v>
      </c>
      <c r="K19" s="10">
        <f>(($E19+$F19+$G19+$H19+$I19+$J19)-100)*(-1)</f>
        <v>2.3000000000000114</v>
      </c>
    </row>
    <row r="20" spans="1:11" ht="15" customHeight="1">
      <c r="C20" s="8" t="s">
        <v>7</v>
      </c>
      <c r="D20" s="9"/>
      <c r="E20" s="9"/>
      <c r="F20" s="9"/>
      <c r="G20" s="9"/>
      <c r="H20" s="9"/>
      <c r="I20" s="9"/>
      <c r="J20" s="9"/>
      <c r="K20" s="11"/>
    </row>
    <row r="21" spans="1:11" ht="15" customHeight="1">
      <c r="A21" s="1">
        <v>121</v>
      </c>
      <c r="B21" s="1" t="s">
        <v>8</v>
      </c>
      <c r="C21" s="8" t="s">
        <v>9</v>
      </c>
      <c r="D21" s="8" t="s">
        <v>9</v>
      </c>
      <c r="E21" s="8" t="s">
        <v>9</v>
      </c>
      <c r="F21" s="8" t="s">
        <v>9</v>
      </c>
      <c r="G21" s="8" t="s">
        <v>9</v>
      </c>
      <c r="H21" s="8" t="s">
        <v>9</v>
      </c>
      <c r="I21" s="8" t="s">
        <v>9</v>
      </c>
      <c r="J21" s="8" t="s">
        <v>9</v>
      </c>
      <c r="K21" s="8" t="s">
        <v>9</v>
      </c>
    </row>
    <row r="22" spans="1:11" ht="15" customHeight="1">
      <c r="A22" s="1">
        <v>122</v>
      </c>
      <c r="B22" s="1" t="s">
        <v>10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8" t="s">
        <v>9</v>
      </c>
      <c r="I22" s="8" t="s">
        <v>9</v>
      </c>
      <c r="J22" s="8" t="s">
        <v>9</v>
      </c>
      <c r="K22" s="8" t="s">
        <v>9</v>
      </c>
    </row>
    <row r="23" spans="1:11" ht="15" customHeight="1">
      <c r="A23" s="1">
        <v>123</v>
      </c>
      <c r="B23" s="1" t="s">
        <v>11</v>
      </c>
      <c r="C23" s="8"/>
      <c r="D23" s="8"/>
      <c r="E23" s="8"/>
      <c r="F23" s="8"/>
      <c r="G23" s="8"/>
      <c r="H23" s="8"/>
      <c r="I23" s="8"/>
      <c r="J23" s="8"/>
      <c r="K23" s="8"/>
    </row>
    <row r="24" spans="1:11" ht="15" customHeight="1">
      <c r="B24" s="1" t="s">
        <v>12</v>
      </c>
      <c r="C24" s="8">
        <v>90</v>
      </c>
      <c r="D24" s="9">
        <v>66.67</v>
      </c>
      <c r="E24" s="9">
        <v>58.18</v>
      </c>
      <c r="F24" s="9">
        <v>7.27</v>
      </c>
      <c r="G24" s="9">
        <v>7.27</v>
      </c>
      <c r="H24" s="9">
        <v>9.09</v>
      </c>
      <c r="I24" s="9">
        <v>10.91</v>
      </c>
      <c r="J24" s="9">
        <v>3.64</v>
      </c>
      <c r="K24" s="10">
        <f>(($E24+$F24+$G24+$H24+$I24+$J24)-100)*(-1)</f>
        <v>3.6400000000000006</v>
      </c>
    </row>
    <row r="25" spans="1:11" ht="15" customHeight="1">
      <c r="A25" s="14">
        <v>124</v>
      </c>
      <c r="B25" s="6" t="s">
        <v>13</v>
      </c>
      <c r="C25" s="8"/>
      <c r="D25" s="9"/>
      <c r="E25" s="9"/>
      <c r="F25" s="9"/>
      <c r="G25" s="9"/>
      <c r="H25" s="9"/>
      <c r="I25" s="9"/>
      <c r="J25" s="9"/>
      <c r="K25" s="10"/>
    </row>
    <row r="26" spans="1:11" ht="15" customHeight="1">
      <c r="A26" s="14"/>
      <c r="B26" s="6" t="s">
        <v>14</v>
      </c>
      <c r="C26" s="8" t="s">
        <v>9</v>
      </c>
      <c r="D26" s="8" t="s">
        <v>9</v>
      </c>
      <c r="E26" s="8" t="s">
        <v>9</v>
      </c>
      <c r="F26" s="8" t="s">
        <v>9</v>
      </c>
      <c r="G26" s="8" t="s">
        <v>9</v>
      </c>
      <c r="H26" s="8" t="s">
        <v>9</v>
      </c>
      <c r="I26" s="8" t="s">
        <v>9</v>
      </c>
      <c r="J26" s="8" t="s">
        <v>9</v>
      </c>
      <c r="K26" s="8" t="s">
        <v>9</v>
      </c>
    </row>
    <row r="27" spans="1:11" ht="15" customHeight="1">
      <c r="A27" s="14">
        <v>125</v>
      </c>
      <c r="B27" s="6" t="s">
        <v>15</v>
      </c>
      <c r="C27" s="8"/>
      <c r="D27" s="8"/>
      <c r="E27" s="8"/>
      <c r="F27" s="8"/>
      <c r="G27" s="8"/>
      <c r="H27" s="8"/>
      <c r="I27" s="8"/>
      <c r="J27" s="8"/>
      <c r="K27" s="8"/>
    </row>
    <row r="28" spans="1:11" ht="15" customHeight="1">
      <c r="B28" s="1" t="s">
        <v>16</v>
      </c>
      <c r="C28" s="8" t="s">
        <v>9</v>
      </c>
      <c r="D28" s="8" t="s">
        <v>9</v>
      </c>
      <c r="E28" s="8" t="s">
        <v>9</v>
      </c>
      <c r="F28" s="8" t="s">
        <v>9</v>
      </c>
      <c r="G28" s="8" t="s">
        <v>9</v>
      </c>
      <c r="H28" s="8" t="s">
        <v>9</v>
      </c>
      <c r="I28" s="8" t="s">
        <v>9</v>
      </c>
      <c r="J28" s="8" t="s">
        <v>9</v>
      </c>
      <c r="K28" s="8" t="s">
        <v>9</v>
      </c>
    </row>
    <row r="29" spans="1:11" ht="15" customHeight="1">
      <c r="B29" s="2" t="s">
        <v>17</v>
      </c>
      <c r="C29" s="8">
        <v>13144</v>
      </c>
      <c r="D29" s="9">
        <v>68.81</v>
      </c>
      <c r="E29" s="9">
        <v>29.15</v>
      </c>
      <c r="F29" s="9">
        <v>29.2</v>
      </c>
      <c r="G29" s="9">
        <v>24.59</v>
      </c>
      <c r="H29" s="9">
        <v>10.08</v>
      </c>
      <c r="I29" s="9">
        <v>3.34</v>
      </c>
      <c r="J29" s="9">
        <v>1.33</v>
      </c>
      <c r="K29" s="10">
        <f>(($E29+$F29+$G29+$H29+$I29+$J29)-100)*(-1)</f>
        <v>2.3100000000000023</v>
      </c>
    </row>
    <row r="30" spans="1:11" ht="15" customHeight="1">
      <c r="C30" s="8" t="s">
        <v>7</v>
      </c>
      <c r="D30" s="9"/>
      <c r="E30" s="9"/>
      <c r="F30" s="9"/>
      <c r="G30" s="9"/>
      <c r="H30" s="9"/>
      <c r="I30" s="9"/>
      <c r="J30" s="9"/>
      <c r="K30" s="11"/>
    </row>
    <row r="31" spans="1:11" ht="15" customHeight="1">
      <c r="A31" s="1">
        <v>211</v>
      </c>
      <c r="B31" s="1" t="s">
        <v>18</v>
      </c>
      <c r="C31" s="8">
        <v>4453</v>
      </c>
      <c r="D31" s="9">
        <v>66.56</v>
      </c>
      <c r="E31" s="9">
        <v>35.340000000000003</v>
      </c>
      <c r="F31" s="9">
        <v>30.93</v>
      </c>
      <c r="G31" s="9">
        <v>16.100000000000001</v>
      </c>
      <c r="H31" s="9">
        <v>9.0299999999999994</v>
      </c>
      <c r="I31" s="9">
        <v>4.6900000000000004</v>
      </c>
      <c r="J31" s="9">
        <v>1.34</v>
      </c>
      <c r="K31" s="10">
        <f t="shared" ref="K31:K39" si="0">(($E31+$F31+$G31+$H31+$I31+$J31)-100)*(-1)</f>
        <v>2.5699999999999932</v>
      </c>
    </row>
    <row r="32" spans="1:11" ht="15" customHeight="1">
      <c r="A32" s="1">
        <v>212</v>
      </c>
      <c r="B32" s="1" t="s">
        <v>19</v>
      </c>
      <c r="C32" s="8">
        <v>3875</v>
      </c>
      <c r="D32" s="9">
        <v>66.400000000000006</v>
      </c>
      <c r="E32" s="9">
        <v>37.99</v>
      </c>
      <c r="F32" s="9">
        <v>24.76</v>
      </c>
      <c r="G32" s="9">
        <v>20.34</v>
      </c>
      <c r="H32" s="9">
        <v>6.6</v>
      </c>
      <c r="I32" s="9">
        <v>5.45</v>
      </c>
      <c r="J32" s="9">
        <v>1.82</v>
      </c>
      <c r="K32" s="9">
        <f t="shared" si="0"/>
        <v>3.0400000000000063</v>
      </c>
    </row>
    <row r="33" spans="1:11" ht="15" customHeight="1">
      <c r="A33" s="1">
        <v>213</v>
      </c>
      <c r="B33" s="1" t="s">
        <v>20</v>
      </c>
      <c r="C33" s="8">
        <v>6004</v>
      </c>
      <c r="D33" s="9">
        <v>73.58</v>
      </c>
      <c r="E33" s="9">
        <v>33.450000000000003</v>
      </c>
      <c r="F33" s="9">
        <v>27.29</v>
      </c>
      <c r="G33" s="9">
        <v>23.31</v>
      </c>
      <c r="H33" s="9">
        <v>9.26</v>
      </c>
      <c r="I33" s="9">
        <v>3.66</v>
      </c>
      <c r="J33" s="9">
        <v>1.17</v>
      </c>
      <c r="K33" s="10">
        <f t="shared" si="0"/>
        <v>1.8599999999999994</v>
      </c>
    </row>
    <row r="34" spans="1:11" ht="15" customHeight="1">
      <c r="A34" s="1">
        <v>214</v>
      </c>
      <c r="B34" s="1" t="s">
        <v>21</v>
      </c>
      <c r="C34" s="8">
        <v>4131</v>
      </c>
      <c r="D34" s="9">
        <v>69.790000000000006</v>
      </c>
      <c r="E34" s="9">
        <v>37.950000000000003</v>
      </c>
      <c r="F34" s="9">
        <v>25.39</v>
      </c>
      <c r="G34" s="9">
        <v>19.75</v>
      </c>
      <c r="H34" s="9">
        <v>6.98</v>
      </c>
      <c r="I34" s="9">
        <v>5.58</v>
      </c>
      <c r="J34" s="9">
        <v>1.4</v>
      </c>
      <c r="K34" s="10">
        <f t="shared" si="0"/>
        <v>2.9499999999999886</v>
      </c>
    </row>
    <row r="35" spans="1:11" ht="15" customHeight="1">
      <c r="A35" s="1">
        <v>215</v>
      </c>
      <c r="B35" s="1" t="s">
        <v>22</v>
      </c>
      <c r="C35" s="8">
        <v>4192</v>
      </c>
      <c r="D35" s="9">
        <v>76.53</v>
      </c>
      <c r="E35" s="9">
        <v>45.73</v>
      </c>
      <c r="F35" s="9">
        <v>30.63</v>
      </c>
      <c r="G35" s="9">
        <v>6.3</v>
      </c>
      <c r="H35" s="9">
        <v>7.27</v>
      </c>
      <c r="I35" s="9">
        <v>5.19</v>
      </c>
      <c r="J35" s="9">
        <v>2.4900000000000002</v>
      </c>
      <c r="K35" s="10">
        <f t="shared" si="0"/>
        <v>2.3900000000000148</v>
      </c>
    </row>
    <row r="36" spans="1:11" ht="15" customHeight="1">
      <c r="A36" s="1">
        <v>216</v>
      </c>
      <c r="B36" s="1" t="s">
        <v>23</v>
      </c>
      <c r="C36" s="8">
        <v>5429</v>
      </c>
      <c r="D36" s="9">
        <v>70.66</v>
      </c>
      <c r="E36" s="9">
        <v>36.630000000000003</v>
      </c>
      <c r="F36" s="9">
        <v>26.19</v>
      </c>
      <c r="G36" s="9">
        <v>22.19</v>
      </c>
      <c r="H36" s="9">
        <v>6.61</v>
      </c>
      <c r="I36" s="9">
        <v>4.51</v>
      </c>
      <c r="J36" s="9">
        <v>1.69</v>
      </c>
      <c r="K36" s="10">
        <f t="shared" si="0"/>
        <v>2.1799999999999926</v>
      </c>
    </row>
    <row r="37" spans="1:11" ht="15" customHeight="1">
      <c r="A37" s="1">
        <v>217</v>
      </c>
      <c r="B37" s="1" t="s">
        <v>24</v>
      </c>
      <c r="C37" s="8">
        <v>1189</v>
      </c>
      <c r="D37" s="9">
        <v>68.459999999999994</v>
      </c>
      <c r="E37" s="9">
        <v>38.15</v>
      </c>
      <c r="F37" s="9">
        <v>29.01</v>
      </c>
      <c r="G37" s="9">
        <v>13.95</v>
      </c>
      <c r="H37" s="9">
        <v>11.48</v>
      </c>
      <c r="I37" s="9">
        <v>3.83</v>
      </c>
      <c r="J37" s="9">
        <v>1.6</v>
      </c>
      <c r="K37" s="9">
        <f t="shared" si="0"/>
        <v>1.980000000000004</v>
      </c>
    </row>
    <row r="38" spans="1:11" ht="15" customHeight="1">
      <c r="A38" s="1">
        <v>218</v>
      </c>
      <c r="B38" s="1" t="s">
        <v>25</v>
      </c>
      <c r="C38" s="8">
        <v>4680</v>
      </c>
      <c r="D38" s="9">
        <v>72.44</v>
      </c>
      <c r="E38" s="9">
        <v>41.8</v>
      </c>
      <c r="F38" s="9">
        <v>28.1</v>
      </c>
      <c r="G38" s="9">
        <v>12.78</v>
      </c>
      <c r="H38" s="9">
        <v>8.74</v>
      </c>
      <c r="I38" s="9">
        <v>4.55</v>
      </c>
      <c r="J38" s="9">
        <v>1.5</v>
      </c>
      <c r="K38" s="10">
        <f t="shared" si="0"/>
        <v>2.5300000000000011</v>
      </c>
    </row>
    <row r="39" spans="1:11" ht="15" customHeight="1">
      <c r="B39" s="2" t="s">
        <v>26</v>
      </c>
      <c r="C39" s="8">
        <v>33953</v>
      </c>
      <c r="D39" s="9">
        <v>70.94</v>
      </c>
      <c r="E39" s="9">
        <v>38.19</v>
      </c>
      <c r="F39" s="9">
        <v>27.68</v>
      </c>
      <c r="G39" s="9">
        <v>17.43</v>
      </c>
      <c r="H39" s="9">
        <v>7.99</v>
      </c>
      <c r="I39" s="9">
        <v>4.68</v>
      </c>
      <c r="J39" s="9">
        <v>1.61</v>
      </c>
      <c r="K39" s="10">
        <f t="shared" si="0"/>
        <v>2.4200000000000017</v>
      </c>
    </row>
    <row r="40" spans="1:11" ht="15" customHeight="1">
      <c r="C40" s="8" t="s">
        <v>7</v>
      </c>
      <c r="D40" s="9"/>
      <c r="E40" s="9"/>
      <c r="F40" s="9"/>
      <c r="G40" s="9"/>
      <c r="H40" s="9"/>
      <c r="I40" s="9"/>
      <c r="J40" s="9"/>
      <c r="K40" s="11"/>
    </row>
    <row r="41" spans="1:11" ht="15" customHeight="1">
      <c r="A41" s="1">
        <v>231</v>
      </c>
      <c r="B41" s="1" t="s">
        <v>27</v>
      </c>
      <c r="C41" s="8">
        <v>6764</v>
      </c>
      <c r="D41" s="9">
        <v>84.05</v>
      </c>
      <c r="E41" s="9">
        <v>36.5</v>
      </c>
      <c r="F41" s="9">
        <v>35.97</v>
      </c>
      <c r="G41" s="9">
        <v>9.64</v>
      </c>
      <c r="H41" s="9">
        <v>12.04</v>
      </c>
      <c r="I41" s="9">
        <v>3.52</v>
      </c>
      <c r="J41" s="9">
        <v>1.22</v>
      </c>
      <c r="K41" s="10">
        <f>(($E41+$F41+$G41+$H41+$I41+$J41)-100)*(-1)</f>
        <v>1.1099999999999994</v>
      </c>
    </row>
    <row r="42" spans="1:11" ht="15" customHeight="1">
      <c r="A42" s="1">
        <v>232</v>
      </c>
      <c r="B42" s="1" t="s">
        <v>28</v>
      </c>
      <c r="C42" s="8">
        <v>4125</v>
      </c>
      <c r="D42" s="9">
        <v>80.36</v>
      </c>
      <c r="E42" s="9">
        <v>43.47</v>
      </c>
      <c r="F42" s="9">
        <v>31.09</v>
      </c>
      <c r="G42" s="9">
        <v>8.1300000000000008</v>
      </c>
      <c r="H42" s="9">
        <v>10.3</v>
      </c>
      <c r="I42" s="9">
        <v>4.07</v>
      </c>
      <c r="J42" s="9">
        <v>1.38</v>
      </c>
      <c r="K42" s="10">
        <f>(($E42+$F42+$G42+$H42+$I42+$J42)-100)*(-1)</f>
        <v>1.5600000000000023</v>
      </c>
    </row>
    <row r="43" spans="1:11" ht="15" customHeight="1">
      <c r="A43" s="1">
        <v>233</v>
      </c>
      <c r="B43" s="1" t="s">
        <v>29</v>
      </c>
      <c r="C43" s="8">
        <v>9368</v>
      </c>
      <c r="D43" s="9">
        <v>71.02</v>
      </c>
      <c r="E43" s="9">
        <v>44.69</v>
      </c>
      <c r="F43" s="9">
        <v>29.3</v>
      </c>
      <c r="G43" s="9">
        <v>8.51</v>
      </c>
      <c r="H43" s="9">
        <v>7.88</v>
      </c>
      <c r="I43" s="9">
        <v>5.49</v>
      </c>
      <c r="J43" s="9">
        <v>2.2200000000000002</v>
      </c>
      <c r="K43" s="10">
        <f>(($E43+$F43+$G43+$H43+$I43+$J43)-100)*(-1)</f>
        <v>1.9100000000000108</v>
      </c>
    </row>
    <row r="44" spans="1:11" ht="15" customHeight="1">
      <c r="A44" s="1">
        <v>234</v>
      </c>
      <c r="B44" s="1" t="s">
        <v>30</v>
      </c>
      <c r="C44" s="8">
        <v>4367</v>
      </c>
      <c r="D44" s="9">
        <v>81.680000000000007</v>
      </c>
      <c r="E44" s="9">
        <v>35.92</v>
      </c>
      <c r="F44" s="9">
        <v>34.92</v>
      </c>
      <c r="G44" s="9">
        <v>9.26</v>
      </c>
      <c r="H44" s="9">
        <v>10.32</v>
      </c>
      <c r="I44" s="9">
        <v>5.23</v>
      </c>
      <c r="J44" s="9">
        <v>2.2200000000000002</v>
      </c>
      <c r="K44" s="10">
        <f>(($E44+$F44+$G44+$H44+$I44+$J44)-100)*(-1)</f>
        <v>2.1299999999999812</v>
      </c>
    </row>
    <row r="45" spans="1:11" ht="15" customHeight="1">
      <c r="B45" s="2" t="s">
        <v>31</v>
      </c>
      <c r="C45" s="8">
        <v>24624</v>
      </c>
      <c r="D45" s="9">
        <v>78.05</v>
      </c>
      <c r="E45" s="9">
        <v>40.42</v>
      </c>
      <c r="F45" s="9">
        <v>32.630000000000003</v>
      </c>
      <c r="G45" s="9">
        <v>8.92</v>
      </c>
      <c r="H45" s="9">
        <v>9.98</v>
      </c>
      <c r="I45" s="9">
        <v>4.6100000000000003</v>
      </c>
      <c r="J45" s="9">
        <v>1.78</v>
      </c>
      <c r="K45" s="10">
        <f>(($E45+$F45+$G45+$H45+$I45+$J45)-100)*(-1)</f>
        <v>1.6599999999999824</v>
      </c>
    </row>
    <row r="46" spans="1:11" ht="15" customHeight="1">
      <c r="C46" s="8" t="s">
        <v>7</v>
      </c>
      <c r="D46" s="9"/>
      <c r="E46" s="9"/>
      <c r="F46" s="9"/>
      <c r="G46" s="9"/>
      <c r="H46" s="9"/>
      <c r="I46" s="9"/>
      <c r="J46" s="9"/>
      <c r="K46" s="11"/>
    </row>
    <row r="47" spans="1:11" ht="15" customHeight="1">
      <c r="A47" s="1">
        <v>241</v>
      </c>
      <c r="B47" s="1" t="s">
        <v>32</v>
      </c>
      <c r="C47" s="8">
        <v>8164</v>
      </c>
      <c r="D47" s="9">
        <v>73.430000000000007</v>
      </c>
      <c r="E47" s="9">
        <v>42.77</v>
      </c>
      <c r="F47" s="9">
        <v>29.56</v>
      </c>
      <c r="G47" s="9">
        <v>7.08</v>
      </c>
      <c r="H47" s="9">
        <v>9.2100000000000009</v>
      </c>
      <c r="I47" s="9">
        <v>7.28</v>
      </c>
      <c r="J47" s="9">
        <v>1.35</v>
      </c>
      <c r="K47" s="10">
        <f>(($E47+$F47+$G47+$H47+$I47+$J47)-100)*(-1)</f>
        <v>2.75</v>
      </c>
    </row>
    <row r="48" spans="1:11" ht="15" customHeight="1">
      <c r="A48" s="1">
        <v>242</v>
      </c>
      <c r="B48" s="1" t="s">
        <v>33</v>
      </c>
      <c r="C48" s="8">
        <v>5171</v>
      </c>
      <c r="D48" s="9">
        <v>72.209999999999994</v>
      </c>
      <c r="E48" s="9">
        <v>48.47</v>
      </c>
      <c r="F48" s="9">
        <v>26.19</v>
      </c>
      <c r="G48" s="9">
        <v>6.52</v>
      </c>
      <c r="H48" s="9">
        <v>7.17</v>
      </c>
      <c r="I48" s="9">
        <v>7.91</v>
      </c>
      <c r="J48" s="9">
        <v>1.58</v>
      </c>
      <c r="K48" s="10">
        <f>(($E48+$F48+$G48+$H48+$I48+$J48)-100)*(-1)</f>
        <v>2.1600000000000108</v>
      </c>
    </row>
    <row r="49" spans="1:11" ht="15" customHeight="1">
      <c r="A49" s="1">
        <v>243</v>
      </c>
      <c r="B49" s="1" t="s">
        <v>34</v>
      </c>
      <c r="C49" s="8">
        <v>6230</v>
      </c>
      <c r="D49" s="9">
        <v>74.41</v>
      </c>
      <c r="E49" s="9">
        <v>42.96</v>
      </c>
      <c r="F49" s="9">
        <v>31.75</v>
      </c>
      <c r="G49" s="9">
        <v>6.85</v>
      </c>
      <c r="H49" s="9">
        <v>7.66</v>
      </c>
      <c r="I49" s="9">
        <v>6.98</v>
      </c>
      <c r="J49" s="9">
        <v>1.57</v>
      </c>
      <c r="K49" s="10">
        <f>(($E49+$F49+$G49+$H49+$I49+$J49)-100)*(-1)</f>
        <v>2.230000000000004</v>
      </c>
    </row>
    <row r="50" spans="1:11" ht="15" customHeight="1">
      <c r="A50" s="1">
        <v>244</v>
      </c>
      <c r="B50" s="1" t="s">
        <v>35</v>
      </c>
      <c r="C50" s="8">
        <v>3106</v>
      </c>
      <c r="D50" s="9">
        <v>81.17</v>
      </c>
      <c r="E50" s="9">
        <v>38.43</v>
      </c>
      <c r="F50" s="9">
        <v>31.85</v>
      </c>
      <c r="G50" s="9">
        <v>9.8000000000000007</v>
      </c>
      <c r="H50" s="9">
        <v>12.38</v>
      </c>
      <c r="I50" s="9">
        <v>5.24</v>
      </c>
      <c r="J50" s="10">
        <v>0.69</v>
      </c>
      <c r="K50" s="10">
        <f>(($E50+$F50+$G50+$H50+$I50+$J50)-100)*(-1)</f>
        <v>1.6100000000000136</v>
      </c>
    </row>
    <row r="51" spans="1:11" ht="15" customHeight="1">
      <c r="B51" s="2" t="s">
        <v>36</v>
      </c>
      <c r="C51" s="8">
        <v>22671</v>
      </c>
      <c r="D51" s="9">
        <v>74.48</v>
      </c>
      <c r="E51" s="9">
        <v>43.43</v>
      </c>
      <c r="F51" s="9">
        <v>29.76</v>
      </c>
      <c r="G51" s="9">
        <v>7.3</v>
      </c>
      <c r="H51" s="9">
        <v>8.8000000000000007</v>
      </c>
      <c r="I51" s="9">
        <v>7.03</v>
      </c>
      <c r="J51" s="9">
        <v>1.36</v>
      </c>
      <c r="K51" s="10">
        <f>(($E51+$F51+$G51+$H51+$I51+$J51)-100)*(-1)</f>
        <v>2.3200000000000074</v>
      </c>
    </row>
    <row r="52" spans="1:11" ht="15" customHeight="1">
      <c r="C52" s="8" t="s">
        <v>7</v>
      </c>
      <c r="D52" s="9"/>
      <c r="E52" s="9"/>
      <c r="F52" s="9"/>
      <c r="G52" s="9"/>
      <c r="H52" s="9"/>
      <c r="I52" s="9"/>
      <c r="J52" s="9"/>
      <c r="K52" s="11"/>
    </row>
    <row r="53" spans="1:11" ht="15" customHeight="1">
      <c r="A53" s="1">
        <v>251</v>
      </c>
      <c r="B53" s="1" t="s">
        <v>37</v>
      </c>
      <c r="C53" s="8">
        <v>8250</v>
      </c>
      <c r="D53" s="9">
        <v>69.790000000000006</v>
      </c>
      <c r="E53" s="9">
        <v>48.72</v>
      </c>
      <c r="F53" s="9">
        <v>24.02</v>
      </c>
      <c r="G53" s="9">
        <v>9.17</v>
      </c>
      <c r="H53" s="9">
        <v>7.49</v>
      </c>
      <c r="I53" s="9">
        <v>6.31</v>
      </c>
      <c r="J53" s="9">
        <v>1.99</v>
      </c>
      <c r="K53" s="10">
        <f>(($E53+$F53+$G53+$H53+$I53+$J53)-100)*(-1)</f>
        <v>2.3000000000000114</v>
      </c>
    </row>
    <row r="54" spans="1:11" ht="15" customHeight="1">
      <c r="A54" s="1">
        <v>252</v>
      </c>
      <c r="B54" s="1" t="s">
        <v>38</v>
      </c>
      <c r="C54" s="8">
        <v>2553</v>
      </c>
      <c r="D54" s="9">
        <v>74.34</v>
      </c>
      <c r="E54" s="9">
        <v>48.83</v>
      </c>
      <c r="F54" s="9">
        <v>24.76</v>
      </c>
      <c r="G54" s="9">
        <v>7.61</v>
      </c>
      <c r="H54" s="9">
        <v>9.5299999999999994</v>
      </c>
      <c r="I54" s="9">
        <v>5.17</v>
      </c>
      <c r="J54" s="9">
        <v>1.86</v>
      </c>
      <c r="K54" s="10">
        <f>(($E54+$F54+$G54+$H54+$I54+$J54)-100)*(-1)</f>
        <v>2.2399999999999949</v>
      </c>
    </row>
    <row r="55" spans="1:11" ht="15" customHeight="1">
      <c r="B55" s="2" t="s">
        <v>39</v>
      </c>
      <c r="C55" s="8">
        <v>10803</v>
      </c>
      <c r="D55" s="12">
        <v>70.87</v>
      </c>
      <c r="E55" s="12">
        <v>48.75</v>
      </c>
      <c r="F55" s="12">
        <v>24.2</v>
      </c>
      <c r="G55" s="9">
        <v>8.7799999999999994</v>
      </c>
      <c r="H55" s="9">
        <v>8</v>
      </c>
      <c r="I55" s="9">
        <v>6.03</v>
      </c>
      <c r="J55" s="9">
        <v>1.96</v>
      </c>
      <c r="K55" s="10">
        <f>(($E55+$F55+$G55+$H55+$I55+$J55)-100)*(-1)</f>
        <v>2.2800000000000011</v>
      </c>
    </row>
    <row r="56" spans="1:11" ht="15" customHeight="1">
      <c r="C56" s="8" t="s">
        <v>7</v>
      </c>
      <c r="D56" s="13"/>
      <c r="E56" s="13"/>
      <c r="F56" s="13"/>
      <c r="G56" s="9"/>
      <c r="H56" s="9"/>
      <c r="I56" s="9"/>
      <c r="J56" s="9"/>
      <c r="K56" s="11"/>
    </row>
    <row r="57" spans="1:11" ht="15" customHeight="1">
      <c r="A57" s="1">
        <v>261</v>
      </c>
      <c r="B57" s="1" t="s">
        <v>40</v>
      </c>
      <c r="C57" s="8">
        <v>568</v>
      </c>
      <c r="D57" s="12">
        <v>82.92</v>
      </c>
      <c r="E57" s="12">
        <v>49.79</v>
      </c>
      <c r="F57" s="12">
        <v>35.19</v>
      </c>
      <c r="G57" s="9">
        <v>4.9400000000000004</v>
      </c>
      <c r="H57" s="9">
        <v>6.22</v>
      </c>
      <c r="I57" s="9">
        <v>1.72</v>
      </c>
      <c r="J57" s="9">
        <v>1.29</v>
      </c>
      <c r="K57" s="10">
        <f>(($E57+$F57+$G57+$H57+$I57+$J57)-100)*(-1)</f>
        <v>0.85000000000000853</v>
      </c>
    </row>
    <row r="58" spans="1:11" ht="15" customHeight="1">
      <c r="A58" s="1">
        <v>271</v>
      </c>
      <c r="B58" s="1" t="s">
        <v>41</v>
      </c>
      <c r="C58" s="8">
        <v>333</v>
      </c>
      <c r="D58" s="9">
        <v>81.680000000000007</v>
      </c>
      <c r="E58" s="9">
        <v>35.56</v>
      </c>
      <c r="F58" s="9">
        <v>40</v>
      </c>
      <c r="G58" s="9">
        <v>8.15</v>
      </c>
      <c r="H58" s="9">
        <v>13.7</v>
      </c>
      <c r="I58" s="10">
        <v>0.74</v>
      </c>
      <c r="J58" s="10">
        <v>0.74</v>
      </c>
      <c r="K58" s="10">
        <f>(($E58+$F58+$G58+$H58+$I58+$J58)-100)*(-1)</f>
        <v>1.1099999999999994</v>
      </c>
    </row>
    <row r="59" spans="1:11" ht="15" customHeight="1">
      <c r="C59" s="8" t="s">
        <v>7</v>
      </c>
      <c r="D59" s="9"/>
      <c r="E59" s="9"/>
      <c r="F59" s="9"/>
      <c r="G59" s="9"/>
      <c r="H59" s="9"/>
      <c r="I59" s="9"/>
      <c r="J59" s="9"/>
      <c r="K59" s="11"/>
    </row>
    <row r="60" spans="1:11" ht="15" customHeight="1">
      <c r="B60" s="2" t="s">
        <v>42</v>
      </c>
      <c r="C60" s="8">
        <v>92952</v>
      </c>
      <c r="D60" s="9">
        <v>73.790000000000006</v>
      </c>
      <c r="E60" s="9">
        <v>41.35</v>
      </c>
      <c r="F60" s="9">
        <v>29.29</v>
      </c>
      <c r="G60" s="9">
        <v>11.46</v>
      </c>
      <c r="H60" s="9">
        <v>8.76</v>
      </c>
      <c r="I60" s="9">
        <v>5.35</v>
      </c>
      <c r="J60" s="9">
        <v>1.63</v>
      </c>
      <c r="K60" s="10">
        <f>(($E60+$F60+$G60+$H60+$I60+$J60)-100)*(-1)</f>
        <v>2.1600000000000108</v>
      </c>
    </row>
    <row r="61" spans="1:11" ht="15" customHeight="1">
      <c r="C61" s="8" t="s">
        <v>7</v>
      </c>
      <c r="D61" s="9"/>
      <c r="E61" s="9"/>
      <c r="F61" s="9"/>
      <c r="G61" s="9"/>
      <c r="H61" s="9"/>
      <c r="I61" s="9"/>
      <c r="J61" s="9"/>
      <c r="K61" s="11"/>
    </row>
    <row r="62" spans="1:11" ht="15" customHeight="1">
      <c r="A62" s="1">
        <v>311</v>
      </c>
      <c r="B62" s="1" t="s">
        <v>43</v>
      </c>
      <c r="C62" s="8">
        <v>5743</v>
      </c>
      <c r="D62" s="9">
        <v>71.16</v>
      </c>
      <c r="E62" s="9">
        <v>27.31</v>
      </c>
      <c r="F62" s="9">
        <v>21.99</v>
      </c>
      <c r="G62" s="9">
        <v>36.21</v>
      </c>
      <c r="H62" s="9">
        <v>8.1300000000000008</v>
      </c>
      <c r="I62" s="9">
        <v>2.86</v>
      </c>
      <c r="J62" s="9">
        <v>0.99</v>
      </c>
      <c r="K62" s="10">
        <f>(($E62+$F62+$G62+$H62+$I62+$J62)-100)*(-1)</f>
        <v>2.5100000000000193</v>
      </c>
    </row>
    <row r="63" spans="1:11" ht="15" customHeight="1">
      <c r="A63" s="1">
        <v>312</v>
      </c>
      <c r="B63" s="1" t="s">
        <v>44</v>
      </c>
      <c r="C63" s="8">
        <v>5673</v>
      </c>
      <c r="D63" s="9">
        <v>71.23</v>
      </c>
      <c r="E63" s="9">
        <v>25.27</v>
      </c>
      <c r="F63" s="9">
        <v>24.9</v>
      </c>
      <c r="G63" s="9">
        <v>35.020000000000003</v>
      </c>
      <c r="H63" s="9">
        <v>9.5</v>
      </c>
      <c r="I63" s="9">
        <v>2.17</v>
      </c>
      <c r="J63" s="10">
        <v>0.8</v>
      </c>
      <c r="K63" s="10">
        <f>(($E63+$F63+$G63+$H63+$I63+$J63)-100)*(-1)</f>
        <v>2.3400000000000034</v>
      </c>
    </row>
    <row r="64" spans="1:11" ht="15" customHeight="1">
      <c r="A64" s="1">
        <v>313</v>
      </c>
      <c r="B64" s="1" t="s">
        <v>45</v>
      </c>
      <c r="C64" s="8">
        <v>8335</v>
      </c>
      <c r="D64" s="9">
        <v>75.97</v>
      </c>
      <c r="E64" s="9">
        <v>29.02</v>
      </c>
      <c r="F64" s="9">
        <v>30.19</v>
      </c>
      <c r="G64" s="9">
        <v>24.13</v>
      </c>
      <c r="H64" s="9">
        <v>10.81</v>
      </c>
      <c r="I64" s="9">
        <v>3.1</v>
      </c>
      <c r="J64" s="10">
        <v>0.91</v>
      </c>
      <c r="K64" s="10">
        <f>(($E64+$F64+$G64+$H64+$I64+$J64)-100)*(-1)</f>
        <v>1.8400000000000034</v>
      </c>
    </row>
    <row r="65" spans="1:11" ht="15" customHeight="1">
      <c r="A65" s="1">
        <v>314</v>
      </c>
      <c r="B65" s="1" t="s">
        <v>46</v>
      </c>
      <c r="C65" s="8">
        <v>4092</v>
      </c>
      <c r="D65" s="9">
        <v>74.27</v>
      </c>
      <c r="E65" s="9">
        <v>35.020000000000003</v>
      </c>
      <c r="F65" s="9">
        <v>30.86</v>
      </c>
      <c r="G65" s="9">
        <v>16.3</v>
      </c>
      <c r="H65" s="9">
        <v>9.74</v>
      </c>
      <c r="I65" s="9">
        <v>3.86</v>
      </c>
      <c r="J65" s="9">
        <v>1.9</v>
      </c>
      <c r="K65" s="10">
        <f>(($E65+$F65+$G65+$H65+$I65+$J65)-100)*(-1)</f>
        <v>2.3200000000000074</v>
      </c>
    </row>
    <row r="66" spans="1:11" ht="15" customHeight="1">
      <c r="B66" s="2" t="s">
        <v>47</v>
      </c>
      <c r="C66" s="8">
        <v>23843</v>
      </c>
      <c r="D66" s="9">
        <v>73.39</v>
      </c>
      <c r="E66" s="9">
        <v>28.8</v>
      </c>
      <c r="F66" s="9">
        <v>27.17</v>
      </c>
      <c r="G66" s="9">
        <v>28.1</v>
      </c>
      <c r="H66" s="9">
        <v>9.6999999999999993</v>
      </c>
      <c r="I66" s="9">
        <v>2.96</v>
      </c>
      <c r="J66" s="9">
        <v>1.08</v>
      </c>
      <c r="K66" s="10">
        <f>(($E66+$F66+$G66+$H66+$I66+$J66)-100)*(-1)</f>
        <v>2.1900000000000119</v>
      </c>
    </row>
    <row r="67" spans="1:11" ht="15" customHeight="1">
      <c r="C67" s="8" t="s">
        <v>7</v>
      </c>
      <c r="D67" s="9"/>
      <c r="E67" s="9"/>
      <c r="F67" s="9"/>
      <c r="G67" s="9"/>
      <c r="H67" s="9"/>
      <c r="I67" s="9"/>
      <c r="J67" s="9"/>
      <c r="K67" s="11"/>
    </row>
    <row r="68" spans="1:11" ht="15" customHeight="1">
      <c r="A68" s="1">
        <v>321</v>
      </c>
      <c r="B68" s="1" t="s">
        <v>48</v>
      </c>
      <c r="C68" s="8">
        <v>5115</v>
      </c>
      <c r="D68" s="9">
        <v>81.33</v>
      </c>
      <c r="E68" s="9">
        <v>26.86</v>
      </c>
      <c r="F68" s="9">
        <v>42.93</v>
      </c>
      <c r="G68" s="9">
        <v>10.23</v>
      </c>
      <c r="H68" s="9">
        <v>14.86</v>
      </c>
      <c r="I68" s="9">
        <v>2.5499999999999998</v>
      </c>
      <c r="J68" s="9">
        <v>1.04</v>
      </c>
      <c r="K68" s="10">
        <f t="shared" ref="K68:K75" si="1">(($E68+$F68+$G68+$H68+$I68+$J68)-100)*(-1)</f>
        <v>1.5300000000000011</v>
      </c>
    </row>
    <row r="69" spans="1:11" ht="15" customHeight="1">
      <c r="A69" s="1">
        <v>322</v>
      </c>
      <c r="B69" s="1" t="s">
        <v>49</v>
      </c>
      <c r="C69" s="8">
        <v>3907</v>
      </c>
      <c r="D69" s="9">
        <v>78.3</v>
      </c>
      <c r="E69" s="9">
        <v>14.98</v>
      </c>
      <c r="F69" s="9">
        <v>44.27</v>
      </c>
      <c r="G69" s="9">
        <v>20.38</v>
      </c>
      <c r="H69" s="9">
        <v>17.54</v>
      </c>
      <c r="I69" s="9">
        <v>1.65</v>
      </c>
      <c r="J69" s="10">
        <v>0.36</v>
      </c>
      <c r="K69" s="10">
        <f t="shared" si="1"/>
        <v>0.82000000000000739</v>
      </c>
    </row>
    <row r="70" spans="1:11" ht="15" customHeight="1">
      <c r="A70" s="1">
        <v>323</v>
      </c>
      <c r="B70" s="1" t="s">
        <v>50</v>
      </c>
      <c r="C70" s="8">
        <v>2316</v>
      </c>
      <c r="D70" s="9">
        <v>74.31</v>
      </c>
      <c r="E70" s="9">
        <v>20.94</v>
      </c>
      <c r="F70" s="9">
        <v>33.68</v>
      </c>
      <c r="G70" s="9">
        <v>24.56</v>
      </c>
      <c r="H70" s="9">
        <v>15.32</v>
      </c>
      <c r="I70" s="9">
        <v>2.34</v>
      </c>
      <c r="J70" s="9">
        <v>1.35</v>
      </c>
      <c r="K70" s="10">
        <f t="shared" si="1"/>
        <v>1.8100000000000023</v>
      </c>
    </row>
    <row r="71" spans="1:11" ht="15" customHeight="1">
      <c r="A71" s="1">
        <v>324</v>
      </c>
      <c r="B71" s="1" t="s">
        <v>51</v>
      </c>
      <c r="C71" s="8">
        <v>5204</v>
      </c>
      <c r="D71" s="9">
        <v>81.739999999999995</v>
      </c>
      <c r="E71" s="9">
        <v>23.75</v>
      </c>
      <c r="F71" s="9">
        <v>44.87</v>
      </c>
      <c r="G71" s="9">
        <v>11.31</v>
      </c>
      <c r="H71" s="9">
        <v>14.18</v>
      </c>
      <c r="I71" s="9">
        <v>3.47</v>
      </c>
      <c r="J71" s="9">
        <v>0.95</v>
      </c>
      <c r="K71" s="10">
        <f t="shared" si="1"/>
        <v>1.4699999999999847</v>
      </c>
    </row>
    <row r="72" spans="1:11" ht="15" customHeight="1">
      <c r="A72" s="1">
        <v>325</v>
      </c>
      <c r="B72" s="1" t="s">
        <v>52</v>
      </c>
      <c r="C72" s="8">
        <v>5872</v>
      </c>
      <c r="D72" s="9">
        <v>79.27</v>
      </c>
      <c r="E72" s="9">
        <v>20.07</v>
      </c>
      <c r="F72" s="9">
        <v>45.24</v>
      </c>
      <c r="G72" s="9">
        <v>12.67</v>
      </c>
      <c r="H72" s="9">
        <v>17.739999999999998</v>
      </c>
      <c r="I72" s="9">
        <v>2.29</v>
      </c>
      <c r="J72" s="10">
        <v>0.84</v>
      </c>
      <c r="K72" s="10">
        <f t="shared" si="1"/>
        <v>1.1499999999999915</v>
      </c>
    </row>
    <row r="73" spans="1:11" ht="15" customHeight="1">
      <c r="A73" s="1">
        <v>326</v>
      </c>
      <c r="B73" s="1" t="s">
        <v>53</v>
      </c>
      <c r="C73" s="8">
        <v>2993</v>
      </c>
      <c r="D73" s="9">
        <v>78.38</v>
      </c>
      <c r="E73" s="9">
        <v>16.38</v>
      </c>
      <c r="F73" s="9">
        <v>40.93</v>
      </c>
      <c r="G73" s="9">
        <v>20.62</v>
      </c>
      <c r="H73" s="9">
        <v>18.09</v>
      </c>
      <c r="I73" s="9">
        <v>2.57</v>
      </c>
      <c r="J73" s="10">
        <v>0.51</v>
      </c>
      <c r="K73" s="10">
        <f t="shared" si="1"/>
        <v>0.89999999999999147</v>
      </c>
    </row>
    <row r="74" spans="1:11" ht="15" customHeight="1">
      <c r="A74" s="1">
        <v>327</v>
      </c>
      <c r="B74" s="1" t="s">
        <v>54</v>
      </c>
      <c r="C74" s="8">
        <v>6527</v>
      </c>
      <c r="D74" s="9">
        <v>79.73</v>
      </c>
      <c r="E74" s="9">
        <v>19.600000000000001</v>
      </c>
      <c r="F74" s="9">
        <v>40.72</v>
      </c>
      <c r="G74" s="9">
        <v>19.87</v>
      </c>
      <c r="H74" s="9">
        <v>16.39</v>
      </c>
      <c r="I74" s="9">
        <v>1.68</v>
      </c>
      <c r="J74" s="10">
        <v>0.56000000000000005</v>
      </c>
      <c r="K74" s="10">
        <f t="shared" si="1"/>
        <v>1.1799999999999926</v>
      </c>
    </row>
    <row r="75" spans="1:11" ht="15" customHeight="1">
      <c r="B75" s="2" t="s">
        <v>55</v>
      </c>
      <c r="C75" s="8">
        <v>31934</v>
      </c>
      <c r="D75" s="9">
        <v>79.540000000000006</v>
      </c>
      <c r="E75" s="9">
        <v>20.8</v>
      </c>
      <c r="F75" s="9">
        <v>42.58</v>
      </c>
      <c r="G75" s="9">
        <v>15.99</v>
      </c>
      <c r="H75" s="9">
        <v>16.239999999999998</v>
      </c>
      <c r="I75" s="9">
        <v>2.35</v>
      </c>
      <c r="J75" s="10">
        <v>0.78</v>
      </c>
      <c r="K75" s="10">
        <f t="shared" si="1"/>
        <v>1.2600000000000193</v>
      </c>
    </row>
    <row r="76" spans="1:11" ht="15" customHeight="1">
      <c r="C76" s="8" t="s">
        <v>7</v>
      </c>
      <c r="D76" s="9"/>
      <c r="E76" s="9"/>
      <c r="F76" s="9"/>
      <c r="G76" s="9"/>
      <c r="H76" s="9"/>
      <c r="I76" s="9"/>
      <c r="J76" s="9"/>
      <c r="K76" s="11"/>
    </row>
    <row r="77" spans="1:11" ht="15" customHeight="1">
      <c r="A77" s="1">
        <v>331</v>
      </c>
      <c r="B77" s="1" t="s">
        <v>56</v>
      </c>
      <c r="C77" s="8">
        <v>6346</v>
      </c>
      <c r="D77" s="9">
        <v>77.97</v>
      </c>
      <c r="E77" s="9">
        <v>34.090000000000003</v>
      </c>
      <c r="F77" s="9">
        <v>37.51</v>
      </c>
      <c r="G77" s="9">
        <v>7.8</v>
      </c>
      <c r="H77" s="9">
        <v>12.18</v>
      </c>
      <c r="I77" s="9">
        <v>5.54</v>
      </c>
      <c r="J77" s="9">
        <v>1.2</v>
      </c>
      <c r="K77" s="10">
        <f>(($E77+$F77+$G77+$H77+$I77+$J77)-100)*(-1)</f>
        <v>1.6800000000000068</v>
      </c>
    </row>
    <row r="78" spans="1:11" ht="15" customHeight="1">
      <c r="A78" s="1">
        <v>332</v>
      </c>
      <c r="B78" s="1" t="s">
        <v>57</v>
      </c>
      <c r="C78" s="8">
        <v>5999</v>
      </c>
      <c r="D78" s="9">
        <v>72.91</v>
      </c>
      <c r="E78" s="9">
        <v>46.29</v>
      </c>
      <c r="F78" s="9">
        <v>28.67</v>
      </c>
      <c r="G78" s="9">
        <v>6.28</v>
      </c>
      <c r="H78" s="9">
        <v>5.98</v>
      </c>
      <c r="I78" s="9">
        <v>7.58</v>
      </c>
      <c r="J78" s="9">
        <v>2.33</v>
      </c>
      <c r="K78" s="10">
        <f>(($E78+$F78+$G78+$H78+$I78+$J78)-100)*(-1)</f>
        <v>2.8699999999999903</v>
      </c>
    </row>
    <row r="79" spans="1:11" ht="15" customHeight="1">
      <c r="A79" s="1">
        <v>334</v>
      </c>
      <c r="B79" s="1" t="s">
        <v>58</v>
      </c>
      <c r="C79" s="8">
        <v>3382</v>
      </c>
      <c r="D79" s="9">
        <v>69.66</v>
      </c>
      <c r="E79" s="9">
        <v>47</v>
      </c>
      <c r="F79" s="9">
        <v>29.2</v>
      </c>
      <c r="G79" s="9">
        <v>6.13</v>
      </c>
      <c r="H79" s="9">
        <v>6.13</v>
      </c>
      <c r="I79" s="9">
        <v>6.3</v>
      </c>
      <c r="J79" s="9">
        <v>2.42</v>
      </c>
      <c r="K79" s="10">
        <f>(($E79+$F79+$G79+$H79+$I79+$J79)-100)*(-1)</f>
        <v>2.8200000000000074</v>
      </c>
    </row>
    <row r="80" spans="1:11" ht="15" customHeight="1">
      <c r="A80" s="1">
        <v>335</v>
      </c>
      <c r="B80" s="1" t="s">
        <v>59</v>
      </c>
      <c r="C80" s="8">
        <v>5807</v>
      </c>
      <c r="D80" s="9">
        <v>72.27</v>
      </c>
      <c r="E80" s="9">
        <v>47.85</v>
      </c>
      <c r="F80" s="9">
        <v>28.65</v>
      </c>
      <c r="G80" s="9">
        <v>5.7</v>
      </c>
      <c r="H80" s="9">
        <v>5.92</v>
      </c>
      <c r="I80" s="9">
        <v>7.15</v>
      </c>
      <c r="J80" s="9">
        <v>1.84</v>
      </c>
      <c r="K80" s="10">
        <f>(($E80+$F80+$G80+$H80+$I80+$J80)-100)*(-1)</f>
        <v>2.8899999999999864</v>
      </c>
    </row>
    <row r="81" spans="1:11" ht="15" customHeight="1">
      <c r="B81" s="2" t="s">
        <v>60</v>
      </c>
      <c r="C81" s="8">
        <v>21534</v>
      </c>
      <c r="D81" s="9">
        <v>73.72</v>
      </c>
      <c r="E81" s="9">
        <v>42.98</v>
      </c>
      <c r="F81" s="9">
        <v>31.51</v>
      </c>
      <c r="G81" s="9">
        <v>6.58</v>
      </c>
      <c r="H81" s="9">
        <v>7.93</v>
      </c>
      <c r="I81" s="9">
        <v>6.64</v>
      </c>
      <c r="J81" s="9">
        <v>1.86</v>
      </c>
      <c r="K81" s="10">
        <f>(($E81+$F81+$G81+$H81+$I81+$J81)-100)*(-1)</f>
        <v>2.5</v>
      </c>
    </row>
    <row r="82" spans="1:11" ht="15" customHeight="1">
      <c r="C82" s="11"/>
      <c r="D82" s="9"/>
      <c r="E82" s="9"/>
      <c r="F82" s="9"/>
      <c r="G82" s="9"/>
      <c r="H82" s="9"/>
      <c r="I82" s="9"/>
      <c r="J82" s="10"/>
      <c r="K82" s="11"/>
    </row>
    <row r="83" spans="1:11" ht="15" customHeight="1">
      <c r="A83" s="1">
        <v>341</v>
      </c>
      <c r="B83" s="1" t="s">
        <v>61</v>
      </c>
      <c r="C83" s="8">
        <v>3341</v>
      </c>
      <c r="D83" s="9">
        <v>79.650000000000006</v>
      </c>
      <c r="E83" s="9">
        <v>22.24</v>
      </c>
      <c r="F83" s="9">
        <v>46.67</v>
      </c>
      <c r="G83" s="9">
        <v>10.74</v>
      </c>
      <c r="H83" s="9">
        <v>16.190000000000001</v>
      </c>
      <c r="I83" s="9">
        <v>2.27</v>
      </c>
      <c r="J83" s="10">
        <v>0.79</v>
      </c>
      <c r="K83" s="10">
        <f>(($E83+$F83+$G83+$H83+$I83+$J83)-100)*(-1)</f>
        <v>1.1000000000000085</v>
      </c>
    </row>
    <row r="84" spans="1:11" ht="15" customHeight="1">
      <c r="A84" s="1">
        <v>342</v>
      </c>
      <c r="B84" s="1" t="s">
        <v>62</v>
      </c>
      <c r="C84" s="8">
        <v>5330</v>
      </c>
      <c r="D84" s="9">
        <v>75.760000000000005</v>
      </c>
      <c r="E84" s="9">
        <v>25.26</v>
      </c>
      <c r="F84" s="9">
        <v>41.77</v>
      </c>
      <c r="G84" s="9">
        <v>14.73</v>
      </c>
      <c r="H84" s="9">
        <v>13.36</v>
      </c>
      <c r="I84" s="9">
        <v>2.2999999999999998</v>
      </c>
      <c r="J84" s="10">
        <v>0.93</v>
      </c>
      <c r="K84" s="10">
        <f>(($E84+$F84+$G84+$H84+$I84+$J84)-100)*(-1)</f>
        <v>1.6499999999999915</v>
      </c>
    </row>
    <row r="85" spans="1:11" ht="15" customHeight="1">
      <c r="A85" s="1">
        <v>343</v>
      </c>
      <c r="B85" s="1" t="s">
        <v>63</v>
      </c>
      <c r="C85" s="8">
        <v>8552</v>
      </c>
      <c r="D85" s="9">
        <v>79.64</v>
      </c>
      <c r="E85" s="9">
        <v>31.35</v>
      </c>
      <c r="F85" s="9">
        <v>38.56</v>
      </c>
      <c r="G85" s="9">
        <v>11.31</v>
      </c>
      <c r="H85" s="9">
        <v>13.12</v>
      </c>
      <c r="I85" s="9">
        <v>2.97</v>
      </c>
      <c r="J85" s="9">
        <v>1.01</v>
      </c>
      <c r="K85" s="10">
        <f>(($E85+$F85+$G85+$H85+$I85+$J85)-100)*(-1)</f>
        <v>1.6799999999999926</v>
      </c>
    </row>
    <row r="86" spans="1:11" ht="15" customHeight="1">
      <c r="B86" s="2" t="s">
        <v>64</v>
      </c>
      <c r="C86" s="8">
        <v>17223</v>
      </c>
      <c r="D86" s="9">
        <v>78.44</v>
      </c>
      <c r="E86" s="9">
        <v>27.74</v>
      </c>
      <c r="F86" s="9">
        <v>41.12</v>
      </c>
      <c r="G86" s="9">
        <v>12.22</v>
      </c>
      <c r="H86" s="9">
        <v>13.79</v>
      </c>
      <c r="I86" s="9">
        <v>2.63</v>
      </c>
      <c r="J86" s="10">
        <v>0.94</v>
      </c>
      <c r="K86" s="10">
        <f>(($E86+$F86+$G86+$H86+$I86+$J86)-100)*(-1)</f>
        <v>1.5600000000000023</v>
      </c>
    </row>
    <row r="87" spans="1:11" ht="15" customHeight="1">
      <c r="C87" s="8" t="s">
        <v>7</v>
      </c>
      <c r="D87" s="9"/>
      <c r="E87" s="9"/>
      <c r="F87" s="9"/>
      <c r="G87" s="9"/>
      <c r="H87" s="9"/>
      <c r="I87" s="9"/>
      <c r="J87" s="9"/>
      <c r="K87" s="11"/>
    </row>
    <row r="88" spans="1:11" ht="15" customHeight="1">
      <c r="A88">
        <v>351</v>
      </c>
      <c r="B88" s="3" t="s">
        <v>65</v>
      </c>
      <c r="C88" s="8">
        <v>3903</v>
      </c>
      <c r="D88" s="9">
        <v>82.42</v>
      </c>
      <c r="E88" s="9">
        <v>28.39</v>
      </c>
      <c r="F88" s="9">
        <v>44.41</v>
      </c>
      <c r="G88" s="9">
        <v>8.9600000000000009</v>
      </c>
      <c r="H88" s="9">
        <v>13.76</v>
      </c>
      <c r="I88" s="9">
        <v>2.6</v>
      </c>
      <c r="J88" s="9">
        <v>1.03</v>
      </c>
      <c r="K88" s="10">
        <f>(($E88+$F88+$G88+$H88+$I88+$J88)-100)*(-1)</f>
        <v>0.85000000000000853</v>
      </c>
    </row>
    <row r="89" spans="1:11" ht="15" customHeight="1">
      <c r="A89">
        <v>361</v>
      </c>
      <c r="B89" s="3" t="s">
        <v>66</v>
      </c>
      <c r="C89" s="8">
        <v>8734</v>
      </c>
      <c r="D89" s="9">
        <v>83.24</v>
      </c>
      <c r="E89" s="9">
        <v>17.2</v>
      </c>
      <c r="F89" s="9">
        <v>51.2</v>
      </c>
      <c r="G89" s="9">
        <v>7.62</v>
      </c>
      <c r="H89" s="9">
        <v>20.420000000000002</v>
      </c>
      <c r="I89" s="9">
        <v>1.92</v>
      </c>
      <c r="J89" s="10">
        <v>0.84</v>
      </c>
      <c r="K89" s="10">
        <f>(($E89+$F89+$G89+$H89+$I89+$J89)-100)*(-1)</f>
        <v>0.79999999999998295</v>
      </c>
    </row>
    <row r="90" spans="1:11" ht="15" customHeight="1">
      <c r="A90"/>
      <c r="B90"/>
      <c r="C90" s="8" t="s">
        <v>7</v>
      </c>
      <c r="D90" s="9"/>
      <c r="E90" s="9"/>
      <c r="F90" s="9"/>
      <c r="G90" s="9"/>
      <c r="H90" s="9"/>
      <c r="I90" s="9"/>
      <c r="J90" s="9"/>
      <c r="K90" s="11"/>
    </row>
    <row r="91" spans="1:11" ht="15" customHeight="1">
      <c r="A91" s="1">
        <v>371</v>
      </c>
      <c r="B91" s="1" t="s">
        <v>67</v>
      </c>
      <c r="C91" s="8">
        <v>2820</v>
      </c>
      <c r="D91" s="9">
        <v>77.45</v>
      </c>
      <c r="E91" s="9">
        <v>36.96</v>
      </c>
      <c r="F91" s="9">
        <v>34.9</v>
      </c>
      <c r="G91" s="9">
        <v>8.9600000000000009</v>
      </c>
      <c r="H91" s="9">
        <v>10.23</v>
      </c>
      <c r="I91" s="9">
        <v>5.68</v>
      </c>
      <c r="J91" s="9">
        <v>1.36</v>
      </c>
      <c r="K91" s="10">
        <f t="shared" ref="K91:K96" si="2">(($E91+$F91+$G91+$H91+$I91+$J91)-100)*(-1)</f>
        <v>1.9100000000000108</v>
      </c>
    </row>
    <row r="92" spans="1:11" ht="15" customHeight="1">
      <c r="A92" s="1">
        <v>372</v>
      </c>
      <c r="B92" s="1" t="s">
        <v>68</v>
      </c>
      <c r="C92" s="8">
        <v>9407</v>
      </c>
      <c r="D92" s="9">
        <v>73.75</v>
      </c>
      <c r="E92" s="9">
        <v>42</v>
      </c>
      <c r="F92" s="9">
        <v>30.62</v>
      </c>
      <c r="G92" s="9">
        <v>7.71</v>
      </c>
      <c r="H92" s="9">
        <v>9.2899999999999991</v>
      </c>
      <c r="I92" s="9">
        <v>6.51</v>
      </c>
      <c r="J92" s="9">
        <v>1.57</v>
      </c>
      <c r="K92" s="10">
        <f t="shared" si="2"/>
        <v>2.2999999999999972</v>
      </c>
    </row>
    <row r="93" spans="1:11" ht="15" customHeight="1">
      <c r="A93" s="1">
        <v>373</v>
      </c>
      <c r="B93" s="1" t="s">
        <v>69</v>
      </c>
      <c r="C93" s="8">
        <v>7476</v>
      </c>
      <c r="D93" s="9">
        <v>60.97</v>
      </c>
      <c r="E93" s="9">
        <v>43.28</v>
      </c>
      <c r="F93" s="9">
        <v>30.43</v>
      </c>
      <c r="G93" s="9">
        <v>6.52</v>
      </c>
      <c r="H93" s="9">
        <v>6.45</v>
      </c>
      <c r="I93" s="9">
        <v>8.58</v>
      </c>
      <c r="J93" s="9">
        <v>2.2400000000000002</v>
      </c>
      <c r="K93" s="10">
        <f t="shared" si="2"/>
        <v>2.5</v>
      </c>
    </row>
    <row r="94" spans="1:11" ht="15" customHeight="1">
      <c r="A94" s="1">
        <v>374</v>
      </c>
      <c r="B94" s="1" t="s">
        <v>70</v>
      </c>
      <c r="C94" s="8">
        <v>3585</v>
      </c>
      <c r="D94" s="9">
        <v>79.58</v>
      </c>
      <c r="E94" s="9">
        <v>36.25</v>
      </c>
      <c r="F94" s="9">
        <v>33.26</v>
      </c>
      <c r="G94" s="9">
        <v>10.27</v>
      </c>
      <c r="H94" s="9">
        <v>10.09</v>
      </c>
      <c r="I94" s="9">
        <v>6.36</v>
      </c>
      <c r="J94" s="9">
        <v>1.85</v>
      </c>
      <c r="K94" s="10">
        <f t="shared" si="2"/>
        <v>1.9200000000000159</v>
      </c>
    </row>
    <row r="95" spans="1:11" ht="15" customHeight="1">
      <c r="A95" s="1">
        <v>375</v>
      </c>
      <c r="B95" s="1" t="s">
        <v>71</v>
      </c>
      <c r="C95" s="8">
        <v>4741</v>
      </c>
      <c r="D95" s="9">
        <v>69.5</v>
      </c>
      <c r="E95" s="9">
        <v>48.32</v>
      </c>
      <c r="F95" s="9">
        <v>27.85</v>
      </c>
      <c r="G95" s="9">
        <v>6.96</v>
      </c>
      <c r="H95" s="9">
        <v>6.16</v>
      </c>
      <c r="I95" s="9">
        <v>7.39</v>
      </c>
      <c r="J95" s="9">
        <v>1.39</v>
      </c>
      <c r="K95" s="10">
        <f t="shared" si="2"/>
        <v>1.9300000000000068</v>
      </c>
    </row>
    <row r="96" spans="1:11" ht="15" customHeight="1">
      <c r="B96" s="2" t="s">
        <v>72</v>
      </c>
      <c r="C96" s="8">
        <v>28029</v>
      </c>
      <c r="D96" s="9">
        <v>70.739999999999995</v>
      </c>
      <c r="E96" s="9">
        <v>41.97</v>
      </c>
      <c r="F96" s="9">
        <v>30.96</v>
      </c>
      <c r="G96" s="9">
        <v>7.82</v>
      </c>
      <c r="H96" s="9">
        <v>8.34</v>
      </c>
      <c r="I96" s="9">
        <v>7.02</v>
      </c>
      <c r="J96" s="9">
        <v>1.71</v>
      </c>
      <c r="K96" s="10">
        <f t="shared" si="2"/>
        <v>2.1800000000000068</v>
      </c>
    </row>
    <row r="97" spans="1:11" ht="15" customHeight="1">
      <c r="C97" s="8" t="s">
        <v>7</v>
      </c>
      <c r="D97" s="9"/>
      <c r="E97" s="9"/>
      <c r="F97" s="9"/>
      <c r="G97" s="9"/>
      <c r="H97" s="9"/>
      <c r="I97" s="9"/>
      <c r="J97" s="9"/>
      <c r="K97" s="11"/>
    </row>
    <row r="98" spans="1:11" ht="15" customHeight="1">
      <c r="A98" s="1">
        <v>381</v>
      </c>
      <c r="B98" s="1" t="s">
        <v>73</v>
      </c>
      <c r="C98" s="8">
        <v>7854</v>
      </c>
      <c r="D98" s="9">
        <v>76.39</v>
      </c>
      <c r="E98" s="9">
        <v>39.36</v>
      </c>
      <c r="F98" s="9">
        <v>32.51</v>
      </c>
      <c r="G98" s="9">
        <v>9.07</v>
      </c>
      <c r="H98" s="9">
        <v>9.41</v>
      </c>
      <c r="I98" s="9">
        <v>6.01</v>
      </c>
      <c r="J98" s="9">
        <v>1.65</v>
      </c>
      <c r="K98" s="9">
        <f t="shared" ref="K98:K103" si="3">(($E98+$F98+$G98+$H98+$I98+$J98)-100)*(-1)</f>
        <v>1.9899999999999949</v>
      </c>
    </row>
    <row r="99" spans="1:11" ht="15" customHeight="1">
      <c r="A99" s="1">
        <v>382</v>
      </c>
      <c r="B99" s="1" t="s">
        <v>74</v>
      </c>
      <c r="C99" s="8">
        <v>8204</v>
      </c>
      <c r="D99" s="9">
        <v>72.510000000000005</v>
      </c>
      <c r="E99" s="9">
        <v>37.17</v>
      </c>
      <c r="F99" s="9">
        <v>32.35</v>
      </c>
      <c r="G99" s="9">
        <v>14.1</v>
      </c>
      <c r="H99" s="9">
        <v>8.1999999999999993</v>
      </c>
      <c r="I99" s="9">
        <v>4.8499999999999996</v>
      </c>
      <c r="J99" s="9">
        <v>1.28</v>
      </c>
      <c r="K99" s="10">
        <f t="shared" si="3"/>
        <v>2.0499999999999972</v>
      </c>
    </row>
    <row r="100" spans="1:11" ht="15" customHeight="1">
      <c r="A100" s="1">
        <v>383</v>
      </c>
      <c r="B100" s="1" t="s">
        <v>75</v>
      </c>
      <c r="C100" s="8">
        <v>6702</v>
      </c>
      <c r="D100" s="9">
        <v>70.05</v>
      </c>
      <c r="E100" s="9">
        <v>41.56</v>
      </c>
      <c r="F100" s="9">
        <v>30.49</v>
      </c>
      <c r="G100" s="9">
        <v>10.77</v>
      </c>
      <c r="H100" s="9">
        <v>7.39</v>
      </c>
      <c r="I100" s="9">
        <v>5.73</v>
      </c>
      <c r="J100" s="9">
        <v>2.15</v>
      </c>
      <c r="K100" s="10">
        <f t="shared" si="3"/>
        <v>1.9099999999999966</v>
      </c>
    </row>
    <row r="101" spans="1:11" ht="15" customHeight="1">
      <c r="A101" s="1">
        <v>384</v>
      </c>
      <c r="B101" s="1" t="s">
        <v>76</v>
      </c>
      <c r="C101" s="8">
        <v>4767</v>
      </c>
      <c r="D101" s="9">
        <v>79.95</v>
      </c>
      <c r="E101" s="9">
        <v>42.21</v>
      </c>
      <c r="F101" s="9">
        <v>31.95</v>
      </c>
      <c r="G101" s="9">
        <v>8.9700000000000006</v>
      </c>
      <c r="H101" s="9">
        <v>9.9700000000000006</v>
      </c>
      <c r="I101" s="9">
        <v>3.91</v>
      </c>
      <c r="J101" s="9">
        <v>1.43</v>
      </c>
      <c r="K101" s="10">
        <f t="shared" si="3"/>
        <v>1.5600000000000023</v>
      </c>
    </row>
    <row r="102" spans="1:11" ht="15" customHeight="1">
      <c r="A102" s="1">
        <v>385</v>
      </c>
      <c r="B102" s="1" t="s">
        <v>77</v>
      </c>
      <c r="C102" s="8">
        <v>4095</v>
      </c>
      <c r="D102" s="9">
        <v>72.5</v>
      </c>
      <c r="E102" s="9">
        <v>41.84</v>
      </c>
      <c r="F102" s="9">
        <v>32.270000000000003</v>
      </c>
      <c r="G102" s="9">
        <v>8.01</v>
      </c>
      <c r="H102" s="9">
        <v>8.2100000000000009</v>
      </c>
      <c r="I102" s="9">
        <v>6.13</v>
      </c>
      <c r="J102" s="9">
        <v>2.21</v>
      </c>
      <c r="K102" s="10">
        <f t="shared" si="3"/>
        <v>1.3299999999999983</v>
      </c>
    </row>
    <row r="103" spans="1:11" ht="15" customHeight="1">
      <c r="B103" s="2" t="s">
        <v>78</v>
      </c>
      <c r="C103" s="8">
        <v>31622</v>
      </c>
      <c r="D103" s="9">
        <v>74.08</v>
      </c>
      <c r="E103" s="9">
        <v>40.03</v>
      </c>
      <c r="F103" s="9">
        <v>31.94</v>
      </c>
      <c r="G103" s="9">
        <v>10.53</v>
      </c>
      <c r="H103" s="9">
        <v>8.64</v>
      </c>
      <c r="I103" s="9">
        <v>5.33</v>
      </c>
      <c r="J103" s="9">
        <v>1.69</v>
      </c>
      <c r="K103" s="10">
        <f t="shared" si="3"/>
        <v>1.8400000000000034</v>
      </c>
    </row>
    <row r="104" spans="1:11" ht="15" customHeight="1">
      <c r="C104" s="8" t="s">
        <v>7</v>
      </c>
      <c r="D104" s="9"/>
      <c r="E104" s="9"/>
      <c r="F104" s="9"/>
      <c r="G104" s="9"/>
      <c r="H104" s="9"/>
      <c r="I104" s="9"/>
      <c r="J104" s="9"/>
      <c r="K104" s="11"/>
    </row>
    <row r="105" spans="1:11" ht="15" customHeight="1">
      <c r="B105" s="2" t="s">
        <v>79</v>
      </c>
      <c r="C105" s="8">
        <v>166822</v>
      </c>
      <c r="D105" s="9">
        <v>75.540000000000006</v>
      </c>
      <c r="E105" s="9">
        <v>32.31</v>
      </c>
      <c r="F105" s="9">
        <v>35.65</v>
      </c>
      <c r="G105" s="9">
        <v>13.13</v>
      </c>
      <c r="H105" s="9">
        <v>11.56</v>
      </c>
      <c r="I105" s="9">
        <v>4.2699999999999996</v>
      </c>
      <c r="J105" s="9">
        <v>1.3</v>
      </c>
      <c r="K105" s="10">
        <f>(($E105+$F105+$G105+$H105+$I105+$J105)-100)*(-1)</f>
        <v>1.7800000000000011</v>
      </c>
    </row>
    <row r="106" spans="1:11" ht="15" customHeight="1">
      <c r="C106" s="8" t="s">
        <v>7</v>
      </c>
      <c r="D106" s="9"/>
      <c r="E106" s="9"/>
      <c r="F106" s="9"/>
      <c r="G106" s="9"/>
      <c r="H106" s="9"/>
      <c r="I106" s="9"/>
      <c r="J106" s="9"/>
      <c r="K106" s="11"/>
    </row>
    <row r="107" spans="1:11" ht="15" customHeight="1">
      <c r="A107" s="1">
        <v>411</v>
      </c>
      <c r="B107" s="1" t="s">
        <v>80</v>
      </c>
      <c r="C107" s="8">
        <v>346</v>
      </c>
      <c r="D107" s="9">
        <v>81.790000000000006</v>
      </c>
      <c r="E107" s="9">
        <v>17.440000000000001</v>
      </c>
      <c r="F107" s="9">
        <v>46.62</v>
      </c>
      <c r="G107" s="9">
        <v>8.19</v>
      </c>
      <c r="H107" s="9">
        <v>23.84</v>
      </c>
      <c r="I107" s="9">
        <v>2.4900000000000002</v>
      </c>
      <c r="J107" s="10">
        <v>0.71</v>
      </c>
      <c r="K107" s="10">
        <f>(($E107+$F107+$G107+$H107+$I107+$J107)-100)*(-1)</f>
        <v>0.71000000000000796</v>
      </c>
    </row>
    <row r="108" spans="1:11" ht="15" customHeight="1">
      <c r="C108" s="8" t="s">
        <v>7</v>
      </c>
      <c r="D108" s="9"/>
      <c r="E108" s="9"/>
      <c r="F108" s="9"/>
      <c r="G108" s="9"/>
      <c r="H108" s="9"/>
      <c r="I108" s="9"/>
      <c r="J108" s="9"/>
      <c r="K108" s="11"/>
    </row>
    <row r="109" spans="1:11" ht="15" customHeight="1">
      <c r="A109" s="1">
        <v>421</v>
      </c>
      <c r="B109" s="1" t="s">
        <v>81</v>
      </c>
      <c r="C109" s="8">
        <v>5590</v>
      </c>
      <c r="D109" s="9">
        <v>71.319999999999993</v>
      </c>
      <c r="E109" s="9">
        <v>43.26</v>
      </c>
      <c r="F109" s="9">
        <v>23.72</v>
      </c>
      <c r="G109" s="9">
        <v>16.32</v>
      </c>
      <c r="H109" s="9">
        <v>7.43</v>
      </c>
      <c r="I109" s="9">
        <v>5.25</v>
      </c>
      <c r="J109" s="9">
        <v>1.45</v>
      </c>
      <c r="K109" s="10">
        <f>(($E109+$F109+$G109+$H109+$I109+$J109)-100)*(-1)</f>
        <v>2.5700000000000074</v>
      </c>
    </row>
    <row r="110" spans="1:11" ht="15" customHeight="1">
      <c r="A110" s="1">
        <v>422</v>
      </c>
      <c r="B110" s="1" t="s">
        <v>82</v>
      </c>
      <c r="C110" s="8">
        <v>5554</v>
      </c>
      <c r="D110" s="9">
        <v>72.69</v>
      </c>
      <c r="E110" s="9">
        <v>42.26</v>
      </c>
      <c r="F110" s="9">
        <v>24.34</v>
      </c>
      <c r="G110" s="9">
        <v>17.399999999999999</v>
      </c>
      <c r="H110" s="9">
        <v>7.32</v>
      </c>
      <c r="I110" s="9">
        <v>4.32</v>
      </c>
      <c r="J110" s="9">
        <v>1.72</v>
      </c>
      <c r="K110" s="10">
        <f>(($E110+$F110+$G110+$H110+$I110+$J110)-100)*(-1)</f>
        <v>2.6400000000000148</v>
      </c>
    </row>
    <row r="111" spans="1:11" ht="15" customHeight="1">
      <c r="A111" s="1">
        <v>423</v>
      </c>
      <c r="B111" s="1" t="s">
        <v>83</v>
      </c>
      <c r="C111" s="8">
        <v>8689</v>
      </c>
      <c r="D111" s="9">
        <v>79.17</v>
      </c>
      <c r="E111" s="9">
        <v>36.79</v>
      </c>
      <c r="F111" s="9">
        <v>32.86</v>
      </c>
      <c r="G111" s="9">
        <v>12.47</v>
      </c>
      <c r="H111" s="9">
        <v>10.58</v>
      </c>
      <c r="I111" s="9">
        <v>3.48</v>
      </c>
      <c r="J111" s="9">
        <v>1.6</v>
      </c>
      <c r="K111" s="10">
        <f>(($E111+$F111+$G111+$H111+$I111+$J111)-100)*(-1)</f>
        <v>2.2199999999999989</v>
      </c>
    </row>
    <row r="112" spans="1:11" ht="15" customHeight="1">
      <c r="A112" s="1">
        <v>424</v>
      </c>
      <c r="B112" s="1" t="s">
        <v>84</v>
      </c>
      <c r="C112" s="8">
        <v>581</v>
      </c>
      <c r="D112" s="9">
        <v>72.98</v>
      </c>
      <c r="E112" s="9">
        <v>42.2</v>
      </c>
      <c r="F112" s="9">
        <v>34.880000000000003</v>
      </c>
      <c r="G112" s="9">
        <v>7.32</v>
      </c>
      <c r="H112" s="9">
        <v>4.1500000000000004</v>
      </c>
      <c r="I112" s="9">
        <v>7.56</v>
      </c>
      <c r="J112" s="9">
        <v>1.95</v>
      </c>
      <c r="K112" s="10">
        <f>(($E112+$F112+$G112+$H112+$I112+$J112)-100)*(-1)</f>
        <v>1.9399999999999835</v>
      </c>
    </row>
    <row r="113" spans="1:11" ht="15" customHeight="1">
      <c r="B113" s="2" t="s">
        <v>85</v>
      </c>
      <c r="C113" s="8">
        <v>20414</v>
      </c>
      <c r="D113" s="9">
        <v>75.08</v>
      </c>
      <c r="E113" s="9">
        <v>40.06</v>
      </c>
      <c r="F113" s="9">
        <v>28.29</v>
      </c>
      <c r="G113" s="9">
        <v>14.63</v>
      </c>
      <c r="H113" s="9">
        <v>8.73</v>
      </c>
      <c r="I113" s="9">
        <v>4.2699999999999996</v>
      </c>
      <c r="J113" s="9">
        <v>1.6</v>
      </c>
      <c r="K113" s="10">
        <f>(($E113+$F113+$G113+$H113+$I113+$J113)-100)*(-1)</f>
        <v>2.4200000000000159</v>
      </c>
    </row>
    <row r="114" spans="1:11" ht="15" customHeight="1">
      <c r="C114" s="8" t="s">
        <v>7</v>
      </c>
      <c r="D114" s="9"/>
      <c r="E114" s="9"/>
      <c r="F114" s="9"/>
      <c r="G114" s="9"/>
      <c r="H114" s="9"/>
      <c r="I114" s="9"/>
      <c r="J114" s="9"/>
      <c r="K114" s="11"/>
    </row>
    <row r="115" spans="1:11" ht="15" customHeight="1">
      <c r="A115" s="1">
        <v>431</v>
      </c>
      <c r="B115" s="1" t="s">
        <v>86</v>
      </c>
      <c r="C115" s="8">
        <v>2629</v>
      </c>
      <c r="D115" s="9">
        <v>73.64</v>
      </c>
      <c r="E115" s="9">
        <v>44.82</v>
      </c>
      <c r="F115" s="9">
        <v>28.82</v>
      </c>
      <c r="G115" s="9">
        <v>8.0500000000000007</v>
      </c>
      <c r="H115" s="9">
        <v>7.17</v>
      </c>
      <c r="I115" s="9">
        <v>5.7</v>
      </c>
      <c r="J115" s="9">
        <v>2.35</v>
      </c>
      <c r="K115" s="10">
        <f t="shared" ref="K115:K121" si="4">(($E115+$F115+$G115+$H115+$I115+$J115)-100)*(-1)</f>
        <v>3.0900000000000034</v>
      </c>
    </row>
    <row r="116" spans="1:11" ht="15" customHeight="1">
      <c r="A116" s="1">
        <v>432</v>
      </c>
      <c r="B116" s="1" t="s">
        <v>87</v>
      </c>
      <c r="C116" s="8">
        <v>3830</v>
      </c>
      <c r="D116" s="9">
        <v>71.64</v>
      </c>
      <c r="E116" s="9">
        <v>47.34</v>
      </c>
      <c r="F116" s="9">
        <v>26.83</v>
      </c>
      <c r="G116" s="9">
        <v>10.46</v>
      </c>
      <c r="H116" s="9">
        <v>6.25</v>
      </c>
      <c r="I116" s="9">
        <v>5.0599999999999996</v>
      </c>
      <c r="J116" s="9">
        <v>2.0299999999999998</v>
      </c>
      <c r="K116" s="9">
        <f t="shared" si="4"/>
        <v>2.0300000000000011</v>
      </c>
    </row>
    <row r="117" spans="1:11" ht="15" customHeight="1">
      <c r="A117" s="1">
        <v>433</v>
      </c>
      <c r="B117" s="1" t="s">
        <v>88</v>
      </c>
      <c r="C117" s="8">
        <v>5235</v>
      </c>
      <c r="D117" s="9">
        <v>70.790000000000006</v>
      </c>
      <c r="E117" s="9">
        <v>44.05</v>
      </c>
      <c r="F117" s="9">
        <v>23.82</v>
      </c>
      <c r="G117" s="9">
        <v>14.02</v>
      </c>
      <c r="H117" s="9">
        <v>7.23</v>
      </c>
      <c r="I117" s="9">
        <v>6.38</v>
      </c>
      <c r="J117" s="9">
        <v>2.41</v>
      </c>
      <c r="K117" s="10">
        <f t="shared" si="4"/>
        <v>2.0900000000000034</v>
      </c>
    </row>
    <row r="118" spans="1:11" ht="15" customHeight="1">
      <c r="A118" s="1">
        <v>434</v>
      </c>
      <c r="B118" s="1" t="s">
        <v>89</v>
      </c>
      <c r="C118" s="8">
        <v>6157</v>
      </c>
      <c r="D118" s="9">
        <v>70.599999999999994</v>
      </c>
      <c r="E118" s="9">
        <v>41.27</v>
      </c>
      <c r="F118" s="9">
        <v>29.19</v>
      </c>
      <c r="G118" s="9">
        <v>13.38</v>
      </c>
      <c r="H118" s="9">
        <v>6.49</v>
      </c>
      <c r="I118" s="9">
        <v>5.66</v>
      </c>
      <c r="J118" s="9">
        <v>1.58</v>
      </c>
      <c r="K118" s="10">
        <f t="shared" si="4"/>
        <v>2.4300000000000068</v>
      </c>
    </row>
    <row r="119" spans="1:11" ht="15" customHeight="1">
      <c r="A119" s="1">
        <v>435</v>
      </c>
      <c r="B119" s="1" t="s">
        <v>90</v>
      </c>
      <c r="C119" s="8">
        <v>4237</v>
      </c>
      <c r="D119" s="9">
        <v>69.86</v>
      </c>
      <c r="E119" s="9">
        <v>48.21</v>
      </c>
      <c r="F119" s="9">
        <v>23.16</v>
      </c>
      <c r="G119" s="9">
        <v>11.04</v>
      </c>
      <c r="H119" s="9">
        <v>5.94</v>
      </c>
      <c r="I119" s="9">
        <v>6.32</v>
      </c>
      <c r="J119" s="9">
        <v>2.56</v>
      </c>
      <c r="K119" s="10">
        <f t="shared" si="4"/>
        <v>2.7700000000000102</v>
      </c>
    </row>
    <row r="120" spans="1:11" ht="15" customHeight="1">
      <c r="A120" s="1">
        <v>436</v>
      </c>
      <c r="B120" s="1" t="s">
        <v>91</v>
      </c>
      <c r="C120" s="8">
        <v>1117</v>
      </c>
      <c r="D120" s="9">
        <v>66.61</v>
      </c>
      <c r="E120" s="9">
        <v>46.54</v>
      </c>
      <c r="F120" s="9">
        <v>24.24</v>
      </c>
      <c r="G120" s="9">
        <v>6.09</v>
      </c>
      <c r="H120" s="9">
        <v>8.73</v>
      </c>
      <c r="I120" s="9">
        <v>9.2799999999999994</v>
      </c>
      <c r="J120" s="9">
        <v>1.66</v>
      </c>
      <c r="K120" s="10">
        <f t="shared" si="4"/>
        <v>3.4599999999999937</v>
      </c>
    </row>
    <row r="121" spans="1:11" ht="15" customHeight="1">
      <c r="B121" s="2" t="s">
        <v>92</v>
      </c>
      <c r="C121" s="8">
        <v>23283</v>
      </c>
      <c r="D121" s="12">
        <v>70.81</v>
      </c>
      <c r="E121" s="12">
        <v>44.77</v>
      </c>
      <c r="F121" s="12">
        <v>26.24</v>
      </c>
      <c r="G121" s="9">
        <v>11.66</v>
      </c>
      <c r="H121" s="9">
        <v>6.71</v>
      </c>
      <c r="I121" s="9">
        <v>6.01</v>
      </c>
      <c r="J121" s="9">
        <v>2.11</v>
      </c>
      <c r="K121" s="10">
        <f t="shared" si="4"/>
        <v>2.5</v>
      </c>
    </row>
    <row r="122" spans="1:11" ht="15" customHeight="1">
      <c r="C122" s="8" t="s">
        <v>7</v>
      </c>
      <c r="D122" s="13"/>
      <c r="E122" s="13"/>
      <c r="F122" s="13"/>
      <c r="G122" s="9"/>
      <c r="H122" s="9"/>
      <c r="I122" s="9"/>
      <c r="J122" s="9"/>
      <c r="K122" s="11"/>
    </row>
    <row r="123" spans="1:11" ht="15" customHeight="1">
      <c r="A123" s="1">
        <v>441</v>
      </c>
      <c r="B123" s="1" t="s">
        <v>93</v>
      </c>
      <c r="C123" s="8">
        <v>5760</v>
      </c>
      <c r="D123" s="12">
        <v>67.989999999999995</v>
      </c>
      <c r="E123" s="12">
        <v>49.65</v>
      </c>
      <c r="F123" s="12">
        <v>22.22</v>
      </c>
      <c r="G123" s="9">
        <v>9.39</v>
      </c>
      <c r="H123" s="9">
        <v>6.3</v>
      </c>
      <c r="I123" s="9">
        <v>7.34</v>
      </c>
      <c r="J123" s="9">
        <v>2.37</v>
      </c>
      <c r="K123" s="10">
        <f t="shared" ref="K123:K128" si="5">(($E123+$F123+$G123+$H123+$I123+$J123)-100)*(-1)</f>
        <v>2.7299999999999898</v>
      </c>
    </row>
    <row r="124" spans="1:11" ht="15" customHeight="1">
      <c r="A124" s="1">
        <v>442</v>
      </c>
      <c r="B124" s="1" t="s">
        <v>94</v>
      </c>
      <c r="C124" s="8">
        <v>6775</v>
      </c>
      <c r="D124" s="12">
        <v>67.88</v>
      </c>
      <c r="E124" s="12">
        <v>51.6</v>
      </c>
      <c r="F124" s="12">
        <v>22.9</v>
      </c>
      <c r="G124" s="9">
        <v>6.69</v>
      </c>
      <c r="H124" s="9">
        <v>5.88</v>
      </c>
      <c r="I124" s="9">
        <v>7.99</v>
      </c>
      <c r="J124" s="9">
        <v>2.5099999999999998</v>
      </c>
      <c r="K124" s="10">
        <f t="shared" si="5"/>
        <v>2.4300000000000068</v>
      </c>
    </row>
    <row r="125" spans="1:11" ht="15" customHeight="1">
      <c r="A125" s="1">
        <v>443</v>
      </c>
      <c r="B125" s="1" t="s">
        <v>95</v>
      </c>
      <c r="C125" s="8">
        <v>6485</v>
      </c>
      <c r="D125" s="9">
        <v>66.06</v>
      </c>
      <c r="E125" s="9">
        <v>52.04</v>
      </c>
      <c r="F125" s="9">
        <v>21.8</v>
      </c>
      <c r="G125" s="9">
        <v>7.26</v>
      </c>
      <c r="H125" s="9">
        <v>5.31</v>
      </c>
      <c r="I125" s="9">
        <v>8.4</v>
      </c>
      <c r="J125" s="9">
        <v>2.79</v>
      </c>
      <c r="K125" s="10">
        <f t="shared" si="5"/>
        <v>2.3999999999999773</v>
      </c>
    </row>
    <row r="126" spans="1:11" ht="15" customHeight="1">
      <c r="A126" s="1">
        <v>444</v>
      </c>
      <c r="B126" s="1" t="s">
        <v>96</v>
      </c>
      <c r="C126" s="8">
        <v>76</v>
      </c>
      <c r="D126" s="9">
        <v>65.28</v>
      </c>
      <c r="E126" s="9">
        <v>36.17</v>
      </c>
      <c r="F126" s="9">
        <v>17.02</v>
      </c>
      <c r="G126" s="9">
        <v>4.26</v>
      </c>
      <c r="H126" s="9">
        <v>6.38</v>
      </c>
      <c r="I126" s="9">
        <v>29.79</v>
      </c>
      <c r="J126" s="9">
        <v>4.26</v>
      </c>
      <c r="K126" s="10">
        <f t="shared" si="5"/>
        <v>2.1199999999999903</v>
      </c>
    </row>
    <row r="127" spans="1:11" ht="15" customHeight="1">
      <c r="A127" s="1">
        <v>445</v>
      </c>
      <c r="B127" s="15" t="s">
        <v>97</v>
      </c>
      <c r="C127" s="8">
        <v>6437</v>
      </c>
      <c r="D127" s="9">
        <v>68.849999999999994</v>
      </c>
      <c r="E127" s="9">
        <v>47.88</v>
      </c>
      <c r="F127" s="9">
        <v>24.26</v>
      </c>
      <c r="G127" s="9">
        <v>8.4600000000000009</v>
      </c>
      <c r="H127" s="9">
        <v>5.72</v>
      </c>
      <c r="I127" s="9">
        <v>8.83</v>
      </c>
      <c r="J127" s="9">
        <v>2.33</v>
      </c>
      <c r="K127" s="10">
        <f t="shared" si="5"/>
        <v>2.5200000000000102</v>
      </c>
    </row>
    <row r="128" spans="1:11" ht="15" customHeight="1">
      <c r="B128" s="16" t="s">
        <v>98</v>
      </c>
      <c r="C128" s="8">
        <v>25697</v>
      </c>
      <c r="D128" s="9">
        <v>67.5</v>
      </c>
      <c r="E128" s="9">
        <v>50.23</v>
      </c>
      <c r="F128" s="9">
        <v>22.84</v>
      </c>
      <c r="G128" s="9">
        <v>7.87</v>
      </c>
      <c r="H128" s="9">
        <v>5.79</v>
      </c>
      <c r="I128" s="9">
        <v>8.25</v>
      </c>
      <c r="J128" s="9">
        <v>2.52</v>
      </c>
      <c r="K128" s="10">
        <f t="shared" si="5"/>
        <v>2.5</v>
      </c>
    </row>
    <row r="129" spans="1:11" ht="15" customHeight="1">
      <c r="C129" s="8" t="s">
        <v>7</v>
      </c>
      <c r="D129" s="9"/>
      <c r="E129" s="9"/>
      <c r="F129" s="9"/>
      <c r="G129" s="9"/>
      <c r="H129" s="9"/>
      <c r="I129" s="9"/>
      <c r="J129" s="9"/>
      <c r="K129" s="11"/>
    </row>
    <row r="130" spans="1:11" ht="15" customHeight="1">
      <c r="B130" s="16" t="s">
        <v>99</v>
      </c>
      <c r="C130" s="8">
        <v>69740</v>
      </c>
      <c r="D130" s="9">
        <v>70.89</v>
      </c>
      <c r="E130" s="9">
        <v>45.06</v>
      </c>
      <c r="F130" s="9">
        <v>25.81</v>
      </c>
      <c r="G130" s="9">
        <v>11.24</v>
      </c>
      <c r="H130" s="9">
        <v>7.11</v>
      </c>
      <c r="I130" s="9">
        <v>6.23</v>
      </c>
      <c r="J130" s="9">
        <v>2.09</v>
      </c>
      <c r="K130" s="10">
        <f>(($E130+$F130+$G130+$H130+$I130+$J130)-100)*(-1)</f>
        <v>2.4599999999999937</v>
      </c>
    </row>
    <row r="131" spans="1:11" ht="15" customHeight="1">
      <c r="C131" s="8" t="s">
        <v>7</v>
      </c>
      <c r="D131" s="9"/>
      <c r="E131" s="9"/>
      <c r="F131" s="9"/>
      <c r="G131" s="9"/>
      <c r="H131" s="9"/>
      <c r="I131" s="9"/>
      <c r="J131" s="9"/>
      <c r="K131" s="11"/>
    </row>
    <row r="132" spans="1:11" ht="15" customHeight="1">
      <c r="A132" s="1">
        <v>511</v>
      </c>
      <c r="B132" s="1" t="s">
        <v>100</v>
      </c>
      <c r="C132" s="8">
        <v>5076</v>
      </c>
      <c r="D132" s="9">
        <v>73.56</v>
      </c>
      <c r="E132" s="9">
        <v>41.5</v>
      </c>
      <c r="F132" s="9">
        <v>27.81</v>
      </c>
      <c r="G132" s="9">
        <v>9.98</v>
      </c>
      <c r="H132" s="9">
        <v>9.76</v>
      </c>
      <c r="I132" s="9">
        <v>6.37</v>
      </c>
      <c r="J132" s="9">
        <v>2.33</v>
      </c>
      <c r="K132" s="10">
        <f t="shared" ref="K132:K137" si="6">(($E132+$F132+$G132+$H132+$I132+$J132)-100)*(-1)</f>
        <v>2.2499999999999858</v>
      </c>
    </row>
    <row r="133" spans="1:11" ht="15" customHeight="1">
      <c r="A133" s="1">
        <v>512</v>
      </c>
      <c r="B133" s="1" t="s">
        <v>101</v>
      </c>
      <c r="C133" s="8">
        <v>292</v>
      </c>
      <c r="D133" s="9">
        <v>77.44</v>
      </c>
      <c r="E133" s="9">
        <v>34.65</v>
      </c>
      <c r="F133" s="9">
        <v>29.7</v>
      </c>
      <c r="G133" s="9">
        <v>14.36</v>
      </c>
      <c r="H133" s="9">
        <v>10.4</v>
      </c>
      <c r="I133" s="9">
        <v>6.44</v>
      </c>
      <c r="J133" s="9">
        <v>1.98</v>
      </c>
      <c r="K133" s="10">
        <f t="shared" si="6"/>
        <v>2.4699999999999989</v>
      </c>
    </row>
    <row r="134" spans="1:11" ht="15" customHeight="1">
      <c r="A134" s="1">
        <v>513</v>
      </c>
      <c r="B134" s="1" t="s">
        <v>102</v>
      </c>
      <c r="C134" s="8">
        <v>8547</v>
      </c>
      <c r="D134" s="9">
        <v>71.78</v>
      </c>
      <c r="E134" s="9">
        <v>46.62</v>
      </c>
      <c r="F134" s="9">
        <v>27.52</v>
      </c>
      <c r="G134" s="9">
        <v>6.8</v>
      </c>
      <c r="H134" s="9">
        <v>8.4</v>
      </c>
      <c r="I134" s="9">
        <v>6.81</v>
      </c>
      <c r="J134" s="9">
        <v>1.78</v>
      </c>
      <c r="K134" s="10">
        <f t="shared" si="6"/>
        <v>2.0699999999999932</v>
      </c>
    </row>
    <row r="135" spans="1:11" ht="15" customHeight="1">
      <c r="A135" s="1">
        <v>514</v>
      </c>
      <c r="B135" s="1" t="s">
        <v>103</v>
      </c>
      <c r="C135" s="8">
        <v>7714</v>
      </c>
      <c r="D135" s="9">
        <v>76.5</v>
      </c>
      <c r="E135" s="9">
        <v>37.549999999999997</v>
      </c>
      <c r="F135" s="9">
        <v>31.1</v>
      </c>
      <c r="G135" s="9">
        <v>10.35</v>
      </c>
      <c r="H135" s="9">
        <v>13.17</v>
      </c>
      <c r="I135" s="9">
        <v>4.99</v>
      </c>
      <c r="J135" s="9">
        <v>1.23</v>
      </c>
      <c r="K135" s="10">
        <f t="shared" si="6"/>
        <v>1.6099999999999994</v>
      </c>
    </row>
    <row r="136" spans="1:11" ht="15" customHeight="1">
      <c r="A136" s="1">
        <v>515</v>
      </c>
      <c r="B136" s="1" t="s">
        <v>104</v>
      </c>
      <c r="C136" s="8">
        <v>4720</v>
      </c>
      <c r="D136" s="9">
        <v>79.64</v>
      </c>
      <c r="E136" s="9">
        <v>30.16</v>
      </c>
      <c r="F136" s="9">
        <v>38.979999999999997</v>
      </c>
      <c r="G136" s="9">
        <v>10.28</v>
      </c>
      <c r="H136" s="9">
        <v>12.65</v>
      </c>
      <c r="I136" s="9">
        <v>5.29</v>
      </c>
      <c r="J136" s="9">
        <v>1.05</v>
      </c>
      <c r="K136" s="10">
        <f t="shared" si="6"/>
        <v>1.5899999999999892</v>
      </c>
    </row>
    <row r="137" spans="1:11" ht="15" customHeight="1">
      <c r="B137" s="2" t="s">
        <v>105</v>
      </c>
      <c r="C137" s="8">
        <v>26349</v>
      </c>
      <c r="D137" s="9">
        <v>74.900000000000006</v>
      </c>
      <c r="E137" s="9">
        <v>39.68</v>
      </c>
      <c r="F137" s="9">
        <v>30.85</v>
      </c>
      <c r="G137" s="9">
        <v>9.1999999999999993</v>
      </c>
      <c r="H137" s="9">
        <v>10.91</v>
      </c>
      <c r="I137" s="9">
        <v>5.89</v>
      </c>
      <c r="J137" s="9">
        <v>1.59</v>
      </c>
      <c r="K137" s="10">
        <f t="shared" si="6"/>
        <v>1.8799999999999955</v>
      </c>
    </row>
    <row r="138" spans="1:11" ht="15" customHeight="1">
      <c r="C138" s="8" t="s">
        <v>7</v>
      </c>
      <c r="D138" s="9"/>
      <c r="E138" s="9"/>
      <c r="F138" s="9"/>
      <c r="G138" s="9"/>
      <c r="H138" s="9"/>
      <c r="I138" s="9"/>
      <c r="J138" s="9"/>
      <c r="K138" s="11"/>
    </row>
    <row r="139" spans="1:11" ht="15" customHeight="1">
      <c r="A139" s="1">
        <v>521</v>
      </c>
      <c r="B139" s="1" t="s">
        <v>106</v>
      </c>
      <c r="C139" s="8">
        <v>5065</v>
      </c>
      <c r="D139" s="9">
        <v>72.34</v>
      </c>
      <c r="E139" s="9">
        <v>37.71</v>
      </c>
      <c r="F139" s="9">
        <v>33.299999999999997</v>
      </c>
      <c r="G139" s="9">
        <v>10.32</v>
      </c>
      <c r="H139" s="9">
        <v>8.0299999999999994</v>
      </c>
      <c r="I139" s="9">
        <v>7.75</v>
      </c>
      <c r="J139" s="10">
        <v>0.55000000000000004</v>
      </c>
      <c r="K139" s="10">
        <f t="shared" ref="K139:K144" si="7">(($E139+$F139+$G139+$H139+$I139+$J139)-100)*(-1)</f>
        <v>2.3400000000000176</v>
      </c>
    </row>
    <row r="140" spans="1:11" ht="15" customHeight="1">
      <c r="A140" s="1">
        <v>522</v>
      </c>
      <c r="B140" s="1" t="s">
        <v>107</v>
      </c>
      <c r="C140" s="8">
        <v>4069</v>
      </c>
      <c r="D140" s="9">
        <v>72.75</v>
      </c>
      <c r="E140" s="9">
        <v>46.49</v>
      </c>
      <c r="F140" s="9">
        <v>26.82</v>
      </c>
      <c r="G140" s="9">
        <v>7.83</v>
      </c>
      <c r="H140" s="9">
        <v>7.01</v>
      </c>
      <c r="I140" s="9">
        <v>8.7200000000000006</v>
      </c>
      <c r="J140" s="9">
        <v>1.3</v>
      </c>
      <c r="K140" s="10">
        <f t="shared" si="7"/>
        <v>1.8299999999999983</v>
      </c>
    </row>
    <row r="141" spans="1:11" ht="15" customHeight="1">
      <c r="A141" s="1">
        <v>523</v>
      </c>
      <c r="B141" s="1" t="s">
        <v>108</v>
      </c>
      <c r="C141" s="8">
        <v>4674</v>
      </c>
      <c r="D141" s="9">
        <v>77.150000000000006</v>
      </c>
      <c r="E141" s="9">
        <v>37.15</v>
      </c>
      <c r="F141" s="9">
        <v>32.590000000000003</v>
      </c>
      <c r="G141" s="9">
        <v>10.95</v>
      </c>
      <c r="H141" s="9">
        <v>11.62</v>
      </c>
      <c r="I141" s="9">
        <v>5.43</v>
      </c>
      <c r="J141" s="10">
        <v>0.9</v>
      </c>
      <c r="K141" s="10">
        <f t="shared" si="7"/>
        <v>1.3599999999999852</v>
      </c>
    </row>
    <row r="142" spans="1:11" ht="15" customHeight="1">
      <c r="A142" s="1">
        <v>524</v>
      </c>
      <c r="B142" s="1" t="s">
        <v>109</v>
      </c>
      <c r="C142" s="8">
        <v>6167</v>
      </c>
      <c r="D142" s="9">
        <v>74.48</v>
      </c>
      <c r="E142" s="9">
        <v>50.43</v>
      </c>
      <c r="F142" s="9">
        <v>24.44</v>
      </c>
      <c r="G142" s="9">
        <v>7.26</v>
      </c>
      <c r="H142" s="9">
        <v>6.34</v>
      </c>
      <c r="I142" s="9">
        <v>8.59</v>
      </c>
      <c r="J142" s="10">
        <v>0.66</v>
      </c>
      <c r="K142" s="10">
        <f t="shared" si="7"/>
        <v>2.2799999999999869</v>
      </c>
    </row>
    <row r="143" spans="1:11" ht="15" customHeight="1">
      <c r="A143" s="1">
        <v>525</v>
      </c>
      <c r="B143" s="1" t="s">
        <v>110</v>
      </c>
      <c r="C143" s="8">
        <v>6835</v>
      </c>
      <c r="D143" s="9">
        <v>73.87</v>
      </c>
      <c r="E143" s="9">
        <v>49.23</v>
      </c>
      <c r="F143" s="9">
        <v>26.87</v>
      </c>
      <c r="G143" s="9">
        <v>7.49</v>
      </c>
      <c r="H143" s="9">
        <v>5.51</v>
      </c>
      <c r="I143" s="9">
        <v>8.34</v>
      </c>
      <c r="J143" s="9">
        <v>1.1399999999999999</v>
      </c>
      <c r="K143" s="10">
        <f t="shared" si="7"/>
        <v>1.4200000000000017</v>
      </c>
    </row>
    <row r="144" spans="1:11" ht="15" customHeight="1">
      <c r="B144" s="2" t="s">
        <v>111</v>
      </c>
      <c r="C144" s="8">
        <v>26810</v>
      </c>
      <c r="D144" s="9">
        <v>74.12</v>
      </c>
      <c r="E144" s="9">
        <v>44.78</v>
      </c>
      <c r="F144" s="9">
        <v>28.53</v>
      </c>
      <c r="G144" s="9">
        <v>8.64</v>
      </c>
      <c r="H144" s="9">
        <v>7.5</v>
      </c>
      <c r="I144" s="9">
        <v>7.82</v>
      </c>
      <c r="J144" s="10">
        <v>0.9</v>
      </c>
      <c r="K144" s="10">
        <f t="shared" si="7"/>
        <v>1.8299999999999841</v>
      </c>
    </row>
    <row r="145" spans="1:11" ht="15" customHeight="1">
      <c r="C145" s="8" t="s">
        <v>7</v>
      </c>
      <c r="D145" s="9"/>
      <c r="E145" s="9"/>
      <c r="F145" s="9"/>
      <c r="G145" s="9"/>
      <c r="H145" s="9"/>
      <c r="I145" s="9"/>
      <c r="J145" s="9"/>
      <c r="K145" s="11"/>
    </row>
    <row r="146" spans="1:11" ht="15" customHeight="1">
      <c r="A146" s="1">
        <v>531</v>
      </c>
      <c r="B146" s="1" t="s">
        <v>112</v>
      </c>
      <c r="C146" s="8">
        <v>7265</v>
      </c>
      <c r="D146" s="9">
        <v>70.459999999999994</v>
      </c>
      <c r="E146" s="9">
        <v>43.3</v>
      </c>
      <c r="F146" s="9">
        <v>32.76</v>
      </c>
      <c r="G146" s="9">
        <v>7.48</v>
      </c>
      <c r="H146" s="9">
        <v>6.24</v>
      </c>
      <c r="I146" s="9">
        <v>7.54</v>
      </c>
      <c r="J146" s="9">
        <v>1.1100000000000001</v>
      </c>
      <c r="K146" s="10">
        <f t="shared" ref="K146:K151" si="8">(($E146+$F146+$G146+$H146+$I146+$J146)-100)*(-1)</f>
        <v>1.5699999999999932</v>
      </c>
    </row>
    <row r="147" spans="1:11" ht="15" customHeight="1">
      <c r="A147" s="1">
        <v>532</v>
      </c>
      <c r="B147" s="1" t="s">
        <v>113</v>
      </c>
      <c r="C147" s="8">
        <v>3712</v>
      </c>
      <c r="D147" s="9">
        <v>75.92</v>
      </c>
      <c r="E147" s="9">
        <v>44.39</v>
      </c>
      <c r="F147" s="9">
        <v>30.35</v>
      </c>
      <c r="G147" s="9">
        <v>7.49</v>
      </c>
      <c r="H147" s="9">
        <v>7.2</v>
      </c>
      <c r="I147" s="9">
        <v>7.49</v>
      </c>
      <c r="J147" s="9">
        <v>1.47</v>
      </c>
      <c r="K147" s="10">
        <f t="shared" si="8"/>
        <v>1.6099999999999994</v>
      </c>
    </row>
    <row r="148" spans="1:11" ht="15" customHeight="1">
      <c r="A148" s="1">
        <v>533</v>
      </c>
      <c r="B148" s="1" t="s">
        <v>114</v>
      </c>
      <c r="C148" s="8">
        <v>9957</v>
      </c>
      <c r="D148" s="9">
        <v>67.680000000000007</v>
      </c>
      <c r="E148" s="9">
        <v>50.64</v>
      </c>
      <c r="F148" s="9">
        <v>24.98</v>
      </c>
      <c r="G148" s="9">
        <v>6.27</v>
      </c>
      <c r="H148" s="9">
        <v>4.99</v>
      </c>
      <c r="I148" s="9">
        <v>9.8699999999999992</v>
      </c>
      <c r="J148" s="9">
        <v>1.27</v>
      </c>
      <c r="K148" s="9">
        <f t="shared" si="8"/>
        <v>1.980000000000004</v>
      </c>
    </row>
    <row r="149" spans="1:11" ht="15" customHeight="1">
      <c r="A149" s="1">
        <v>534</v>
      </c>
      <c r="B149" s="1" t="s">
        <v>115</v>
      </c>
      <c r="C149" s="8">
        <v>2694</v>
      </c>
      <c r="D149" s="9">
        <v>74.650000000000006</v>
      </c>
      <c r="E149" s="9">
        <v>43.01</v>
      </c>
      <c r="F149" s="9">
        <v>29.53</v>
      </c>
      <c r="G149" s="9">
        <v>7.17</v>
      </c>
      <c r="H149" s="9">
        <v>7.47</v>
      </c>
      <c r="I149" s="9">
        <v>10.050000000000001</v>
      </c>
      <c r="J149" s="10">
        <v>0.91</v>
      </c>
      <c r="K149" s="10">
        <f t="shared" si="8"/>
        <v>1.8600000000000136</v>
      </c>
    </row>
    <row r="150" spans="1:11" ht="15" customHeight="1">
      <c r="A150" s="1">
        <v>535</v>
      </c>
      <c r="B150" s="1" t="s">
        <v>116</v>
      </c>
      <c r="C150" s="8">
        <v>1642</v>
      </c>
      <c r="D150" s="9">
        <v>75.33</v>
      </c>
      <c r="E150" s="9">
        <v>41.45</v>
      </c>
      <c r="F150" s="9">
        <v>31.76</v>
      </c>
      <c r="G150" s="9">
        <v>7.57</v>
      </c>
      <c r="H150" s="9">
        <v>7.17</v>
      </c>
      <c r="I150" s="9">
        <v>8.7100000000000009</v>
      </c>
      <c r="J150" s="9">
        <v>1.55</v>
      </c>
      <c r="K150" s="10">
        <f t="shared" si="8"/>
        <v>1.7900000000000063</v>
      </c>
    </row>
    <row r="151" spans="1:11" ht="15" customHeight="1">
      <c r="B151" s="2" t="s">
        <v>117</v>
      </c>
      <c r="C151" s="8">
        <v>25270</v>
      </c>
      <c r="D151" s="9">
        <v>70.930000000000007</v>
      </c>
      <c r="E151" s="9">
        <v>46.07</v>
      </c>
      <c r="F151" s="9">
        <v>29.02</v>
      </c>
      <c r="G151" s="9">
        <v>7</v>
      </c>
      <c r="H151" s="9">
        <v>6.12</v>
      </c>
      <c r="I151" s="9">
        <v>8.77</v>
      </c>
      <c r="J151" s="9">
        <v>1.23</v>
      </c>
      <c r="K151" s="10">
        <f t="shared" si="8"/>
        <v>1.789999999999992</v>
      </c>
    </row>
    <row r="152" spans="1:11" ht="15" customHeight="1">
      <c r="C152" s="8" t="s">
        <v>7</v>
      </c>
      <c r="D152" s="9"/>
      <c r="E152" s="9"/>
      <c r="F152" s="9"/>
      <c r="G152" s="9"/>
      <c r="H152" s="9"/>
      <c r="I152" s="9"/>
      <c r="J152" s="9"/>
      <c r="K152" s="11"/>
    </row>
    <row r="153" spans="1:11" ht="15" customHeight="1">
      <c r="B153" s="2" t="s">
        <v>118</v>
      </c>
      <c r="C153" s="8">
        <v>78429</v>
      </c>
      <c r="D153" s="9">
        <v>73.349999999999994</v>
      </c>
      <c r="E153" s="9">
        <v>43.44</v>
      </c>
      <c r="F153" s="9">
        <v>29.48</v>
      </c>
      <c r="G153" s="9">
        <v>8.32</v>
      </c>
      <c r="H153" s="9">
        <v>8.24</v>
      </c>
      <c r="I153" s="9">
        <v>7.45</v>
      </c>
      <c r="J153" s="9">
        <v>1.24</v>
      </c>
      <c r="K153" s="10">
        <f>(($E153+$F153+$G153+$H153+$I153+$J153)-100)*(-1)</f>
        <v>1.8299999999999983</v>
      </c>
    </row>
    <row r="154" spans="1:11" ht="15" customHeight="1">
      <c r="C154" s="8" t="s">
        <v>7</v>
      </c>
      <c r="D154" s="9"/>
      <c r="E154" s="9"/>
      <c r="F154" s="9"/>
      <c r="G154" s="9"/>
      <c r="H154" s="9"/>
      <c r="I154" s="9"/>
      <c r="J154" s="9"/>
      <c r="K154" s="11"/>
    </row>
    <row r="155" spans="1:11" ht="15" customHeight="1">
      <c r="B155" s="2" t="s">
        <v>119</v>
      </c>
      <c r="C155" s="8">
        <v>421087</v>
      </c>
      <c r="D155" s="9">
        <v>73.77</v>
      </c>
      <c r="E155" s="9">
        <v>38.299999999999997</v>
      </c>
      <c r="F155" s="9">
        <v>31.35</v>
      </c>
      <c r="G155" s="9">
        <v>11.9</v>
      </c>
      <c r="H155" s="9">
        <v>9.58</v>
      </c>
      <c r="I155" s="9">
        <v>5.38</v>
      </c>
      <c r="J155" s="9">
        <v>1.49</v>
      </c>
      <c r="K155" s="9">
        <f>(($E155+$F155+$G155+$H155+$I155+$J155)-100)*(-1)</f>
        <v>2</v>
      </c>
    </row>
    <row r="156" spans="1:11" ht="15" customHeight="1">
      <c r="B156" s="1" t="s">
        <v>120</v>
      </c>
      <c r="C156" s="11"/>
      <c r="D156" s="9"/>
      <c r="E156" s="9"/>
      <c r="F156" s="9"/>
      <c r="G156" s="9"/>
      <c r="H156" s="9"/>
      <c r="I156" s="9"/>
      <c r="J156" s="10"/>
      <c r="K156" s="11"/>
    </row>
    <row r="157" spans="1:11" ht="15" customHeight="1">
      <c r="B157" s="1" t="s">
        <v>121</v>
      </c>
      <c r="C157" s="11" t="s">
        <v>122</v>
      </c>
      <c r="D157" s="9">
        <v>94.6</v>
      </c>
      <c r="E157" s="9">
        <v>36.799999999999997</v>
      </c>
      <c r="F157" s="9">
        <v>32.4</v>
      </c>
      <c r="G157" s="9">
        <v>9.8000000000000007</v>
      </c>
      <c r="H157" s="9">
        <v>10.9</v>
      </c>
      <c r="I157" s="10">
        <v>5.5</v>
      </c>
      <c r="J157" s="10">
        <v>2.4</v>
      </c>
      <c r="K157" s="10">
        <f>(($E157+$F157+$G157+$H157+$I157+$J157)-100)*(-1)</f>
        <v>2.2000000000000028</v>
      </c>
    </row>
    <row r="158" spans="1:11" ht="15" customHeight="1">
      <c r="C158" s="11"/>
      <c r="D158" s="9"/>
      <c r="E158" s="9"/>
      <c r="F158" s="9"/>
      <c r="G158" s="9"/>
      <c r="H158" s="9"/>
      <c r="I158" s="9"/>
      <c r="J158" s="10"/>
      <c r="K158" s="11"/>
    </row>
    <row r="159" spans="1:11" ht="15" customHeight="1">
      <c r="B159" s="2" t="s">
        <v>123</v>
      </c>
      <c r="C159" s="11" t="s">
        <v>124</v>
      </c>
      <c r="D159" s="9">
        <v>65.400000000000006</v>
      </c>
      <c r="E159" s="9">
        <v>41.2</v>
      </c>
      <c r="F159" s="9">
        <v>27.3</v>
      </c>
      <c r="G159" s="9">
        <v>8.8000000000000007</v>
      </c>
      <c r="H159" s="9">
        <v>9</v>
      </c>
      <c r="I159" s="9">
        <v>10.1</v>
      </c>
      <c r="J159" s="9">
        <v>1.8</v>
      </c>
      <c r="K159" s="10">
        <f>(($E159+$F159+$G159+$H159+$I159+$J159)-100)*(-1)</f>
        <v>1.8000000000000114</v>
      </c>
    </row>
    <row r="160" spans="1:11" ht="15" customHeight="1">
      <c r="C160" s="11"/>
      <c r="D160" s="9"/>
      <c r="E160" s="9"/>
      <c r="F160" s="9"/>
      <c r="G160" s="9"/>
      <c r="H160" s="9"/>
      <c r="I160" s="9"/>
      <c r="J160" s="10"/>
      <c r="K160" s="11"/>
    </row>
    <row r="161" spans="1:11" ht="15" customHeight="1">
      <c r="B161" s="4" t="s">
        <v>125</v>
      </c>
      <c r="C161" s="11" t="s">
        <v>126</v>
      </c>
      <c r="D161" s="9">
        <v>72.2</v>
      </c>
      <c r="E161" s="9">
        <v>38.799999999999997</v>
      </c>
      <c r="F161" s="9">
        <v>30.7</v>
      </c>
      <c r="G161" s="9">
        <v>11.4</v>
      </c>
      <c r="H161" s="9">
        <v>9.5</v>
      </c>
      <c r="I161" s="9">
        <v>6.2</v>
      </c>
      <c r="J161" s="9">
        <v>1.5</v>
      </c>
      <c r="K161" s="10">
        <f>(($E161+$F161+$G161+$H161+$I161+$J161)-100)*(-1)</f>
        <v>1.8999999999999915</v>
      </c>
    </row>
    <row r="162" spans="1:11" ht="15" customHeight="1">
      <c r="C162" t="s">
        <v>7</v>
      </c>
    </row>
    <row r="163" spans="1:11" ht="15" customHeight="1">
      <c r="A163" s="7" t="s">
        <v>127</v>
      </c>
      <c r="B163" s="7"/>
    </row>
    <row r="164" spans="1:11" ht="15" customHeight="1">
      <c r="A164" s="3" t="s">
        <v>128</v>
      </c>
    </row>
    <row r="165" spans="1:11" ht="15" customHeight="1">
      <c r="A165" s="1" t="s">
        <v>129</v>
      </c>
    </row>
    <row r="166" spans="1:11" ht="15" customHeight="1">
      <c r="A166" s="3" t="s">
        <v>130</v>
      </c>
    </row>
    <row r="167" spans="1:11" ht="15" customHeight="1">
      <c r="A167" s="3" t="s">
        <v>131</v>
      </c>
    </row>
    <row r="168" spans="1:11" ht="15" customHeight="1">
      <c r="A168" s="1" t="s">
        <v>132</v>
      </c>
    </row>
    <row r="169" spans="1:11" ht="15" customHeight="1"/>
    <row r="170" spans="1:11" ht="15" customHeight="1"/>
    <row r="171" spans="1:11" ht="15" customHeight="1"/>
    <row r="172" spans="1:11" ht="15" customHeight="1"/>
    <row r="173" spans="1:11" ht="15" customHeight="1"/>
    <row r="174" spans="1:11" ht="15" customHeight="1"/>
    <row r="175" spans="1:11" ht="15" customHeight="1"/>
    <row r="176" spans="1:11" ht="15" customHeight="1"/>
    <row r="177" ht="15" customHeight="1"/>
  </sheetData>
  <printOptions horizontalCentered="1"/>
  <pageMargins left="0.39370078740157483" right="0.31496062992125984" top="0.39370078740157483" bottom="0.62992125984251968" header="0.4921259845" footer="0.4921259845"/>
  <pageSetup paperSize="9" orientation="landscape" horizontalDpi="0" verticalDpi="0"/>
  <headerFooter alignWithMargins="0">
    <oddHeader xml:space="preserve">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2026-03-20T20:13:24Z</dcterms:created>
  <dcterms:modified xsi:type="dcterms:W3CDTF">2026-03-20T20:13:24Z</dcterms:modified>
</cp:coreProperties>
</file>