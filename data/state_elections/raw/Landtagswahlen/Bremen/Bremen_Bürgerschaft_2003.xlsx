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2677A3C-E177-034E-9A42-2DE6AD5BC912}" xr6:coauthVersionLast="47" xr6:coauthVersionMax="47" xr10:uidLastSave="{00000000-0000-0000-0000-000000000000}"/>
  <bookViews>
    <workbookView xWindow="240" yWindow="660" windowWidth="15480" windowHeight="11640" xr2:uid="{820E7406-C086-7840-B5C7-7663F9EDFAE5}"/>
  </bookViews>
  <sheets>
    <sheet name="Bü_WB_Bremen" sheetId="1" r:id="rId1"/>
  </sheets>
  <definedNames>
    <definedName name="_xlnm.Print_Titles" localSheetId="0">Bü_WB_Bremen!$3:$6</definedName>
  </definedNames>
  <calcPr calcId="191029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M223" i="1"/>
  <c r="O223" i="1"/>
  <c r="Q223" i="1"/>
  <c r="S223" i="1"/>
  <c r="Y223" i="1"/>
  <c r="AA223" i="1"/>
  <c r="AC223" i="1"/>
  <c r="AE223" i="1"/>
  <c r="AG223" i="1"/>
  <c r="AI223" i="1"/>
  <c r="AK223" i="1"/>
  <c r="AM223" i="1"/>
  <c r="C226" i="1"/>
  <c r="D226" i="1"/>
  <c r="F226" i="1"/>
  <c r="G226" i="1"/>
</calcChain>
</file>

<file path=xl/sharedStrings.xml><?xml version="1.0" encoding="utf-8"?>
<sst xmlns="http://schemas.openxmlformats.org/spreadsheetml/2006/main" count="850" uniqueCount="195">
  <si>
    <t>*)</t>
  </si>
  <si>
    <t>Briefwahlergebnisse werden auf Ortsteilsebene ermittelt (Wahlbezirk "99"), kleinere Ergebnisse werden zusammengefaßt (Wahlbezirk "88").</t>
  </si>
  <si>
    <t>Die Briefwahlergebnisse der Ortsteile (OT) 121 Handelshäfen und 431 Utbremen sind bei 431 veröffentlicht. Das Urnenwahlergebnis OT 121 ist beim OT 431 ausgewiesen,</t>
  </si>
  <si>
    <t>Die Briefwahlergebnisse der OT 122 Industriehäfen, 444 In den Wischen, 445 Oslebshausen sind bei 445 veröffentlicht. Das Urnenwahlergebnis des OT 122 ist beim OT 445 ausgewiesen,</t>
  </si>
  <si>
    <t>Die Briefwahlergebnisse der OT 123 Stadtbremisches Überseehafengebiet Bremerhaven, 511 Burg-Grambke, 512 Werderland sind beim OT 511 veröffentlicht.</t>
  </si>
  <si>
    <t>darunter mit Wahl- schein</t>
  </si>
  <si>
    <t>Wahlbereich Bremen - Deutsche</t>
  </si>
  <si>
    <t>Wahlbereich Bremen - Unionsbürger</t>
  </si>
  <si>
    <t>(einschl. Briefwahl)</t>
  </si>
  <si>
    <t>Wahlbereich Bremen - insgesamt</t>
  </si>
  <si>
    <t>Die Briefwahl- und Urnenwahlergebnisse der OT 124 Neustädter Hafen und 125 Hohentorshafen sind im Wahlbezirk 251-05 bzw. im OT 251 enthalten.</t>
  </si>
  <si>
    <t>GRÜNE</t>
  </si>
  <si>
    <t>DVU</t>
  </si>
  <si>
    <t>DP</t>
  </si>
  <si>
    <t>GRAUE</t>
  </si>
  <si>
    <t>FDP</t>
  </si>
  <si>
    <t>PBC</t>
  </si>
  <si>
    <t>PDS</t>
  </si>
  <si>
    <t>Schill</t>
  </si>
  <si>
    <t>SAV</t>
  </si>
  <si>
    <t>davon</t>
  </si>
  <si>
    <t>X</t>
  </si>
  <si>
    <t>Briefwahl</t>
  </si>
  <si>
    <t>Urnenwahl</t>
  </si>
  <si>
    <t>Wahlberechtigte</t>
  </si>
  <si>
    <t>Wähler</t>
  </si>
  <si>
    <t>Stimmen</t>
  </si>
  <si>
    <t>von den gültigen Stimmen entfielen auf:</t>
  </si>
  <si>
    <t>ohne Sperr- vermerk</t>
  </si>
  <si>
    <t>mit Sperr- vermerk</t>
  </si>
  <si>
    <t>§ 19      (2)</t>
  </si>
  <si>
    <t>ins- gesamt</t>
  </si>
  <si>
    <t>in            %</t>
  </si>
  <si>
    <t>un- gültige</t>
  </si>
  <si>
    <t>gültige</t>
  </si>
  <si>
    <t>SPD</t>
  </si>
  <si>
    <t>CDU</t>
  </si>
  <si>
    <t>DIE FRAUEN</t>
  </si>
  <si>
    <t>Seehausen</t>
  </si>
  <si>
    <t>A1</t>
  </si>
  <si>
    <t>A2</t>
  </si>
  <si>
    <t>A3</t>
  </si>
  <si>
    <t>A</t>
  </si>
  <si>
    <t>B</t>
  </si>
  <si>
    <t>B1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</si>
  <si>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</si>
  <si>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</si>
  <si>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</si>
  <si>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</si>
  <si>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</si>
  <si>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</si>
  <si>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</si>
  <si>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</si>
  <si>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</si>
  <si>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</si>
  <si>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</si>
  <si>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</si>
  <si>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</si>
  <si>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</si>
  <si>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B.H.V.</t>
  </si>
  <si>
    <t>BBW</t>
  </si>
  <si>
    <t>D13</t>
  </si>
  <si>
    <t>D14</t>
  </si>
  <si>
    <t>-</t>
  </si>
  <si>
    <t xml:space="preserve"> Wahlbereich Bremerhaven</t>
  </si>
  <si>
    <t xml:space="preserve"> Wahlbereich Bremerhaven insgesamt</t>
  </si>
  <si>
    <t>Stand: 03.06.2003</t>
  </si>
  <si>
    <t>Ortsteil / Stadtteil / Wahlbereich</t>
  </si>
  <si>
    <t>Wahlbereich Bremen</t>
  </si>
  <si>
    <t>Wahlbereich Bremerhaven</t>
  </si>
  <si>
    <t xml:space="preserve">Statistisches Landesamt Bremen  -Wahlamt- </t>
  </si>
  <si>
    <t>Stadt Bremerhaven:</t>
  </si>
  <si>
    <t>Das Briefwahlergebniss des OT 111 Weddewarden ist im OT 131 Speckenbüttel enthalten, das Briefwahlergebnis des OT 137 Buschkämpen ist beim OT 136 Schierholz ausgewiesen.</t>
  </si>
  <si>
    <t>Das Briefwahlergebniss des OT 251 Fischereihafen ist im OT 241 Dreibergen enthalten</t>
  </si>
  <si>
    <t>Stadt Bremen:</t>
  </si>
  <si>
    <t>1)</t>
  </si>
  <si>
    <t>ohne Unionsbürger</t>
  </si>
  <si>
    <r>
      <t xml:space="preserve"> Wahlbereich Bremen </t>
    </r>
    <r>
      <rPr>
        <b/>
        <vertAlign val="superscript"/>
        <sz val="9"/>
        <rFont val="Arial"/>
        <family val="2"/>
      </rPr>
      <t>1)</t>
    </r>
  </si>
  <si>
    <r>
      <t xml:space="preserve"> Land Bremen </t>
    </r>
    <r>
      <rPr>
        <b/>
        <vertAlign val="superscript"/>
        <sz val="9"/>
        <rFont val="Arial"/>
        <family val="2"/>
      </rPr>
      <t>1)</t>
    </r>
  </si>
  <si>
    <t xml:space="preserve"> Altstadt </t>
  </si>
  <si>
    <t xml:space="preserve"> Bahnhofsvorstadt </t>
  </si>
  <si>
    <t xml:space="preserve"> Ostertor </t>
  </si>
  <si>
    <t xml:space="preserve"> Mitte </t>
  </si>
  <si>
    <t xml:space="preserve"> Alte Neustadt </t>
  </si>
  <si>
    <t xml:space="preserve"> Hohentor </t>
  </si>
  <si>
    <t xml:space="preserve"> Neustadt </t>
  </si>
  <si>
    <t xml:space="preserve"> Südervorstadt </t>
  </si>
  <si>
    <t xml:space="preserve"> Gartenstadt Süd </t>
  </si>
  <si>
    <t xml:space="preserve"> Buntentor </t>
  </si>
  <si>
    <t xml:space="preserve"> Neuenland </t>
  </si>
  <si>
    <t xml:space="preserve"> Huckelriede </t>
  </si>
  <si>
    <t xml:space="preserve"> Habenhausen </t>
  </si>
  <si>
    <t xml:space="preserve"> Arsten </t>
  </si>
  <si>
    <t xml:space="preserve"> Kattenturm </t>
  </si>
  <si>
    <t xml:space="preserve"> Kattenesch </t>
  </si>
  <si>
    <t xml:space="preserve"> Obervieland </t>
  </si>
  <si>
    <t xml:space="preserve"> Mittelshuchting </t>
  </si>
  <si>
    <t xml:space="preserve"> Sodenmatt </t>
  </si>
  <si>
    <t xml:space="preserve"> Kirchhuchting </t>
  </si>
  <si>
    <t xml:space="preserve"> Grolland </t>
  </si>
  <si>
    <t xml:space="preserve"> Huchting </t>
  </si>
  <si>
    <t xml:space="preserve"> Woltmershausen </t>
  </si>
  <si>
    <t xml:space="preserve"> Rablinghausen </t>
  </si>
  <si>
    <t xml:space="preserve">Seehausen </t>
  </si>
  <si>
    <t xml:space="preserve">Strom </t>
  </si>
  <si>
    <t xml:space="preserve"> Steintor </t>
  </si>
  <si>
    <t xml:space="preserve"> Fesenfeld </t>
  </si>
  <si>
    <t xml:space="preserve"> Peterswerder </t>
  </si>
  <si>
    <t xml:space="preserve"> Hulsberg </t>
  </si>
  <si>
    <t xml:space="preserve"> Östliche Vorstadt </t>
  </si>
  <si>
    <t xml:space="preserve"> Neu-Schwachhausen </t>
  </si>
  <si>
    <t xml:space="preserve"> Bürgerpark </t>
  </si>
  <si>
    <t xml:space="preserve"> Barkhof </t>
  </si>
  <si>
    <t xml:space="preserve"> Riensberg </t>
  </si>
  <si>
    <t xml:space="preserve"> Radio Bremen </t>
  </si>
  <si>
    <t xml:space="preserve"> Schwachhausen </t>
  </si>
  <si>
    <t xml:space="preserve"> Gete </t>
  </si>
  <si>
    <t xml:space="preserve">Gete </t>
  </si>
  <si>
    <t xml:space="preserve"> Gartenstadt Vahr </t>
  </si>
  <si>
    <t xml:space="preserve"> Neue Vahr Nord </t>
  </si>
  <si>
    <t xml:space="preserve"> Neue Vahr Südwest </t>
  </si>
  <si>
    <t xml:space="preserve"> Neue Vahr Südost </t>
  </si>
  <si>
    <t xml:space="preserve"> Vahr </t>
  </si>
  <si>
    <t xml:space="preserve"> Horn </t>
  </si>
  <si>
    <t xml:space="preserve"> Lehe </t>
  </si>
  <si>
    <t xml:space="preserve"> Lehesterdeich </t>
  </si>
  <si>
    <t xml:space="preserve"> Horn-Lehe </t>
  </si>
  <si>
    <t xml:space="preserve">Borgfeld </t>
  </si>
  <si>
    <t xml:space="preserve">Oberneuland </t>
  </si>
  <si>
    <t xml:space="preserve"> Ellener Feld </t>
  </si>
  <si>
    <t xml:space="preserve"> Ellenerbrok-Schevemoor </t>
  </si>
  <si>
    <t xml:space="preserve"> Tenever </t>
  </si>
  <si>
    <t xml:space="preserve"> Osterholz </t>
  </si>
  <si>
    <t xml:space="preserve"> Blockdiek </t>
  </si>
  <si>
    <t xml:space="preserve"> Sebaldsbrück </t>
  </si>
  <si>
    <t xml:space="preserve"> Hastedt </t>
  </si>
  <si>
    <t xml:space="preserve"> Hemelingen </t>
  </si>
  <si>
    <t xml:space="preserve"> Arbergen </t>
  </si>
  <si>
    <t xml:space="preserve"> Mahndorf </t>
  </si>
  <si>
    <t xml:space="preserve">Blockland </t>
  </si>
  <si>
    <t xml:space="preserve"> Regensburger Str. </t>
  </si>
  <si>
    <t xml:space="preserve"> Findorff-Bürgerweide </t>
  </si>
  <si>
    <t xml:space="preserve"> Weidedamm </t>
  </si>
  <si>
    <t xml:space="preserve"> In den Hufen </t>
  </si>
  <si>
    <t xml:space="preserve"> Findorff </t>
  </si>
  <si>
    <t xml:space="preserve"> Utbremen </t>
  </si>
  <si>
    <t xml:space="preserve"> Steffensweg </t>
  </si>
  <si>
    <t xml:space="preserve"> Westend </t>
  </si>
  <si>
    <t xml:space="preserve"> Walle </t>
  </si>
  <si>
    <t xml:space="preserve"> Osterfeuerberg </t>
  </si>
  <si>
    <t xml:space="preserve"> Hohweg </t>
  </si>
  <si>
    <t xml:space="preserve"> Lindenhof </t>
  </si>
  <si>
    <t xml:space="preserve"> Gröpelingen </t>
  </si>
  <si>
    <t xml:space="preserve"> Ohlenhof </t>
  </si>
  <si>
    <t xml:space="preserve"> Oslebshausen </t>
  </si>
  <si>
    <t xml:space="preserve"> BurgGrambke </t>
  </si>
  <si>
    <t xml:space="preserve"> Burgdamm </t>
  </si>
  <si>
    <t xml:space="preserve"> Lesum </t>
  </si>
  <si>
    <t xml:space="preserve"> St. Magnus </t>
  </si>
  <si>
    <t xml:space="preserve"> Burglesum </t>
  </si>
  <si>
    <t xml:space="preserve"> Vegesack </t>
  </si>
  <si>
    <t xml:space="preserve"> Grohn </t>
  </si>
  <si>
    <t xml:space="preserve"> Schönebeck </t>
  </si>
  <si>
    <t xml:space="preserve"> Aumund-Hammersbeck </t>
  </si>
  <si>
    <t xml:space="preserve"> Fähr-Lobbendorf </t>
  </si>
  <si>
    <t xml:space="preserve"> Blumenthal </t>
  </si>
  <si>
    <t xml:space="preserve"> Rönnebeck </t>
  </si>
  <si>
    <t xml:space="preserve"> Lüssum-Bockhorn </t>
  </si>
  <si>
    <t xml:space="preserve"> Farge </t>
  </si>
  <si>
    <t xml:space="preserve"> Rekum </t>
  </si>
  <si>
    <t xml:space="preserve">Königsheide </t>
  </si>
  <si>
    <t xml:space="preserve">Fehrmoor </t>
  </si>
  <si>
    <t xml:space="preserve">Leherheide-West </t>
  </si>
  <si>
    <t xml:space="preserve">Leherheide </t>
  </si>
  <si>
    <t xml:space="preserve">Speckenbüttel </t>
  </si>
  <si>
    <t xml:space="preserve">Eckernfeld </t>
  </si>
  <si>
    <t xml:space="preserve">Twischkamp </t>
  </si>
  <si>
    <t xml:space="preserve">Goethestraße </t>
  </si>
  <si>
    <t xml:space="preserve">Klushof </t>
  </si>
  <si>
    <t xml:space="preserve">Schierholz </t>
  </si>
  <si>
    <t xml:space="preserve">Mitte-Süd </t>
  </si>
  <si>
    <t xml:space="preserve">Mitte-Nord </t>
  </si>
  <si>
    <t xml:space="preserve">Mitte </t>
  </si>
  <si>
    <t xml:space="preserve">Geestemünde-Nord </t>
  </si>
  <si>
    <t xml:space="preserve">Geestendorf </t>
  </si>
  <si>
    <t xml:space="preserve">Geestemünde-Süd </t>
  </si>
  <si>
    <t xml:space="preserve">Bürgerpark </t>
  </si>
  <si>
    <t xml:space="preserve">Grünhöfe </t>
  </si>
  <si>
    <t xml:space="preserve">Geestemünde </t>
  </si>
  <si>
    <t xml:space="preserve">Schiffdorferdamm </t>
  </si>
  <si>
    <t xml:space="preserve">Surheide </t>
  </si>
  <si>
    <t xml:space="preserve">Dreibergen </t>
  </si>
  <si>
    <t xml:space="preserve">Jedutenberg </t>
  </si>
  <si>
    <t xml:space="preserve">Wulsdorf </t>
  </si>
  <si>
    <t xml:space="preserve">Wahl zur Bremischen Bürgerschaft am 25. Mai 2003 - endgültiges Ergebnis in den Orts- und Stadtteilen im Lande Bremen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</si>
</sst>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"/>
    <numFmt numFmtId="173" formatCode="0.0"/>
    <numFmt numFmtId="174" formatCode="#,##0.0"/>
  </numFmts>
  <fonts count="13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/>
    <xf numFmtId="2" fontId="4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/>
    </xf>
    <xf numFmtId="173" fontId="4" fillId="0" borderId="0" xfId="0" applyNumberFormat="1" applyFont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3" fontId="4" fillId="0" borderId="0" xfId="0" applyNumberFormat="1" applyFont="1" applyFill="1"/>
    <xf numFmtId="0" fontId="4" fillId="0" borderId="0" xfId="0" applyFont="1" applyFill="1"/>
    <xf numFmtId="4" fontId="4" fillId="0" borderId="0" xfId="0" applyNumberFormat="1" applyFont="1" applyFill="1" applyAlignment="1">
      <alignment horizontal="center"/>
    </xf>
    <xf numFmtId="174" fontId="4" fillId="0" borderId="0" xfId="0" applyNumberFormat="1" applyFont="1" applyFill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4" fillId="0" borderId="0" xfId="0" applyFont="1" applyAlignment="1"/>
    <xf numFmtId="0" fontId="6" fillId="0" borderId="0" xfId="0" quotePrefix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0" fontId="7" fillId="0" borderId="0" xfId="0" applyFont="1" applyAlignment="1">
      <alignment horizontal="left"/>
    </xf>
    <xf numFmtId="0" fontId="10" fillId="0" borderId="0" xfId="0" applyFont="1"/>
    <xf numFmtId="3" fontId="7" fillId="0" borderId="0" xfId="0" applyNumberFormat="1" applyFont="1"/>
    <xf numFmtId="173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11" fillId="0" borderId="0" xfId="0" applyFont="1"/>
    <xf numFmtId="17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4" fillId="0" borderId="7" xfId="0" applyFont="1" applyBorder="1" applyAlignment="1"/>
    <xf numFmtId="3" fontId="4" fillId="0" borderId="7" xfId="0" applyNumberFormat="1" applyFon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173" fontId="4" fillId="0" borderId="7" xfId="0" applyNumberFormat="1" applyFont="1" applyBorder="1" applyAlignment="1">
      <alignment horizontal="center"/>
    </xf>
    <xf numFmtId="3" fontId="8" fillId="0" borderId="7" xfId="0" applyNumberFormat="1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/>
    <xf numFmtId="3" fontId="4" fillId="0" borderId="0" xfId="0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73" fontId="4" fillId="0" borderId="0" xfId="0" applyNumberFormat="1" applyFont="1" applyBorder="1" applyAlignment="1">
      <alignment horizontal="center"/>
    </xf>
    <xf numFmtId="3" fontId="8" fillId="0" borderId="0" xfId="0" applyNumberFormat="1" applyFont="1" applyBorder="1"/>
    <xf numFmtId="2" fontId="3" fillId="0" borderId="0" xfId="0" applyNumberFormat="1" applyFont="1" applyBorder="1" applyAlignment="1">
      <alignment horizont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vertical="center"/>
    </xf>
    <xf numFmtId="2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/>
    <xf numFmtId="0" fontId="4" fillId="0" borderId="0" xfId="0" applyFont="1" applyAlignment="1"/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948A-B15B-AF43-A85A-DBF65F5DE666}">
  <sheetPr>
    <pageSetUpPr fitToPage="1"/>
  </sheetPr>
  <dimension ref="A1:DQ1882"/>
  <sheetViews>
    <sheetView tabSelected="1" view="pageBreakPreview" zoomScale="60" zoomScaleNormal="100" workbookViewId="0">
      <pane ySplit="6" topLeftCell="A212" activePane="bottomLeft" state="frozen"/>
      <selection pane="bottomLeft" activeCell="B17" sqref="B17"/>
    </sheetView>
  </sheetViews>
  <sheetFormatPr baseColWidth="10" defaultColWidth="11.5" defaultRowHeight="12" x14ac:dyDescent="0.15"/>
  <cols>
    <col min="1" max="1" width="6.5" style="17" customWidth="1"/>
    <col min="2" max="2" width="25.6640625" style="3" customWidth="1"/>
    <col min="3" max="4" width="7.5" style="3" customWidth="1"/>
    <col min="5" max="5" width="5.33203125" style="3" customWidth="1"/>
    <col min="6" max="7" width="7.5" style="3" customWidth="1"/>
    <col min="8" max="8" width="6.83203125" style="4" customWidth="1"/>
    <col min="9" max="9" width="7.6640625" style="3" customWidth="1"/>
    <col min="10" max="10" width="6.33203125" style="3" customWidth="1"/>
    <col min="11" max="12" width="7.5" style="3" customWidth="1"/>
    <col min="13" max="13" width="7.5" style="5" customWidth="1"/>
    <col min="14" max="14" width="6.83203125" style="3" customWidth="1"/>
    <col min="15" max="15" width="7.83203125" style="5" customWidth="1"/>
    <col min="16" max="16" width="6.83203125" style="3" customWidth="1"/>
    <col min="17" max="17" width="8.5" style="5" customWidth="1"/>
    <col min="18" max="18" width="6.83203125" style="3" customWidth="1"/>
    <col min="19" max="19" width="7" style="5" customWidth="1"/>
    <col min="20" max="20" width="6.83203125" style="3" customWidth="1"/>
    <col min="21" max="21" width="6.6640625" style="5" customWidth="1"/>
    <col min="22" max="22" width="6.83203125" style="3" customWidth="1"/>
    <col min="23" max="23" width="6.6640625" style="5" customWidth="1"/>
    <col min="24" max="24" width="6.83203125" style="3" customWidth="1"/>
    <col min="25" max="25" width="8.1640625" style="5" customWidth="1"/>
    <col min="26" max="26" width="6.83203125" style="3" customWidth="1"/>
    <col min="27" max="27" width="7.5" style="5" customWidth="1"/>
    <col min="28" max="28" width="6.83203125" style="3" customWidth="1"/>
    <col min="29" max="29" width="7.33203125" style="5" customWidth="1"/>
    <col min="30" max="30" width="6.83203125" style="3" customWidth="1"/>
    <col min="31" max="31" width="6.1640625" style="5" customWidth="1"/>
    <col min="32" max="32" width="6.83203125" style="3" customWidth="1"/>
    <col min="33" max="33" width="6.33203125" style="5" customWidth="1"/>
    <col min="34" max="34" width="6.83203125" style="3" customWidth="1"/>
    <col min="35" max="35" width="6.5" style="5" customWidth="1"/>
    <col min="36" max="39" width="6.83203125" style="3" customWidth="1"/>
    <col min="40" max="16384" width="11.5" style="3"/>
  </cols>
  <sheetData>
    <row r="1" spans="1:39" x14ac:dyDescent="0.15">
      <c r="A1" s="14" t="s">
        <v>70</v>
      </c>
    </row>
    <row r="2" spans="1:39" s="6" customFormat="1" ht="16.5" customHeight="1" x14ac:dyDescent="0.15">
      <c r="A2" s="18" t="s">
        <v>66</v>
      </c>
      <c r="C2" s="81" t="s">
        <v>194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</row>
    <row r="3" spans="1:39" s="6" customFormat="1" ht="19.5" customHeight="1" x14ac:dyDescent="0.15">
      <c r="A3" s="31"/>
      <c r="B3" s="32"/>
      <c r="C3" s="84" t="s">
        <v>24</v>
      </c>
      <c r="D3" s="84"/>
      <c r="E3" s="84"/>
      <c r="F3" s="85"/>
      <c r="G3" s="86" t="s">
        <v>25</v>
      </c>
      <c r="H3" s="84"/>
      <c r="I3" s="85"/>
      <c r="J3" s="86" t="s">
        <v>26</v>
      </c>
      <c r="K3" s="84"/>
      <c r="L3" s="86" t="s">
        <v>27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5"/>
    </row>
    <row r="4" spans="1:39" ht="48.75" customHeight="1" x14ac:dyDescent="0.15">
      <c r="A4" s="79" t="s">
        <v>67</v>
      </c>
      <c r="B4" s="80"/>
      <c r="C4" s="10" t="s">
        <v>28</v>
      </c>
      <c r="D4" s="11" t="s">
        <v>29</v>
      </c>
      <c r="E4" s="12" t="s">
        <v>30</v>
      </c>
      <c r="F4" s="12" t="s">
        <v>31</v>
      </c>
      <c r="G4" s="11" t="s">
        <v>31</v>
      </c>
      <c r="H4" s="11" t="s">
        <v>32</v>
      </c>
      <c r="I4" s="11" t="s">
        <v>5</v>
      </c>
      <c r="J4" s="11" t="s">
        <v>33</v>
      </c>
      <c r="K4" s="11" t="s">
        <v>34</v>
      </c>
      <c r="L4" s="87" t="s">
        <v>35</v>
      </c>
      <c r="M4" s="88"/>
      <c r="N4" s="87" t="s">
        <v>36</v>
      </c>
      <c r="O4" s="88"/>
      <c r="P4" s="87" t="s">
        <v>11</v>
      </c>
      <c r="Q4" s="88"/>
      <c r="R4" s="87" t="s">
        <v>12</v>
      </c>
      <c r="S4" s="88"/>
      <c r="T4" s="87" t="s">
        <v>59</v>
      </c>
      <c r="U4" s="88"/>
      <c r="V4" s="86" t="s">
        <v>60</v>
      </c>
      <c r="W4" s="85"/>
      <c r="X4" s="87" t="s">
        <v>13</v>
      </c>
      <c r="Y4" s="88"/>
      <c r="Z4" s="87" t="s">
        <v>14</v>
      </c>
      <c r="AA4" s="88"/>
      <c r="AB4" s="87" t="s">
        <v>37</v>
      </c>
      <c r="AC4" s="88"/>
      <c r="AD4" s="87" t="s">
        <v>15</v>
      </c>
      <c r="AE4" s="88"/>
      <c r="AF4" s="87" t="s">
        <v>16</v>
      </c>
      <c r="AG4" s="88"/>
      <c r="AH4" s="87" t="s">
        <v>17</v>
      </c>
      <c r="AI4" s="88"/>
      <c r="AJ4" s="87" t="s">
        <v>18</v>
      </c>
      <c r="AK4" s="88"/>
      <c r="AL4" s="87" t="s">
        <v>19</v>
      </c>
      <c r="AM4" s="88"/>
    </row>
    <row r="5" spans="1:39" ht="12.75" customHeight="1" x14ac:dyDescent="0.15">
      <c r="A5" s="33"/>
      <c r="B5" s="34"/>
      <c r="C5" s="11" t="s">
        <v>39</v>
      </c>
      <c r="D5" s="11" t="s">
        <v>40</v>
      </c>
      <c r="E5" s="12" t="s">
        <v>41</v>
      </c>
      <c r="F5" s="12" t="s">
        <v>42</v>
      </c>
      <c r="G5" s="11" t="s">
        <v>43</v>
      </c>
      <c r="H5" s="11"/>
      <c r="I5" s="11" t="s">
        <v>44</v>
      </c>
      <c r="J5" s="11" t="s">
        <v>45</v>
      </c>
      <c r="K5" s="11" t="s">
        <v>46</v>
      </c>
      <c r="L5" s="89" t="s">
        <v>47</v>
      </c>
      <c r="M5" s="89"/>
      <c r="N5" s="89" t="s">
        <v>48</v>
      </c>
      <c r="O5" s="89"/>
      <c r="P5" s="89" t="s">
        <v>49</v>
      </c>
      <c r="Q5" s="89"/>
      <c r="R5" s="89" t="s">
        <v>50</v>
      </c>
      <c r="S5" s="89"/>
      <c r="T5" s="86" t="s">
        <v>51</v>
      </c>
      <c r="U5" s="85"/>
      <c r="V5" s="86" t="s">
        <v>52</v>
      </c>
      <c r="W5" s="85"/>
      <c r="X5" s="86" t="s">
        <v>53</v>
      </c>
      <c r="Y5" s="85"/>
      <c r="Z5" s="86" t="s">
        <v>54</v>
      </c>
      <c r="AA5" s="85"/>
      <c r="AB5" s="86" t="s">
        <v>55</v>
      </c>
      <c r="AC5" s="85"/>
      <c r="AD5" s="86" t="s">
        <v>56</v>
      </c>
      <c r="AE5" s="85"/>
      <c r="AF5" s="89" t="s">
        <v>57</v>
      </c>
      <c r="AG5" s="89"/>
      <c r="AH5" s="89" t="s">
        <v>58</v>
      </c>
      <c r="AI5" s="89"/>
      <c r="AJ5" s="90" t="s">
        <v>61</v>
      </c>
      <c r="AK5" s="91"/>
      <c r="AL5" s="90" t="s">
        <v>62</v>
      </c>
      <c r="AM5" s="91"/>
    </row>
    <row r="6" spans="1:39" ht="7.5" customHeight="1" x14ac:dyDescent="0.15">
      <c r="B6" s="4"/>
      <c r="G6" s="7"/>
      <c r="H6" s="7"/>
      <c r="M6" s="3"/>
      <c r="O6" s="8"/>
      <c r="Q6" s="8"/>
      <c r="S6" s="8"/>
      <c r="U6" s="8"/>
      <c r="W6" s="8"/>
      <c r="Y6" s="8"/>
      <c r="AA6" s="8"/>
      <c r="AC6" s="8"/>
      <c r="AD6" s="4"/>
      <c r="AF6" s="9"/>
      <c r="AG6" s="9"/>
      <c r="AH6" s="9"/>
      <c r="AI6" s="9"/>
    </row>
    <row r="7" spans="1:39" s="58" customFormat="1" ht="16.5" customHeight="1" x14ac:dyDescent="0.15">
      <c r="A7" s="64" t="s">
        <v>68</v>
      </c>
      <c r="B7" s="65"/>
      <c r="G7" s="66"/>
      <c r="H7" s="66"/>
      <c r="O7" s="67"/>
      <c r="Q7" s="67"/>
      <c r="S7" s="67"/>
      <c r="U7" s="67"/>
      <c r="W7" s="67"/>
      <c r="Y7" s="67"/>
      <c r="AA7" s="67"/>
      <c r="AC7" s="67"/>
      <c r="AD7" s="65"/>
      <c r="AE7" s="68"/>
    </row>
    <row r="8" spans="1:39" s="58" customFormat="1" ht="6.75" customHeight="1" x14ac:dyDescent="0.15">
      <c r="A8" s="64"/>
      <c r="B8" s="65"/>
      <c r="G8" s="66"/>
      <c r="H8" s="66"/>
      <c r="O8" s="67"/>
      <c r="Q8" s="67"/>
      <c r="S8" s="67"/>
      <c r="U8" s="67"/>
      <c r="W8" s="67"/>
      <c r="Y8" s="67"/>
      <c r="AA8" s="67"/>
      <c r="AC8" s="67"/>
      <c r="AD8" s="65"/>
      <c r="AE8" s="68"/>
    </row>
    <row r="9" spans="1:39" s="14" customFormat="1" x14ac:dyDescent="0.15">
      <c r="A9" s="19">
        <v>111</v>
      </c>
      <c r="B9" s="20" t="s">
        <v>79</v>
      </c>
      <c r="C9" s="15">
        <v>1990</v>
      </c>
      <c r="D9" s="14">
        <v>290</v>
      </c>
      <c r="E9" s="14">
        <v>0</v>
      </c>
      <c r="F9" s="15">
        <v>2280</v>
      </c>
      <c r="G9" s="15">
        <v>1315</v>
      </c>
      <c r="H9" s="16">
        <v>56.5</v>
      </c>
      <c r="I9" s="14">
        <v>273</v>
      </c>
      <c r="J9" s="14">
        <v>14</v>
      </c>
      <c r="K9" s="15">
        <v>1301</v>
      </c>
      <c r="L9" s="14">
        <v>513</v>
      </c>
      <c r="M9" s="21">
        <v>39.431206764027671</v>
      </c>
      <c r="N9" s="14">
        <v>424</v>
      </c>
      <c r="O9" s="21">
        <v>32.590315142198314</v>
      </c>
      <c r="P9" s="14">
        <v>191</v>
      </c>
      <c r="Q9" s="21">
        <v>14.681014604150652</v>
      </c>
      <c r="R9" s="14">
        <v>9</v>
      </c>
      <c r="S9" s="21">
        <v>0.69177555726364337</v>
      </c>
      <c r="T9" s="5" t="s">
        <v>63</v>
      </c>
      <c r="U9" s="5" t="s">
        <v>63</v>
      </c>
      <c r="V9" s="5" t="s">
        <v>63</v>
      </c>
      <c r="W9" s="5" t="s">
        <v>63</v>
      </c>
      <c r="X9" s="14">
        <v>3</v>
      </c>
      <c r="Y9" s="21">
        <v>0.23059185242121444</v>
      </c>
      <c r="Z9" s="14">
        <v>12</v>
      </c>
      <c r="AA9" s="21">
        <v>0.92236740968485775</v>
      </c>
      <c r="AB9" s="14">
        <v>7</v>
      </c>
      <c r="AC9" s="21">
        <v>0.53804765564950041</v>
      </c>
      <c r="AD9" s="14">
        <v>63</v>
      </c>
      <c r="AE9" s="21">
        <v>4.8424289008455039</v>
      </c>
      <c r="AF9" s="14">
        <v>1</v>
      </c>
      <c r="AG9" s="21">
        <v>7.6863950807071479E-2</v>
      </c>
      <c r="AH9" s="14">
        <v>27</v>
      </c>
      <c r="AI9" s="21">
        <v>2.07532667179093</v>
      </c>
      <c r="AJ9" s="14">
        <v>48</v>
      </c>
      <c r="AK9" s="21">
        <v>3.689469638739431</v>
      </c>
      <c r="AL9" s="14">
        <v>3</v>
      </c>
      <c r="AM9" s="21">
        <v>0.23059185242121444</v>
      </c>
    </row>
    <row r="10" spans="1:39" s="14" customFormat="1" x14ac:dyDescent="0.15">
      <c r="A10" s="19"/>
      <c r="B10" s="20"/>
      <c r="C10" s="15"/>
      <c r="F10" s="15"/>
      <c r="G10" s="15"/>
      <c r="H10" s="16"/>
      <c r="K10" s="15"/>
      <c r="M10" s="21"/>
      <c r="O10" s="21"/>
      <c r="Q10" s="21"/>
      <c r="S10" s="21"/>
      <c r="T10" s="5"/>
      <c r="U10" s="5"/>
      <c r="V10" s="5"/>
      <c r="W10" s="5"/>
      <c r="Y10" s="21"/>
      <c r="AA10" s="21"/>
      <c r="AC10" s="21"/>
      <c r="AE10" s="21"/>
      <c r="AG10" s="21"/>
      <c r="AI10" s="21"/>
      <c r="AK10" s="21"/>
      <c r="AM10" s="21"/>
    </row>
    <row r="11" spans="1:39" s="14" customFormat="1" x14ac:dyDescent="0.15">
      <c r="A11" s="19">
        <v>112</v>
      </c>
      <c r="B11" s="20" t="s">
        <v>80</v>
      </c>
      <c r="C11" s="15">
        <v>2816</v>
      </c>
      <c r="D11" s="14">
        <v>485</v>
      </c>
      <c r="E11" s="14">
        <v>1</v>
      </c>
      <c r="F11" s="15">
        <v>3302</v>
      </c>
      <c r="G11" s="15">
        <v>1885</v>
      </c>
      <c r="H11" s="16">
        <v>55.8</v>
      </c>
      <c r="I11" s="14">
        <v>455</v>
      </c>
      <c r="J11" s="14">
        <v>19</v>
      </c>
      <c r="K11" s="15">
        <v>1866</v>
      </c>
      <c r="L11" s="14">
        <v>823</v>
      </c>
      <c r="M11" s="21">
        <v>44.10503751339764</v>
      </c>
      <c r="N11" s="14">
        <v>528</v>
      </c>
      <c r="O11" s="21">
        <v>28.29581993569132</v>
      </c>
      <c r="P11" s="14">
        <v>248</v>
      </c>
      <c r="Q11" s="21">
        <v>13.290460878885316</v>
      </c>
      <c r="R11" s="14">
        <v>25</v>
      </c>
      <c r="S11" s="21">
        <v>1.339764201500536</v>
      </c>
      <c r="T11" s="5" t="s">
        <v>63</v>
      </c>
      <c r="U11" s="5" t="s">
        <v>63</v>
      </c>
      <c r="V11" s="5" t="s">
        <v>63</v>
      </c>
      <c r="W11" s="5" t="s">
        <v>63</v>
      </c>
      <c r="X11" s="14">
        <v>7</v>
      </c>
      <c r="Y11" s="21">
        <v>0.37513397642015006</v>
      </c>
      <c r="Z11" s="14">
        <v>17</v>
      </c>
      <c r="AA11" s="21">
        <v>0.91103965702036449</v>
      </c>
      <c r="AB11" s="14">
        <v>4</v>
      </c>
      <c r="AC11" s="21">
        <v>0.21436227224008575</v>
      </c>
      <c r="AD11" s="14">
        <v>88</v>
      </c>
      <c r="AE11" s="21">
        <v>4.7159699892818869</v>
      </c>
      <c r="AF11" s="14">
        <v>2</v>
      </c>
      <c r="AG11" s="21">
        <v>0.10718113612004287</v>
      </c>
      <c r="AH11" s="14">
        <v>48</v>
      </c>
      <c r="AI11" s="21">
        <v>2.572347266881029</v>
      </c>
      <c r="AJ11" s="14">
        <v>69</v>
      </c>
      <c r="AK11" s="21">
        <v>3.697749196141479</v>
      </c>
      <c r="AL11" s="14">
        <v>7</v>
      </c>
      <c r="AM11" s="21">
        <v>0.37513397642015006</v>
      </c>
    </row>
    <row r="12" spans="1:39" s="14" customFormat="1" x14ac:dyDescent="0.15">
      <c r="A12" s="19"/>
      <c r="B12" s="20"/>
      <c r="C12" s="15"/>
      <c r="F12" s="15"/>
      <c r="G12" s="15"/>
      <c r="H12" s="16"/>
      <c r="K12" s="15"/>
      <c r="M12" s="5"/>
      <c r="O12" s="5"/>
      <c r="Q12" s="5"/>
      <c r="S12" s="5"/>
      <c r="T12" s="5"/>
      <c r="U12" s="5"/>
      <c r="V12" s="5"/>
      <c r="W12" s="5"/>
      <c r="Y12" s="5"/>
      <c r="AA12" s="5"/>
      <c r="AC12" s="5"/>
      <c r="AE12" s="5"/>
      <c r="AG12" s="5"/>
      <c r="AI12" s="5"/>
      <c r="AK12" s="5"/>
      <c r="AM12" s="5"/>
    </row>
    <row r="13" spans="1:39" s="14" customFormat="1" x14ac:dyDescent="0.15">
      <c r="A13" s="19">
        <v>113</v>
      </c>
      <c r="B13" s="20" t="s">
        <v>81</v>
      </c>
      <c r="C13" s="15">
        <v>5291</v>
      </c>
      <c r="D13" s="14">
        <v>976</v>
      </c>
      <c r="E13" s="14">
        <v>0</v>
      </c>
      <c r="F13" s="15">
        <v>6267</v>
      </c>
      <c r="G13" s="15">
        <v>4135</v>
      </c>
      <c r="H13" s="16">
        <v>65</v>
      </c>
      <c r="I13" s="14">
        <v>892</v>
      </c>
      <c r="J13" s="14">
        <v>31</v>
      </c>
      <c r="K13" s="15">
        <v>4104</v>
      </c>
      <c r="L13" s="15">
        <v>1505</v>
      </c>
      <c r="M13" s="21">
        <v>36.671539961013643</v>
      </c>
      <c r="N13" s="14">
        <v>627</v>
      </c>
      <c r="O13" s="21">
        <v>15.277777777777779</v>
      </c>
      <c r="P13" s="15">
        <v>1478</v>
      </c>
      <c r="Q13" s="21">
        <v>36.01364522417154</v>
      </c>
      <c r="R13" s="14">
        <v>18</v>
      </c>
      <c r="S13" s="21">
        <v>0.43859649122807015</v>
      </c>
      <c r="T13" s="5" t="s">
        <v>63</v>
      </c>
      <c r="U13" s="5" t="s">
        <v>63</v>
      </c>
      <c r="V13" s="5" t="s">
        <v>63</v>
      </c>
      <c r="W13" s="5" t="s">
        <v>63</v>
      </c>
      <c r="X13" s="14">
        <v>5</v>
      </c>
      <c r="Y13" s="21">
        <v>0.12183235867446393</v>
      </c>
      <c r="Z13" s="14">
        <v>23</v>
      </c>
      <c r="AA13" s="21">
        <v>0.56042884990253405</v>
      </c>
      <c r="AB13" s="14">
        <v>27</v>
      </c>
      <c r="AC13" s="21">
        <v>0.6578947368421052</v>
      </c>
      <c r="AD13" s="14">
        <v>138</v>
      </c>
      <c r="AE13" s="21">
        <v>3.3625730994152043</v>
      </c>
      <c r="AF13" s="14">
        <v>4</v>
      </c>
      <c r="AG13" s="21">
        <v>9.7465886939571145E-2</v>
      </c>
      <c r="AH13" s="14">
        <v>196</v>
      </c>
      <c r="AI13" s="21">
        <v>4.7758284600389862</v>
      </c>
      <c r="AJ13" s="14">
        <v>70</v>
      </c>
      <c r="AK13" s="21">
        <v>1.705653021442495</v>
      </c>
      <c r="AL13" s="14">
        <v>13</v>
      </c>
      <c r="AM13" s="21">
        <v>0.31676413255360625</v>
      </c>
    </row>
    <row r="14" spans="1:39" s="14" customFormat="1" x14ac:dyDescent="0.15">
      <c r="A14" s="19"/>
      <c r="B14" s="20"/>
      <c r="C14" s="15"/>
      <c r="F14" s="15"/>
      <c r="G14" s="15"/>
      <c r="H14" s="16"/>
      <c r="K14" s="15"/>
      <c r="L14" s="15"/>
      <c r="M14" s="21"/>
      <c r="O14" s="21"/>
      <c r="P14" s="15"/>
      <c r="Q14" s="21"/>
      <c r="S14" s="21"/>
      <c r="T14" s="5"/>
      <c r="U14" s="5"/>
      <c r="V14" s="5"/>
      <c r="W14" s="5"/>
      <c r="Y14" s="21"/>
      <c r="AA14" s="21"/>
      <c r="AC14" s="21"/>
      <c r="AE14" s="21"/>
      <c r="AG14" s="21"/>
      <c r="AI14" s="21"/>
      <c r="AK14" s="21"/>
      <c r="AM14" s="21"/>
    </row>
    <row r="15" spans="1:39" s="14" customFormat="1" x14ac:dyDescent="0.15">
      <c r="A15" s="19">
        <v>11</v>
      </c>
      <c r="B15" s="20" t="s">
        <v>82</v>
      </c>
      <c r="C15" s="15">
        <v>10097</v>
      </c>
      <c r="D15" s="15">
        <v>1751</v>
      </c>
      <c r="E15" s="14">
        <v>1</v>
      </c>
      <c r="F15" s="15">
        <v>11849</v>
      </c>
      <c r="G15" s="15">
        <v>7335</v>
      </c>
      <c r="H15" s="16">
        <v>60.8</v>
      </c>
      <c r="I15" s="15">
        <v>1620</v>
      </c>
      <c r="J15" s="14">
        <v>64</v>
      </c>
      <c r="K15" s="15">
        <v>7271</v>
      </c>
      <c r="L15" s="15">
        <v>2841</v>
      </c>
      <c r="M15" s="21">
        <v>39.073029844588092</v>
      </c>
      <c r="N15" s="15">
        <v>1579</v>
      </c>
      <c r="O15" s="21">
        <v>21.716407646816119</v>
      </c>
      <c r="P15" s="15">
        <v>1917</v>
      </c>
      <c r="Q15" s="21">
        <v>26.36501169027644</v>
      </c>
      <c r="R15" s="14">
        <v>52</v>
      </c>
      <c r="S15" s="21">
        <v>0.71516985284004952</v>
      </c>
      <c r="T15" s="5" t="s">
        <v>63</v>
      </c>
      <c r="U15" s="5" t="s">
        <v>63</v>
      </c>
      <c r="V15" s="5" t="s">
        <v>63</v>
      </c>
      <c r="W15" s="5" t="s">
        <v>63</v>
      </c>
      <c r="X15" s="14">
        <v>15</v>
      </c>
      <c r="Y15" s="21">
        <v>0.20629899601155274</v>
      </c>
      <c r="Z15" s="14">
        <v>52</v>
      </c>
      <c r="AA15" s="21">
        <v>0.71516985284004952</v>
      </c>
      <c r="AB15" s="14">
        <v>38</v>
      </c>
      <c r="AC15" s="21">
        <v>0.52262412322926699</v>
      </c>
      <c r="AD15" s="14">
        <v>289</v>
      </c>
      <c r="AE15" s="21">
        <v>3.9746939898225828</v>
      </c>
      <c r="AF15" s="14">
        <v>7</v>
      </c>
      <c r="AG15" s="21">
        <v>9.6272864805391281E-2</v>
      </c>
      <c r="AH15" s="14">
        <v>271</v>
      </c>
      <c r="AI15" s="21">
        <v>3.7271351946087194</v>
      </c>
      <c r="AJ15" s="14">
        <v>187</v>
      </c>
      <c r="AK15" s="21">
        <v>2.5718608169440245</v>
      </c>
      <c r="AL15" s="14">
        <v>23</v>
      </c>
      <c r="AM15" s="21">
        <v>0.31632512721771422</v>
      </c>
    </row>
    <row r="16" spans="1:39" s="14" customFormat="1" x14ac:dyDescent="0.15">
      <c r="A16" s="19"/>
      <c r="B16" s="20"/>
      <c r="C16" s="15"/>
      <c r="D16" s="15"/>
      <c r="F16" s="15"/>
      <c r="G16" s="15"/>
      <c r="H16" s="16"/>
      <c r="I16" s="15"/>
      <c r="K16" s="15"/>
      <c r="L16" s="15"/>
      <c r="M16" s="21"/>
      <c r="N16" s="15"/>
      <c r="O16" s="21"/>
      <c r="P16" s="15"/>
      <c r="Q16" s="21"/>
      <c r="S16" s="21"/>
      <c r="T16" s="5"/>
      <c r="U16" s="5"/>
      <c r="V16" s="5"/>
      <c r="W16" s="5"/>
      <c r="Y16" s="21"/>
      <c r="AA16" s="21"/>
      <c r="AC16" s="21"/>
      <c r="AE16" s="21"/>
      <c r="AG16" s="21"/>
      <c r="AI16" s="21"/>
      <c r="AK16" s="21"/>
      <c r="AM16" s="21"/>
    </row>
    <row r="17" spans="1:39" s="14" customFormat="1" x14ac:dyDescent="0.15">
      <c r="A17" s="19">
        <v>211</v>
      </c>
      <c r="B17" s="20" t="s">
        <v>83</v>
      </c>
      <c r="C17" s="15">
        <v>3817</v>
      </c>
      <c r="D17" s="14">
        <v>715</v>
      </c>
      <c r="E17" s="14">
        <v>0</v>
      </c>
      <c r="F17" s="15">
        <v>4532</v>
      </c>
      <c r="G17" s="15">
        <v>2716</v>
      </c>
      <c r="H17" s="16">
        <v>59.1</v>
      </c>
      <c r="I17" s="14">
        <v>646</v>
      </c>
      <c r="J17" s="14">
        <v>46</v>
      </c>
      <c r="K17" s="15">
        <v>2670</v>
      </c>
      <c r="L17" s="15">
        <v>1147</v>
      </c>
      <c r="M17" s="21">
        <v>42.958801498127343</v>
      </c>
      <c r="N17" s="14">
        <v>657</v>
      </c>
      <c r="O17" s="21">
        <v>24.606741573033709</v>
      </c>
      <c r="P17" s="14">
        <v>518</v>
      </c>
      <c r="Q17" s="21">
        <v>19.400749063670411</v>
      </c>
      <c r="R17" s="14">
        <v>22</v>
      </c>
      <c r="S17" s="21">
        <v>0.82397003745318353</v>
      </c>
      <c r="T17" s="5" t="s">
        <v>63</v>
      </c>
      <c r="U17" s="5" t="s">
        <v>63</v>
      </c>
      <c r="V17" s="5" t="s">
        <v>63</v>
      </c>
      <c r="W17" s="5" t="s">
        <v>63</v>
      </c>
      <c r="X17" s="14">
        <v>8</v>
      </c>
      <c r="Y17" s="21">
        <v>0.29962546816479402</v>
      </c>
      <c r="Z17" s="14">
        <v>20</v>
      </c>
      <c r="AA17" s="21">
        <v>0.74906367041198507</v>
      </c>
      <c r="AB17" s="14">
        <v>16</v>
      </c>
      <c r="AC17" s="21">
        <v>0.59925093632958804</v>
      </c>
      <c r="AD17" s="14">
        <v>115</v>
      </c>
      <c r="AE17" s="21">
        <v>4.3071161048689142</v>
      </c>
      <c r="AF17" s="14">
        <v>6</v>
      </c>
      <c r="AG17" s="21">
        <v>0.22471910112359553</v>
      </c>
      <c r="AH17" s="14">
        <v>77</v>
      </c>
      <c r="AI17" s="21">
        <v>2.8838951310861423</v>
      </c>
      <c r="AJ17" s="14">
        <v>70</v>
      </c>
      <c r="AK17" s="21">
        <v>2.6217228464419478</v>
      </c>
      <c r="AL17" s="14">
        <v>14</v>
      </c>
      <c r="AM17" s="21">
        <v>0.52434456928838957</v>
      </c>
    </row>
    <row r="18" spans="1:39" s="14" customFormat="1" x14ac:dyDescent="0.15">
      <c r="A18" s="19"/>
      <c r="B18" s="20"/>
      <c r="C18" s="15"/>
      <c r="F18" s="15"/>
      <c r="G18" s="15"/>
      <c r="H18" s="16"/>
      <c r="K18" s="15"/>
      <c r="L18" s="15"/>
      <c r="M18" s="21"/>
      <c r="O18" s="21"/>
      <c r="Q18" s="21"/>
      <c r="S18" s="21"/>
      <c r="T18" s="5"/>
      <c r="U18" s="5"/>
      <c r="V18" s="5"/>
      <c r="W18" s="5"/>
      <c r="Y18" s="21"/>
      <c r="AA18" s="21"/>
      <c r="AC18" s="21"/>
      <c r="AE18" s="21"/>
      <c r="AG18" s="21"/>
      <c r="AI18" s="21"/>
      <c r="AK18" s="21"/>
      <c r="AM18" s="21"/>
    </row>
    <row r="19" spans="1:39" s="14" customFormat="1" x14ac:dyDescent="0.15">
      <c r="A19" s="19">
        <v>212</v>
      </c>
      <c r="B19" s="20" t="s">
        <v>84</v>
      </c>
      <c r="C19" s="15">
        <v>2907</v>
      </c>
      <c r="D19" s="14">
        <v>340</v>
      </c>
      <c r="E19" s="14">
        <v>0</v>
      </c>
      <c r="F19" s="15">
        <v>3247</v>
      </c>
      <c r="G19" s="15">
        <v>1802</v>
      </c>
      <c r="H19" s="16">
        <v>54.5</v>
      </c>
      <c r="I19" s="14">
        <v>321</v>
      </c>
      <c r="J19" s="14">
        <v>16</v>
      </c>
      <c r="K19" s="15">
        <v>1786</v>
      </c>
      <c r="L19" s="14">
        <v>792</v>
      </c>
      <c r="M19" s="21">
        <v>44.344904815229562</v>
      </c>
      <c r="N19" s="14">
        <v>366</v>
      </c>
      <c r="O19" s="21">
        <v>20.492721164613663</v>
      </c>
      <c r="P19" s="14">
        <v>357</v>
      </c>
      <c r="Q19" s="21">
        <v>19.988801791713325</v>
      </c>
      <c r="R19" s="14">
        <v>13</v>
      </c>
      <c r="S19" s="21">
        <v>0.72788353863381861</v>
      </c>
      <c r="T19" s="5" t="s">
        <v>63</v>
      </c>
      <c r="U19" s="5" t="s">
        <v>63</v>
      </c>
      <c r="V19" s="5" t="s">
        <v>63</v>
      </c>
      <c r="W19" s="5" t="s">
        <v>63</v>
      </c>
      <c r="X19" s="14">
        <v>4</v>
      </c>
      <c r="Y19" s="21">
        <v>0.22396416573348266</v>
      </c>
      <c r="Z19" s="14">
        <v>18</v>
      </c>
      <c r="AA19" s="21">
        <v>1.0078387458006719</v>
      </c>
      <c r="AB19" s="14">
        <v>14</v>
      </c>
      <c r="AC19" s="21">
        <v>0.78387458006718924</v>
      </c>
      <c r="AD19" s="14">
        <v>57</v>
      </c>
      <c r="AE19" s="21">
        <v>3.1914893617021276</v>
      </c>
      <c r="AF19" s="14">
        <v>13</v>
      </c>
      <c r="AG19" s="21">
        <v>0.72788353863381861</v>
      </c>
      <c r="AH19" s="14">
        <v>55</v>
      </c>
      <c r="AI19" s="21">
        <v>3.0795072788353863</v>
      </c>
      <c r="AJ19" s="14">
        <v>86</v>
      </c>
      <c r="AK19" s="21">
        <v>4.8152295632698765</v>
      </c>
      <c r="AL19" s="14">
        <v>11</v>
      </c>
      <c r="AM19" s="21">
        <v>0.61590145576707722</v>
      </c>
    </row>
    <row r="20" spans="1:39" s="14" customFormat="1" x14ac:dyDescent="0.15">
      <c r="A20" s="19"/>
      <c r="B20" s="20"/>
      <c r="C20" s="15"/>
      <c r="F20" s="15"/>
      <c r="G20" s="15"/>
      <c r="H20" s="16"/>
      <c r="K20" s="15"/>
      <c r="M20" s="5"/>
      <c r="O20" s="5"/>
      <c r="Q20" s="5"/>
      <c r="S20" s="5"/>
      <c r="T20" s="5"/>
      <c r="U20" s="5"/>
      <c r="V20" s="5"/>
      <c r="W20" s="5"/>
      <c r="Y20" s="5"/>
      <c r="AA20" s="5"/>
      <c r="AC20" s="5"/>
      <c r="AE20" s="5"/>
      <c r="AG20" s="5"/>
      <c r="AI20" s="5"/>
      <c r="AK20" s="5"/>
      <c r="AM20" s="5"/>
    </row>
    <row r="21" spans="1:39" s="14" customFormat="1" x14ac:dyDescent="0.15">
      <c r="A21" s="19">
        <v>213</v>
      </c>
      <c r="B21" s="20" t="s">
        <v>85</v>
      </c>
      <c r="C21" s="15">
        <v>4676</v>
      </c>
      <c r="D21" s="14">
        <v>741</v>
      </c>
      <c r="E21" s="14">
        <v>0</v>
      </c>
      <c r="F21" s="15">
        <v>5417</v>
      </c>
      <c r="G21" s="15">
        <v>3593</v>
      </c>
      <c r="H21" s="16">
        <v>65.5</v>
      </c>
      <c r="I21" s="14">
        <v>675</v>
      </c>
      <c r="J21" s="14">
        <v>40</v>
      </c>
      <c r="K21" s="15">
        <v>3553</v>
      </c>
      <c r="L21" s="15">
        <v>1504</v>
      </c>
      <c r="M21" s="21">
        <v>42.330424992963692</v>
      </c>
      <c r="N21" s="14">
        <v>685</v>
      </c>
      <c r="O21" s="21">
        <v>19.279482127779339</v>
      </c>
      <c r="P21" s="14">
        <v>959</v>
      </c>
      <c r="Q21" s="21">
        <v>26.991274978891077</v>
      </c>
      <c r="R21" s="14">
        <v>19</v>
      </c>
      <c r="S21" s="21">
        <v>0.53475935828876997</v>
      </c>
      <c r="T21" s="5" t="s">
        <v>63</v>
      </c>
      <c r="U21" s="5" t="s">
        <v>63</v>
      </c>
      <c r="V21" s="5" t="s">
        <v>63</v>
      </c>
      <c r="W21" s="5" t="s">
        <v>63</v>
      </c>
      <c r="X21" s="14">
        <v>10</v>
      </c>
      <c r="Y21" s="21">
        <v>0.28145229383619474</v>
      </c>
      <c r="Z21" s="14">
        <v>27</v>
      </c>
      <c r="AA21" s="21">
        <v>0.7599211933577259</v>
      </c>
      <c r="AB21" s="14">
        <v>33</v>
      </c>
      <c r="AC21" s="21">
        <v>0.92879256965944268</v>
      </c>
      <c r="AD21" s="14">
        <v>98</v>
      </c>
      <c r="AE21" s="21">
        <v>2.7582324795947089</v>
      </c>
      <c r="AF21" s="14">
        <v>9</v>
      </c>
      <c r="AG21" s="21">
        <v>0.25330706445257528</v>
      </c>
      <c r="AH21" s="14">
        <v>91</v>
      </c>
      <c r="AI21" s="21">
        <v>2.5612158739093722</v>
      </c>
      <c r="AJ21" s="14">
        <v>99</v>
      </c>
      <c r="AK21" s="21">
        <v>2.7863777089783279</v>
      </c>
      <c r="AL21" s="14">
        <v>19</v>
      </c>
      <c r="AM21" s="21">
        <v>0.53475935828876997</v>
      </c>
    </row>
    <row r="22" spans="1:39" s="14" customFormat="1" x14ac:dyDescent="0.15">
      <c r="A22" s="19"/>
      <c r="B22" s="20"/>
      <c r="C22" s="15"/>
      <c r="F22" s="15"/>
      <c r="G22" s="15"/>
      <c r="H22" s="16"/>
      <c r="K22" s="15"/>
      <c r="L22" s="15"/>
      <c r="M22" s="5"/>
      <c r="O22" s="5"/>
      <c r="Q22" s="5"/>
      <c r="S22" s="5"/>
      <c r="T22" s="5"/>
      <c r="U22" s="5"/>
      <c r="V22" s="5"/>
      <c r="W22" s="5"/>
      <c r="Y22" s="5"/>
      <c r="AA22" s="5"/>
      <c r="AC22" s="5"/>
      <c r="AE22" s="5"/>
      <c r="AG22" s="5"/>
      <c r="AI22" s="5"/>
      <c r="AK22" s="5"/>
      <c r="AM22" s="5"/>
    </row>
    <row r="23" spans="1:39" s="14" customFormat="1" x14ac:dyDescent="0.15">
      <c r="A23" s="19">
        <v>214</v>
      </c>
      <c r="B23" s="20" t="s">
        <v>86</v>
      </c>
      <c r="C23" s="15">
        <v>3295</v>
      </c>
      <c r="D23" s="14">
        <v>395</v>
      </c>
      <c r="E23" s="14">
        <v>0</v>
      </c>
      <c r="F23" s="15">
        <v>3690</v>
      </c>
      <c r="G23" s="15">
        <v>2304</v>
      </c>
      <c r="H23" s="16">
        <v>61.6</v>
      </c>
      <c r="I23" s="14">
        <v>365</v>
      </c>
      <c r="J23" s="14">
        <v>25</v>
      </c>
      <c r="K23" s="15">
        <v>2279</v>
      </c>
      <c r="L23" s="15">
        <v>1004</v>
      </c>
      <c r="M23" s="21">
        <v>44.054409828872316</v>
      </c>
      <c r="N23" s="14">
        <v>422</v>
      </c>
      <c r="O23" s="21">
        <v>18.516893374286969</v>
      </c>
      <c r="P23" s="14">
        <v>510</v>
      </c>
      <c r="Q23" s="21">
        <v>22.378236068451073</v>
      </c>
      <c r="R23" s="14">
        <v>27</v>
      </c>
      <c r="S23" s="21">
        <v>1.1847301448003511</v>
      </c>
      <c r="T23" s="5" t="s">
        <v>63</v>
      </c>
      <c r="U23" s="5" t="s">
        <v>63</v>
      </c>
      <c r="V23" s="5" t="s">
        <v>63</v>
      </c>
      <c r="W23" s="5" t="s">
        <v>63</v>
      </c>
      <c r="X23" s="14">
        <v>6</v>
      </c>
      <c r="Y23" s="21">
        <v>0.26327336551118913</v>
      </c>
      <c r="Z23" s="14">
        <v>25</v>
      </c>
      <c r="AA23" s="21">
        <v>1.0969723562966212</v>
      </c>
      <c r="AB23" s="14">
        <v>17</v>
      </c>
      <c r="AC23" s="21">
        <v>0.74594120228170246</v>
      </c>
      <c r="AD23" s="14">
        <v>67</v>
      </c>
      <c r="AE23" s="21">
        <v>2.9398859148749454</v>
      </c>
      <c r="AF23" s="14">
        <v>12</v>
      </c>
      <c r="AG23" s="21">
        <v>0.52654673102237826</v>
      </c>
      <c r="AH23" s="14">
        <v>90</v>
      </c>
      <c r="AI23" s="21">
        <v>3.9491004826678369</v>
      </c>
      <c r="AJ23" s="14">
        <v>81</v>
      </c>
      <c r="AK23" s="21">
        <v>3.5541904344010526</v>
      </c>
      <c r="AL23" s="14">
        <v>18</v>
      </c>
      <c r="AM23" s="21">
        <v>0.78982009653356733</v>
      </c>
    </row>
    <row r="24" spans="1:39" s="14" customFormat="1" x14ac:dyDescent="0.15">
      <c r="A24" s="19"/>
      <c r="B24" s="20"/>
      <c r="C24" s="15"/>
      <c r="F24" s="15"/>
      <c r="G24" s="15"/>
      <c r="H24" s="16"/>
      <c r="K24" s="15"/>
      <c r="L24" s="15"/>
      <c r="M24" s="5"/>
      <c r="O24" s="5"/>
      <c r="Q24" s="5"/>
      <c r="S24" s="5"/>
      <c r="T24" s="5"/>
      <c r="U24" s="5"/>
      <c r="V24" s="5"/>
      <c r="W24" s="5"/>
      <c r="Y24" s="5"/>
      <c r="AA24" s="5"/>
      <c r="AC24" s="5"/>
      <c r="AE24" s="5"/>
      <c r="AG24" s="5"/>
      <c r="AI24" s="5"/>
      <c r="AK24" s="5"/>
      <c r="AM24" s="5"/>
    </row>
    <row r="25" spans="1:39" s="14" customFormat="1" x14ac:dyDescent="0.15">
      <c r="A25" s="19">
        <v>215</v>
      </c>
      <c r="B25" s="20" t="s">
        <v>87</v>
      </c>
      <c r="C25" s="15">
        <v>3275</v>
      </c>
      <c r="D25" s="14">
        <v>354</v>
      </c>
      <c r="E25" s="14">
        <v>0</v>
      </c>
      <c r="F25" s="15">
        <v>3629</v>
      </c>
      <c r="G25" s="15">
        <v>2192</v>
      </c>
      <c r="H25" s="16">
        <v>59.7</v>
      </c>
      <c r="I25" s="14">
        <v>328</v>
      </c>
      <c r="J25" s="14">
        <v>24</v>
      </c>
      <c r="K25" s="15">
        <v>2168</v>
      </c>
      <c r="L25" s="15">
        <v>1096</v>
      </c>
      <c r="M25" s="21">
        <v>50.553505535055351</v>
      </c>
      <c r="N25" s="14">
        <v>542</v>
      </c>
      <c r="O25" s="21">
        <v>25</v>
      </c>
      <c r="P25" s="14">
        <v>230</v>
      </c>
      <c r="Q25" s="21">
        <v>10.608856088560886</v>
      </c>
      <c r="R25" s="14">
        <v>32</v>
      </c>
      <c r="S25" s="21">
        <v>1.4760147601476015</v>
      </c>
      <c r="T25" s="5" t="s">
        <v>63</v>
      </c>
      <c r="U25" s="5" t="s">
        <v>63</v>
      </c>
      <c r="V25" s="5" t="s">
        <v>63</v>
      </c>
      <c r="W25" s="5" t="s">
        <v>63</v>
      </c>
      <c r="X25" s="14">
        <v>15</v>
      </c>
      <c r="Y25" s="21">
        <v>0.69188191881918815</v>
      </c>
      <c r="Z25" s="14">
        <v>29</v>
      </c>
      <c r="AA25" s="21">
        <v>1.3376383763837638</v>
      </c>
      <c r="AB25" s="14">
        <v>9</v>
      </c>
      <c r="AC25" s="21">
        <v>0.41512915129151295</v>
      </c>
      <c r="AD25" s="14">
        <v>57</v>
      </c>
      <c r="AE25" s="21">
        <v>2.6291512915129154</v>
      </c>
      <c r="AF25" s="14">
        <v>4</v>
      </c>
      <c r="AG25" s="21">
        <v>0.18450184501845018</v>
      </c>
      <c r="AH25" s="14">
        <v>48</v>
      </c>
      <c r="AI25" s="21">
        <v>2.214022140221402</v>
      </c>
      <c r="AJ25" s="14">
        <v>100</v>
      </c>
      <c r="AK25" s="21">
        <v>4.6125461254612548</v>
      </c>
      <c r="AL25" s="14">
        <v>6</v>
      </c>
      <c r="AM25" s="21">
        <v>0.27675276752767525</v>
      </c>
    </row>
    <row r="26" spans="1:39" s="14" customFormat="1" x14ac:dyDescent="0.15">
      <c r="A26" s="19"/>
      <c r="B26" s="20"/>
      <c r="C26" s="15"/>
      <c r="F26" s="15"/>
      <c r="G26" s="15"/>
      <c r="H26" s="16"/>
      <c r="K26" s="15"/>
      <c r="L26" s="15"/>
      <c r="M26" s="5"/>
      <c r="O26" s="5"/>
      <c r="Q26" s="5"/>
      <c r="S26" s="5"/>
      <c r="T26" s="5"/>
      <c r="U26" s="5"/>
      <c r="V26" s="5"/>
      <c r="W26" s="5"/>
      <c r="Y26" s="5"/>
      <c r="AA26" s="5"/>
      <c r="AC26" s="5"/>
      <c r="AE26" s="5"/>
      <c r="AG26" s="5"/>
      <c r="AI26" s="5"/>
      <c r="AK26" s="5"/>
      <c r="AM26" s="5"/>
    </row>
    <row r="27" spans="1:39" s="14" customFormat="1" x14ac:dyDescent="0.15">
      <c r="A27" s="19">
        <v>216</v>
      </c>
      <c r="B27" s="20" t="s">
        <v>88</v>
      </c>
      <c r="C27" s="15">
        <v>4562</v>
      </c>
      <c r="D27" s="14">
        <v>633</v>
      </c>
      <c r="E27" s="14">
        <v>0</v>
      </c>
      <c r="F27" s="15">
        <v>5195</v>
      </c>
      <c r="G27" s="15">
        <v>3259</v>
      </c>
      <c r="H27" s="16">
        <v>61.9</v>
      </c>
      <c r="I27" s="14">
        <v>581</v>
      </c>
      <c r="J27" s="14">
        <v>30</v>
      </c>
      <c r="K27" s="15">
        <v>3229</v>
      </c>
      <c r="L27" s="15">
        <v>1364</v>
      </c>
      <c r="M27" s="21">
        <v>42.24218024156086</v>
      </c>
      <c r="N27" s="14">
        <v>620</v>
      </c>
      <c r="O27" s="21">
        <v>19.200991018891298</v>
      </c>
      <c r="P27" s="14">
        <v>827</v>
      </c>
      <c r="Q27" s="21">
        <v>25.611644471972745</v>
      </c>
      <c r="R27" s="14">
        <v>25</v>
      </c>
      <c r="S27" s="21">
        <v>0.77423350882626196</v>
      </c>
      <c r="T27" s="5" t="s">
        <v>63</v>
      </c>
      <c r="U27" s="5" t="s">
        <v>63</v>
      </c>
      <c r="V27" s="5" t="s">
        <v>63</v>
      </c>
      <c r="W27" s="5" t="s">
        <v>63</v>
      </c>
      <c r="X27" s="14">
        <v>11</v>
      </c>
      <c r="Y27" s="21">
        <v>0.34066274388355527</v>
      </c>
      <c r="Z27" s="14">
        <v>27</v>
      </c>
      <c r="AA27" s="21">
        <v>0.83617218953236305</v>
      </c>
      <c r="AB27" s="14">
        <v>30</v>
      </c>
      <c r="AC27" s="21">
        <v>0.92908021059151435</v>
      </c>
      <c r="AD27" s="14">
        <v>93</v>
      </c>
      <c r="AE27" s="21">
        <v>2.8801486528336944</v>
      </c>
      <c r="AF27" s="14">
        <v>8</v>
      </c>
      <c r="AG27" s="21">
        <v>0.24775472282440383</v>
      </c>
      <c r="AH27" s="14">
        <v>128</v>
      </c>
      <c r="AI27" s="21">
        <v>3.9640755651904613</v>
      </c>
      <c r="AJ27" s="14">
        <v>81</v>
      </c>
      <c r="AK27" s="21">
        <v>2.5085165685970887</v>
      </c>
      <c r="AL27" s="14">
        <v>15</v>
      </c>
      <c r="AM27" s="21">
        <v>0.46454010529575718</v>
      </c>
    </row>
    <row r="28" spans="1:39" s="14" customFormat="1" x14ac:dyDescent="0.15">
      <c r="A28" s="19"/>
      <c r="B28" s="20"/>
      <c r="C28" s="15"/>
      <c r="F28" s="15"/>
      <c r="G28" s="15"/>
      <c r="H28" s="16"/>
      <c r="K28" s="15"/>
      <c r="L28" s="15"/>
      <c r="M28" s="5"/>
      <c r="O28" s="5"/>
      <c r="Q28" s="5"/>
      <c r="S28" s="5"/>
      <c r="T28" s="5"/>
      <c r="U28" s="5"/>
      <c r="V28" s="5"/>
      <c r="W28" s="5"/>
      <c r="Y28" s="5"/>
      <c r="AA28" s="5"/>
      <c r="AC28" s="5"/>
      <c r="AE28" s="5"/>
      <c r="AG28" s="5"/>
      <c r="AI28" s="5"/>
      <c r="AK28" s="5"/>
      <c r="AM28" s="5"/>
    </row>
    <row r="29" spans="1:39" s="14" customFormat="1" x14ac:dyDescent="0.15">
      <c r="A29" s="19">
        <v>217</v>
      </c>
      <c r="B29" s="20" t="s">
        <v>89</v>
      </c>
      <c r="C29" s="14">
        <v>831</v>
      </c>
      <c r="D29" s="14">
        <v>119</v>
      </c>
      <c r="E29" s="14">
        <v>0</v>
      </c>
      <c r="F29" s="14">
        <v>950</v>
      </c>
      <c r="G29" s="14">
        <v>543</v>
      </c>
      <c r="H29" s="16">
        <v>56</v>
      </c>
      <c r="I29" s="14">
        <v>112</v>
      </c>
      <c r="J29" s="14">
        <v>4</v>
      </c>
      <c r="K29" s="14">
        <v>539</v>
      </c>
      <c r="L29" s="14">
        <v>260</v>
      </c>
      <c r="M29" s="21">
        <v>48.237476808905384</v>
      </c>
      <c r="N29" s="14">
        <v>132</v>
      </c>
      <c r="O29" s="21">
        <v>24.489795918367346</v>
      </c>
      <c r="P29" s="14">
        <v>69</v>
      </c>
      <c r="Q29" s="21">
        <v>12.80148423005566</v>
      </c>
      <c r="R29" s="14">
        <v>7</v>
      </c>
      <c r="S29" s="21">
        <v>1.2987012987012987</v>
      </c>
      <c r="T29" s="5" t="s">
        <v>63</v>
      </c>
      <c r="U29" s="5" t="s">
        <v>63</v>
      </c>
      <c r="V29" s="5" t="s">
        <v>63</v>
      </c>
      <c r="W29" s="5" t="s">
        <v>63</v>
      </c>
      <c r="X29" s="14">
        <v>2</v>
      </c>
      <c r="Y29" s="21">
        <v>0.3710575139146568</v>
      </c>
      <c r="Z29" s="14">
        <v>4</v>
      </c>
      <c r="AA29" s="21">
        <v>0.7421150278293136</v>
      </c>
      <c r="AB29" s="14">
        <v>2</v>
      </c>
      <c r="AC29" s="21">
        <v>0.3710575139146568</v>
      </c>
      <c r="AD29" s="14">
        <v>24</v>
      </c>
      <c r="AE29" s="21">
        <v>4.4526901669758807</v>
      </c>
      <c r="AF29" s="14">
        <v>3</v>
      </c>
      <c r="AG29" s="21">
        <v>0.55658627087198509</v>
      </c>
      <c r="AH29" s="14">
        <v>9</v>
      </c>
      <c r="AI29" s="21">
        <v>1.6697588126159555</v>
      </c>
      <c r="AJ29" s="14">
        <v>26</v>
      </c>
      <c r="AK29" s="21">
        <v>4.8237476808905377</v>
      </c>
      <c r="AL29" s="14">
        <v>1</v>
      </c>
      <c r="AM29" s="21">
        <v>0.1855287569573284</v>
      </c>
    </row>
    <row r="30" spans="1:39" s="14" customFormat="1" x14ac:dyDescent="0.15">
      <c r="A30" s="19"/>
      <c r="B30" s="20"/>
      <c r="H30" s="16"/>
      <c r="M30" s="5"/>
      <c r="O30" s="5"/>
      <c r="Q30" s="5"/>
      <c r="S30" s="5"/>
      <c r="T30" s="5"/>
      <c r="U30" s="5"/>
      <c r="V30" s="5"/>
      <c r="W30" s="5"/>
      <c r="Y30" s="5"/>
      <c r="AA30" s="5"/>
      <c r="AC30" s="5"/>
      <c r="AE30" s="5"/>
      <c r="AG30" s="5"/>
      <c r="AI30" s="5"/>
      <c r="AK30" s="5"/>
      <c r="AM30" s="5"/>
    </row>
    <row r="31" spans="1:39" s="14" customFormat="1" x14ac:dyDescent="0.15">
      <c r="A31" s="19">
        <v>218</v>
      </c>
      <c r="B31" s="20" t="s">
        <v>90</v>
      </c>
      <c r="C31" s="15">
        <v>3914</v>
      </c>
      <c r="D31" s="14">
        <v>510</v>
      </c>
      <c r="E31" s="14">
        <v>0</v>
      </c>
      <c r="F31" s="15">
        <v>4424</v>
      </c>
      <c r="G31" s="15">
        <v>2647</v>
      </c>
      <c r="H31" s="16">
        <v>58.9</v>
      </c>
      <c r="I31" s="14">
        <v>473</v>
      </c>
      <c r="J31" s="14">
        <v>28</v>
      </c>
      <c r="K31" s="15">
        <v>2619</v>
      </c>
      <c r="L31" s="15">
        <v>1281</v>
      </c>
      <c r="M31" s="21">
        <v>48.911798396334476</v>
      </c>
      <c r="N31" s="14">
        <v>584</v>
      </c>
      <c r="O31" s="21">
        <v>22.298587247040853</v>
      </c>
      <c r="P31" s="14">
        <v>423</v>
      </c>
      <c r="Q31" s="21">
        <v>16.151202749140893</v>
      </c>
      <c r="R31" s="14">
        <v>29</v>
      </c>
      <c r="S31" s="21">
        <v>1.1072928598701794</v>
      </c>
      <c r="T31" s="5" t="s">
        <v>63</v>
      </c>
      <c r="U31" s="5" t="s">
        <v>63</v>
      </c>
      <c r="V31" s="5" t="s">
        <v>63</v>
      </c>
      <c r="W31" s="5" t="s">
        <v>63</v>
      </c>
      <c r="X31" s="14">
        <v>6</v>
      </c>
      <c r="Y31" s="21">
        <v>0.22909507445589922</v>
      </c>
      <c r="Z31" s="14">
        <v>18</v>
      </c>
      <c r="AA31" s="21">
        <v>0.6872852233676976</v>
      </c>
      <c r="AB31" s="14">
        <v>14</v>
      </c>
      <c r="AC31" s="21">
        <v>0.53455517373043149</v>
      </c>
      <c r="AD31" s="14">
        <v>69</v>
      </c>
      <c r="AE31" s="21">
        <v>2.6345933562428407</v>
      </c>
      <c r="AF31" s="14">
        <v>13</v>
      </c>
      <c r="AG31" s="21">
        <v>0.49637266132111491</v>
      </c>
      <c r="AH31" s="14">
        <v>73</v>
      </c>
      <c r="AI31" s="21">
        <v>2.7873234058801066</v>
      </c>
      <c r="AJ31" s="14">
        <v>100</v>
      </c>
      <c r="AK31" s="21">
        <v>3.8182512409316534</v>
      </c>
      <c r="AL31" s="14">
        <v>9</v>
      </c>
      <c r="AM31" s="21">
        <v>0.3436426116838488</v>
      </c>
    </row>
    <row r="32" spans="1:39" s="14" customFormat="1" x14ac:dyDescent="0.15">
      <c r="A32" s="19"/>
      <c r="B32" s="20"/>
      <c r="C32" s="15"/>
      <c r="F32" s="15"/>
      <c r="G32" s="15"/>
      <c r="H32" s="16"/>
      <c r="K32" s="15"/>
      <c r="L32" s="15"/>
      <c r="M32" s="21"/>
      <c r="O32" s="21"/>
      <c r="Q32" s="21"/>
      <c r="S32" s="21"/>
      <c r="T32" s="5"/>
      <c r="U32" s="5"/>
      <c r="V32" s="5"/>
      <c r="W32" s="5"/>
      <c r="Y32" s="21"/>
      <c r="AA32" s="21"/>
      <c r="AC32" s="21"/>
      <c r="AE32" s="21"/>
      <c r="AG32" s="21"/>
      <c r="AI32" s="21"/>
      <c r="AK32" s="21"/>
      <c r="AM32" s="21"/>
    </row>
    <row r="33" spans="1:39" s="14" customFormat="1" x14ac:dyDescent="0.15">
      <c r="A33" s="19">
        <v>21</v>
      </c>
      <c r="B33" s="20" t="s">
        <v>85</v>
      </c>
      <c r="C33" s="15">
        <v>27277</v>
      </c>
      <c r="D33" s="15">
        <v>3807</v>
      </c>
      <c r="E33" s="14">
        <v>0</v>
      </c>
      <c r="F33" s="15">
        <v>31084</v>
      </c>
      <c r="G33" s="15">
        <v>19056</v>
      </c>
      <c r="H33" s="16">
        <v>60.5</v>
      </c>
      <c r="I33" s="15">
        <v>3501</v>
      </c>
      <c r="J33" s="14">
        <v>213</v>
      </c>
      <c r="K33" s="15">
        <v>18843</v>
      </c>
      <c r="L33" s="15">
        <v>8448</v>
      </c>
      <c r="M33" s="21">
        <v>44.833625218914186</v>
      </c>
      <c r="N33" s="15">
        <v>4008</v>
      </c>
      <c r="O33" s="21">
        <v>21.270498328291673</v>
      </c>
      <c r="P33" s="15">
        <v>3893</v>
      </c>
      <c r="Q33" s="21">
        <v>20.660192113782305</v>
      </c>
      <c r="R33" s="14">
        <v>174</v>
      </c>
      <c r="S33" s="21">
        <v>0.92341983760547675</v>
      </c>
      <c r="T33" s="5" t="s">
        <v>63</v>
      </c>
      <c r="U33" s="5" t="s">
        <v>63</v>
      </c>
      <c r="V33" s="5" t="s">
        <v>63</v>
      </c>
      <c r="W33" s="5" t="s">
        <v>63</v>
      </c>
      <c r="X33" s="14">
        <v>62</v>
      </c>
      <c r="Y33" s="21">
        <v>0.32903465477896299</v>
      </c>
      <c r="Z33" s="14">
        <v>168</v>
      </c>
      <c r="AA33" s="21">
        <v>0.89157777423977069</v>
      </c>
      <c r="AB33" s="14">
        <v>135</v>
      </c>
      <c r="AC33" s="21">
        <v>0.71644642572838724</v>
      </c>
      <c r="AD33" s="14">
        <v>580</v>
      </c>
      <c r="AE33" s="21">
        <v>3.0780661253515893</v>
      </c>
      <c r="AF33" s="14">
        <v>68</v>
      </c>
      <c r="AG33" s="21">
        <v>0.3608767181446691</v>
      </c>
      <c r="AH33" s="14">
        <v>571</v>
      </c>
      <c r="AI33" s="21">
        <v>3.0303030303030303</v>
      </c>
      <c r="AJ33" s="14">
        <v>643</v>
      </c>
      <c r="AK33" s="21">
        <v>3.4124077906915034</v>
      </c>
      <c r="AL33" s="14">
        <v>93</v>
      </c>
      <c r="AM33" s="21">
        <v>0.49355198216844454</v>
      </c>
    </row>
    <row r="34" spans="1:39" s="14" customFormat="1" x14ac:dyDescent="0.15">
      <c r="A34" s="19"/>
      <c r="B34" s="20"/>
      <c r="C34" s="15"/>
      <c r="D34" s="15"/>
      <c r="F34" s="15"/>
      <c r="G34" s="15"/>
      <c r="H34" s="16"/>
      <c r="I34" s="15"/>
      <c r="K34" s="15"/>
      <c r="L34" s="15"/>
      <c r="M34" s="21"/>
      <c r="N34" s="15"/>
      <c r="O34" s="21"/>
      <c r="P34" s="15"/>
      <c r="Q34" s="21"/>
      <c r="S34" s="21"/>
      <c r="T34" s="5"/>
      <c r="U34" s="5"/>
      <c r="V34" s="5"/>
      <c r="W34" s="5"/>
      <c r="Y34" s="21"/>
      <c r="AA34" s="21"/>
      <c r="AC34" s="21"/>
      <c r="AE34" s="21"/>
      <c r="AG34" s="21"/>
      <c r="AI34" s="21"/>
      <c r="AK34" s="21"/>
      <c r="AM34" s="21"/>
    </row>
    <row r="35" spans="1:39" s="14" customFormat="1" x14ac:dyDescent="0.15">
      <c r="A35" s="19">
        <v>231</v>
      </c>
      <c r="B35" s="20" t="s">
        <v>91</v>
      </c>
      <c r="C35" s="15">
        <v>5670</v>
      </c>
      <c r="D35" s="14">
        <v>940</v>
      </c>
      <c r="E35" s="14">
        <v>0</v>
      </c>
      <c r="F35" s="15">
        <v>6610</v>
      </c>
      <c r="G35" s="15">
        <v>5102</v>
      </c>
      <c r="H35" s="16">
        <v>75.900000000000006</v>
      </c>
      <c r="I35" s="14">
        <v>887</v>
      </c>
      <c r="J35" s="14">
        <v>35</v>
      </c>
      <c r="K35" s="15">
        <v>5067</v>
      </c>
      <c r="L35" s="15">
        <v>2354</v>
      </c>
      <c r="M35" s="21">
        <v>46.457469903295831</v>
      </c>
      <c r="N35" s="15">
        <v>1687</v>
      </c>
      <c r="O35" s="21">
        <v>33.293862245904876</v>
      </c>
      <c r="P35" s="14">
        <v>453</v>
      </c>
      <c r="Q35" s="21">
        <v>8.9402013025458853</v>
      </c>
      <c r="R35" s="14">
        <v>26</v>
      </c>
      <c r="S35" s="21">
        <v>0.51312413656996247</v>
      </c>
      <c r="T35" s="5" t="s">
        <v>63</v>
      </c>
      <c r="U35" s="5" t="s">
        <v>63</v>
      </c>
      <c r="V35" s="5" t="s">
        <v>63</v>
      </c>
      <c r="W35" s="5" t="s">
        <v>63</v>
      </c>
      <c r="X35" s="14">
        <v>46</v>
      </c>
      <c r="Y35" s="21">
        <v>0.9078350108545491</v>
      </c>
      <c r="Z35" s="14">
        <v>34</v>
      </c>
      <c r="AA35" s="21">
        <v>0.67100848628379706</v>
      </c>
      <c r="AB35" s="14">
        <v>8</v>
      </c>
      <c r="AC35" s="21">
        <v>0.15788434971383464</v>
      </c>
      <c r="AD35" s="14">
        <v>206</v>
      </c>
      <c r="AE35" s="21">
        <v>4.0655220051312408</v>
      </c>
      <c r="AF35" s="14">
        <v>25</v>
      </c>
      <c r="AG35" s="21">
        <v>0.49338859285573317</v>
      </c>
      <c r="AH35" s="14">
        <v>41</v>
      </c>
      <c r="AI35" s="21">
        <v>0.8091572922834025</v>
      </c>
      <c r="AJ35" s="14">
        <v>183</v>
      </c>
      <c r="AK35" s="21">
        <v>3.6116044997039665</v>
      </c>
      <c r="AL35" s="14">
        <v>4</v>
      </c>
      <c r="AM35" s="21">
        <v>7.8942174856917319E-2</v>
      </c>
    </row>
    <row r="36" spans="1:39" s="14" customFormat="1" x14ac:dyDescent="0.15">
      <c r="A36" s="19"/>
      <c r="B36" s="20"/>
      <c r="C36" s="15"/>
      <c r="F36" s="15"/>
      <c r="G36" s="15"/>
      <c r="H36" s="16"/>
      <c r="K36" s="15"/>
      <c r="L36" s="15"/>
      <c r="M36" s="5"/>
      <c r="N36" s="15"/>
      <c r="O36" s="5"/>
      <c r="Q36" s="5"/>
      <c r="S36" s="5"/>
      <c r="T36" s="5"/>
      <c r="U36" s="5"/>
      <c r="V36" s="5"/>
      <c r="W36" s="5"/>
      <c r="Y36" s="5"/>
      <c r="AA36" s="5"/>
      <c r="AC36" s="5"/>
      <c r="AE36" s="5"/>
      <c r="AG36" s="5"/>
      <c r="AI36" s="5"/>
      <c r="AK36" s="5"/>
      <c r="AM36" s="5"/>
    </row>
    <row r="37" spans="1:39" s="14" customFormat="1" x14ac:dyDescent="0.15">
      <c r="A37" s="19">
        <v>232</v>
      </c>
      <c r="B37" s="20" t="s">
        <v>92</v>
      </c>
      <c r="C37" s="15">
        <v>5400</v>
      </c>
      <c r="D37" s="14">
        <v>694</v>
      </c>
      <c r="E37" s="14">
        <v>0</v>
      </c>
      <c r="F37" s="15">
        <v>6094</v>
      </c>
      <c r="G37" s="15">
        <v>4167</v>
      </c>
      <c r="H37" s="16">
        <v>67.2</v>
      </c>
      <c r="I37" s="14">
        <v>659</v>
      </c>
      <c r="J37" s="14">
        <v>28</v>
      </c>
      <c r="K37" s="15">
        <v>4139</v>
      </c>
      <c r="L37" s="15">
        <v>1964</v>
      </c>
      <c r="M37" s="21">
        <v>47.451075138922441</v>
      </c>
      <c r="N37" s="15">
        <v>1304</v>
      </c>
      <c r="O37" s="21">
        <v>31.505194491423051</v>
      </c>
      <c r="P37" s="14">
        <v>316</v>
      </c>
      <c r="Q37" s="21">
        <v>7.6346943706209229</v>
      </c>
      <c r="R37" s="14">
        <v>53</v>
      </c>
      <c r="S37" s="21">
        <v>1.2805025368446485</v>
      </c>
      <c r="T37" s="5" t="s">
        <v>63</v>
      </c>
      <c r="U37" s="5" t="s">
        <v>63</v>
      </c>
      <c r="V37" s="5" t="s">
        <v>63</v>
      </c>
      <c r="W37" s="5" t="s">
        <v>63</v>
      </c>
      <c r="X37" s="14">
        <v>35</v>
      </c>
      <c r="Y37" s="21">
        <v>0.84561488282193764</v>
      </c>
      <c r="Z37" s="14">
        <v>28</v>
      </c>
      <c r="AA37" s="21">
        <v>0.67649190625755018</v>
      </c>
      <c r="AB37" s="14">
        <v>19</v>
      </c>
      <c r="AC37" s="21">
        <v>0.45904807924619478</v>
      </c>
      <c r="AD37" s="14">
        <v>126</v>
      </c>
      <c r="AE37" s="21">
        <v>3.0442135781589759</v>
      </c>
      <c r="AF37" s="14">
        <v>32</v>
      </c>
      <c r="AG37" s="21">
        <v>0.77313360715148582</v>
      </c>
      <c r="AH37" s="14">
        <v>31</v>
      </c>
      <c r="AI37" s="21">
        <v>0.74897318192800189</v>
      </c>
      <c r="AJ37" s="14">
        <v>228</v>
      </c>
      <c r="AK37" s="21">
        <v>5.5085769509543363</v>
      </c>
      <c r="AL37" s="14">
        <v>3</v>
      </c>
      <c r="AM37" s="21">
        <v>7.2481275670451803E-2</v>
      </c>
    </row>
    <row r="38" spans="1:39" s="14" customFormat="1" x14ac:dyDescent="0.15">
      <c r="A38" s="19"/>
      <c r="B38" s="20"/>
      <c r="C38" s="15"/>
      <c r="F38" s="15"/>
      <c r="G38" s="15"/>
      <c r="H38" s="16"/>
      <c r="K38" s="15"/>
      <c r="L38" s="15"/>
      <c r="M38" s="5"/>
      <c r="N38" s="15"/>
      <c r="O38" s="5"/>
      <c r="Q38" s="5"/>
      <c r="S38" s="5"/>
      <c r="T38" s="5"/>
      <c r="U38" s="5"/>
      <c r="V38" s="5"/>
      <c r="W38" s="5"/>
      <c r="Y38" s="5"/>
      <c r="AA38" s="5"/>
      <c r="AC38" s="5"/>
      <c r="AE38" s="5"/>
      <c r="AG38" s="5"/>
      <c r="AI38" s="5"/>
      <c r="AK38" s="5"/>
      <c r="AM38" s="5"/>
    </row>
    <row r="39" spans="1:39" s="14" customFormat="1" x14ac:dyDescent="0.15">
      <c r="A39" s="19">
        <v>233</v>
      </c>
      <c r="B39" s="20" t="s">
        <v>93</v>
      </c>
      <c r="C39" s="15">
        <v>7615</v>
      </c>
      <c r="D39" s="14">
        <v>804</v>
      </c>
      <c r="E39" s="14">
        <v>0</v>
      </c>
      <c r="F39" s="15">
        <v>8419</v>
      </c>
      <c r="G39" s="15">
        <v>4781</v>
      </c>
      <c r="H39" s="16">
        <v>56</v>
      </c>
      <c r="I39" s="14">
        <v>752</v>
      </c>
      <c r="J39" s="14">
        <v>73</v>
      </c>
      <c r="K39" s="15">
        <v>4708</v>
      </c>
      <c r="L39" s="15">
        <v>2263</v>
      </c>
      <c r="M39" s="21">
        <v>48.06711979609176</v>
      </c>
      <c r="N39" s="15">
        <v>1395</v>
      </c>
      <c r="O39" s="21">
        <v>29.630416312659303</v>
      </c>
      <c r="P39" s="14">
        <v>317</v>
      </c>
      <c r="Q39" s="21">
        <v>6.733220050977061</v>
      </c>
      <c r="R39" s="14">
        <v>106</v>
      </c>
      <c r="S39" s="21">
        <v>2.2514868309260834</v>
      </c>
      <c r="T39" s="5" t="s">
        <v>63</v>
      </c>
      <c r="U39" s="5" t="s">
        <v>63</v>
      </c>
      <c r="V39" s="5" t="s">
        <v>63</v>
      </c>
      <c r="W39" s="5" t="s">
        <v>63</v>
      </c>
      <c r="X39" s="14">
        <v>47</v>
      </c>
      <c r="Y39" s="21">
        <v>0.99830076465590478</v>
      </c>
      <c r="Z39" s="14">
        <v>38</v>
      </c>
      <c r="AA39" s="21">
        <v>0.80713678844519976</v>
      </c>
      <c r="AB39" s="14">
        <v>25</v>
      </c>
      <c r="AC39" s="21">
        <v>0.53101104502973662</v>
      </c>
      <c r="AD39" s="14">
        <v>154</v>
      </c>
      <c r="AE39" s="21">
        <v>3.2710280373831773</v>
      </c>
      <c r="AF39" s="14">
        <v>24</v>
      </c>
      <c r="AG39" s="21">
        <v>0.50977060322854717</v>
      </c>
      <c r="AH39" s="14">
        <v>58</v>
      </c>
      <c r="AI39" s="21">
        <v>1.231945624468989</v>
      </c>
      <c r="AJ39" s="14">
        <v>277</v>
      </c>
      <c r="AK39" s="21">
        <v>5.8836023789294822</v>
      </c>
      <c r="AL39" s="14">
        <v>4</v>
      </c>
      <c r="AM39" s="21">
        <v>8.4961767204757857E-2</v>
      </c>
    </row>
    <row r="40" spans="1:39" s="14" customFormat="1" x14ac:dyDescent="0.15">
      <c r="A40" s="19"/>
      <c r="B40" s="20"/>
      <c r="C40" s="15"/>
      <c r="F40" s="15"/>
      <c r="G40" s="15"/>
      <c r="H40" s="16"/>
      <c r="K40" s="15"/>
      <c r="L40" s="15"/>
      <c r="M40" s="5"/>
      <c r="N40" s="15"/>
      <c r="O40" s="5"/>
      <c r="Q40" s="5"/>
      <c r="S40" s="5"/>
      <c r="T40" s="5"/>
      <c r="U40" s="5"/>
      <c r="V40" s="5"/>
      <c r="W40" s="5"/>
      <c r="Y40" s="5"/>
      <c r="AA40" s="5"/>
      <c r="AC40" s="5"/>
      <c r="AE40" s="5"/>
      <c r="AG40" s="5"/>
      <c r="AI40" s="5"/>
      <c r="AK40" s="5"/>
      <c r="AM40" s="5"/>
    </row>
    <row r="41" spans="1:39" s="14" customFormat="1" x14ac:dyDescent="0.15">
      <c r="A41" s="19">
        <v>234</v>
      </c>
      <c r="B41" s="20" t="s">
        <v>94</v>
      </c>
      <c r="C41" s="15">
        <v>3342</v>
      </c>
      <c r="D41" s="14">
        <v>602</v>
      </c>
      <c r="E41" s="14">
        <v>0</v>
      </c>
      <c r="F41" s="15">
        <v>3944</v>
      </c>
      <c r="G41" s="15">
        <v>2722</v>
      </c>
      <c r="H41" s="16">
        <v>67.900000000000006</v>
      </c>
      <c r="I41" s="14">
        <v>555</v>
      </c>
      <c r="J41" s="14">
        <v>26</v>
      </c>
      <c r="K41" s="15">
        <v>2696</v>
      </c>
      <c r="L41" s="15">
        <v>1278</v>
      </c>
      <c r="M41" s="21">
        <v>47.403560830860535</v>
      </c>
      <c r="N41" s="14">
        <v>853</v>
      </c>
      <c r="O41" s="21">
        <v>31.63946587537092</v>
      </c>
      <c r="P41" s="14">
        <v>222</v>
      </c>
      <c r="Q41" s="21">
        <v>8.2344213649851632</v>
      </c>
      <c r="R41" s="14">
        <v>28</v>
      </c>
      <c r="S41" s="21">
        <v>1.0385756676557862</v>
      </c>
      <c r="T41" s="5" t="s">
        <v>63</v>
      </c>
      <c r="U41" s="5" t="s">
        <v>63</v>
      </c>
      <c r="V41" s="5" t="s">
        <v>63</v>
      </c>
      <c r="W41" s="5" t="s">
        <v>63</v>
      </c>
      <c r="X41" s="14">
        <v>25</v>
      </c>
      <c r="Y41" s="21">
        <v>0.92729970326409483</v>
      </c>
      <c r="Z41" s="14">
        <v>23</v>
      </c>
      <c r="AA41" s="21">
        <v>0.85311572700296734</v>
      </c>
      <c r="AB41" s="14">
        <v>7</v>
      </c>
      <c r="AC41" s="21">
        <v>0.25964391691394656</v>
      </c>
      <c r="AD41" s="14">
        <v>96</v>
      </c>
      <c r="AE41" s="21">
        <v>3.5608308605341246</v>
      </c>
      <c r="AF41" s="14">
        <v>4</v>
      </c>
      <c r="AG41" s="21">
        <v>0.14836795252225521</v>
      </c>
      <c r="AH41" s="14">
        <v>24</v>
      </c>
      <c r="AI41" s="21">
        <v>0.89020771513353114</v>
      </c>
      <c r="AJ41" s="14">
        <v>135</v>
      </c>
      <c r="AK41" s="21">
        <v>5.0074183976261128</v>
      </c>
      <c r="AL41" s="14">
        <v>1</v>
      </c>
      <c r="AM41" s="21">
        <v>3.7091988130563802E-2</v>
      </c>
    </row>
    <row r="42" spans="1:39" s="14" customFormat="1" x14ac:dyDescent="0.15">
      <c r="A42" s="19"/>
      <c r="B42" s="20"/>
      <c r="C42" s="15"/>
      <c r="F42" s="15"/>
      <c r="G42" s="15"/>
      <c r="H42" s="16"/>
      <c r="K42" s="15"/>
      <c r="L42" s="15"/>
      <c r="M42" s="5"/>
      <c r="O42" s="5"/>
      <c r="Q42" s="5"/>
      <c r="S42" s="5"/>
      <c r="T42" s="5"/>
      <c r="U42" s="5"/>
      <c r="V42" s="5"/>
      <c r="W42" s="5"/>
      <c r="Y42" s="5"/>
      <c r="AA42" s="5"/>
      <c r="AC42" s="5"/>
      <c r="AE42" s="5"/>
      <c r="AG42" s="5"/>
      <c r="AI42" s="5"/>
      <c r="AK42" s="5"/>
      <c r="AM42" s="5"/>
    </row>
    <row r="43" spans="1:39" s="14" customFormat="1" x14ac:dyDescent="0.15">
      <c r="A43" s="19">
        <v>23</v>
      </c>
      <c r="B43" s="20" t="s">
        <v>95</v>
      </c>
      <c r="C43" s="15">
        <v>22027</v>
      </c>
      <c r="D43" s="15">
        <v>3040</v>
      </c>
      <c r="E43" s="14">
        <v>0</v>
      </c>
      <c r="F43" s="15">
        <v>25067</v>
      </c>
      <c r="G43" s="15">
        <v>16772</v>
      </c>
      <c r="H43" s="16">
        <v>65.8</v>
      </c>
      <c r="I43" s="15">
        <v>2853</v>
      </c>
      <c r="J43" s="14">
        <v>162</v>
      </c>
      <c r="K43" s="15">
        <v>16610</v>
      </c>
      <c r="L43" s="15">
        <v>7859</v>
      </c>
      <c r="M43" s="21">
        <v>47.314870559903675</v>
      </c>
      <c r="N43" s="15">
        <v>5239</v>
      </c>
      <c r="O43" s="21">
        <v>31.541240216736906</v>
      </c>
      <c r="P43" s="15">
        <v>1308</v>
      </c>
      <c r="Q43" s="21">
        <v>7.8747742323901262</v>
      </c>
      <c r="R43" s="14">
        <v>213</v>
      </c>
      <c r="S43" s="21">
        <v>1.2823600240818784</v>
      </c>
      <c r="T43" s="5" t="s">
        <v>63</v>
      </c>
      <c r="U43" s="5" t="s">
        <v>63</v>
      </c>
      <c r="V43" s="5" t="s">
        <v>63</v>
      </c>
      <c r="W43" s="5" t="s">
        <v>63</v>
      </c>
      <c r="X43" s="14">
        <v>153</v>
      </c>
      <c r="Y43" s="21">
        <v>0.92113184828416617</v>
      </c>
      <c r="Z43" s="14">
        <v>123</v>
      </c>
      <c r="AA43" s="21">
        <v>0.74051776038531014</v>
      </c>
      <c r="AB43" s="14">
        <v>59</v>
      </c>
      <c r="AC43" s="21">
        <v>0.35520770620108366</v>
      </c>
      <c r="AD43" s="14">
        <v>582</v>
      </c>
      <c r="AE43" s="21">
        <v>3.5039133052378086</v>
      </c>
      <c r="AF43" s="14">
        <v>85</v>
      </c>
      <c r="AG43" s="21">
        <v>0.5117399157134257</v>
      </c>
      <c r="AH43" s="14">
        <v>154</v>
      </c>
      <c r="AI43" s="21">
        <v>0.92715231788079477</v>
      </c>
      <c r="AJ43" s="14">
        <v>823</v>
      </c>
      <c r="AK43" s="21">
        <v>4.9548464780252859</v>
      </c>
      <c r="AL43" s="14">
        <v>12</v>
      </c>
      <c r="AM43" s="21">
        <v>7.2245635159542437E-2</v>
      </c>
    </row>
    <row r="44" spans="1:39" s="14" customFormat="1" x14ac:dyDescent="0.15">
      <c r="A44" s="19"/>
      <c r="B44" s="20"/>
      <c r="C44" s="15"/>
      <c r="D44" s="15"/>
      <c r="F44" s="15"/>
      <c r="G44" s="15"/>
      <c r="H44" s="16"/>
      <c r="I44" s="15"/>
      <c r="K44" s="15"/>
      <c r="L44" s="15"/>
      <c r="M44" s="5"/>
      <c r="N44" s="15"/>
      <c r="O44" s="5"/>
      <c r="P44" s="15"/>
      <c r="Q44" s="5"/>
      <c r="S44" s="5"/>
      <c r="T44" s="5"/>
      <c r="U44" s="5"/>
      <c r="V44" s="5"/>
      <c r="W44" s="5"/>
      <c r="Y44" s="5"/>
      <c r="AA44" s="5"/>
      <c r="AC44" s="5"/>
      <c r="AE44" s="5"/>
      <c r="AG44" s="5"/>
      <c r="AI44" s="5"/>
      <c r="AK44" s="5"/>
      <c r="AM44" s="5"/>
    </row>
    <row r="45" spans="1:39" s="14" customFormat="1" x14ac:dyDescent="0.15">
      <c r="A45" s="19">
        <v>241</v>
      </c>
      <c r="B45" s="20" t="s">
        <v>96</v>
      </c>
      <c r="C45" s="15">
        <v>6801</v>
      </c>
      <c r="D45" s="14">
        <v>734</v>
      </c>
      <c r="E45" s="14">
        <v>0</v>
      </c>
      <c r="F45" s="15">
        <v>7535</v>
      </c>
      <c r="G45" s="15">
        <v>4472</v>
      </c>
      <c r="H45" s="16">
        <v>58.3</v>
      </c>
      <c r="I45" s="14">
        <v>701</v>
      </c>
      <c r="J45" s="14">
        <v>61</v>
      </c>
      <c r="K45" s="15">
        <v>4411</v>
      </c>
      <c r="L45" s="15">
        <v>2065</v>
      </c>
      <c r="M45" s="21">
        <v>46.814781228746313</v>
      </c>
      <c r="N45" s="15">
        <v>1461</v>
      </c>
      <c r="O45" s="21">
        <v>33.121741101790974</v>
      </c>
      <c r="P45" s="14">
        <v>263</v>
      </c>
      <c r="Q45" s="21">
        <v>5.9623668102471088</v>
      </c>
      <c r="R45" s="14">
        <v>73</v>
      </c>
      <c r="S45" s="21">
        <v>1.6549535252777148</v>
      </c>
      <c r="T45" s="5" t="s">
        <v>63</v>
      </c>
      <c r="U45" s="5" t="s">
        <v>63</v>
      </c>
      <c r="V45" s="5" t="s">
        <v>63</v>
      </c>
      <c r="W45" s="5" t="s">
        <v>63</v>
      </c>
      <c r="X45" s="14">
        <v>39</v>
      </c>
      <c r="Y45" s="21">
        <v>0.88415325323055993</v>
      </c>
      <c r="Z45" s="14">
        <v>53</v>
      </c>
      <c r="AA45" s="21">
        <v>1.2015416005440944</v>
      </c>
      <c r="AB45" s="14">
        <v>15</v>
      </c>
      <c r="AC45" s="21">
        <v>0.34005894355021538</v>
      </c>
      <c r="AD45" s="14">
        <v>166</v>
      </c>
      <c r="AE45" s="21">
        <v>3.7633189752890503</v>
      </c>
      <c r="AF45" s="14">
        <v>34</v>
      </c>
      <c r="AG45" s="21">
        <v>0.77080027204715484</v>
      </c>
      <c r="AH45" s="14">
        <v>62</v>
      </c>
      <c r="AI45" s="21">
        <v>1.4055769666742235</v>
      </c>
      <c r="AJ45" s="14">
        <v>175</v>
      </c>
      <c r="AK45" s="21">
        <v>3.967354341419179</v>
      </c>
      <c r="AL45" s="14">
        <v>5</v>
      </c>
      <c r="AM45" s="21">
        <v>0.11335298118340513</v>
      </c>
    </row>
    <row r="46" spans="1:39" s="14" customFormat="1" x14ac:dyDescent="0.15">
      <c r="A46" s="19"/>
      <c r="B46" s="20"/>
      <c r="C46" s="15"/>
      <c r="F46" s="15"/>
      <c r="G46" s="15"/>
      <c r="H46" s="16"/>
      <c r="K46" s="15"/>
      <c r="L46" s="15"/>
      <c r="M46" s="5"/>
      <c r="N46" s="15"/>
      <c r="O46" s="5"/>
      <c r="Q46" s="5"/>
      <c r="S46" s="5"/>
      <c r="T46" s="5"/>
      <c r="U46" s="5"/>
      <c r="V46" s="5"/>
      <c r="W46" s="5"/>
      <c r="Y46" s="5"/>
      <c r="AA46" s="5"/>
      <c r="AC46" s="5"/>
      <c r="AE46" s="5"/>
      <c r="AG46" s="5"/>
      <c r="AI46" s="5"/>
      <c r="AK46" s="5"/>
      <c r="AM46" s="5"/>
    </row>
    <row r="47" spans="1:39" s="14" customFormat="1" x14ac:dyDescent="0.15">
      <c r="A47" s="19">
        <v>242</v>
      </c>
      <c r="B47" s="20" t="s">
        <v>97</v>
      </c>
      <c r="C47" s="15">
        <v>4396</v>
      </c>
      <c r="D47" s="14">
        <v>434</v>
      </c>
      <c r="E47" s="14">
        <v>0</v>
      </c>
      <c r="F47" s="15">
        <v>4830</v>
      </c>
      <c r="G47" s="15">
        <v>2650</v>
      </c>
      <c r="H47" s="16">
        <v>54.2</v>
      </c>
      <c r="I47" s="14">
        <v>401</v>
      </c>
      <c r="J47" s="14">
        <v>35</v>
      </c>
      <c r="K47" s="15">
        <v>2615</v>
      </c>
      <c r="L47" s="15">
        <v>1246</v>
      </c>
      <c r="M47" s="21">
        <v>47.648183556405357</v>
      </c>
      <c r="N47" s="14">
        <v>806</v>
      </c>
      <c r="O47" s="21">
        <v>30.822179732313575</v>
      </c>
      <c r="P47" s="14">
        <v>149</v>
      </c>
      <c r="Q47" s="21">
        <v>5.6978967495219885</v>
      </c>
      <c r="R47" s="14">
        <v>69</v>
      </c>
      <c r="S47" s="21">
        <v>2.6386233269598471</v>
      </c>
      <c r="T47" s="5" t="s">
        <v>63</v>
      </c>
      <c r="U47" s="5" t="s">
        <v>63</v>
      </c>
      <c r="V47" s="5" t="s">
        <v>63</v>
      </c>
      <c r="W47" s="5" t="s">
        <v>63</v>
      </c>
      <c r="X47" s="14">
        <v>15</v>
      </c>
      <c r="Y47" s="21">
        <v>0.57361376673040154</v>
      </c>
      <c r="Z47" s="14">
        <v>42</v>
      </c>
      <c r="AA47" s="21">
        <v>1.6061185468451242</v>
      </c>
      <c r="AB47" s="14">
        <v>7</v>
      </c>
      <c r="AC47" s="21">
        <v>0.26768642447418733</v>
      </c>
      <c r="AD47" s="14">
        <v>83</v>
      </c>
      <c r="AE47" s="21">
        <v>3.1739961759082216</v>
      </c>
      <c r="AF47" s="14">
        <v>20</v>
      </c>
      <c r="AG47" s="21">
        <v>0.76481835564053535</v>
      </c>
      <c r="AH47" s="14">
        <v>43</v>
      </c>
      <c r="AI47" s="21">
        <v>1.6443594646271511</v>
      </c>
      <c r="AJ47" s="14">
        <v>131</v>
      </c>
      <c r="AK47" s="21">
        <v>5.0095602294455066</v>
      </c>
      <c r="AL47" s="14">
        <v>4</v>
      </c>
      <c r="AM47" s="21">
        <v>0.15296367112810708</v>
      </c>
    </row>
    <row r="48" spans="1:39" s="14" customFormat="1" x14ac:dyDescent="0.15">
      <c r="A48" s="19"/>
      <c r="B48" s="20"/>
      <c r="C48" s="15"/>
      <c r="F48" s="15"/>
      <c r="G48" s="15"/>
      <c r="H48" s="16"/>
      <c r="K48" s="15"/>
      <c r="L48" s="15"/>
      <c r="M48" s="5"/>
      <c r="O48" s="5"/>
      <c r="Q48" s="5"/>
      <c r="S48" s="5"/>
      <c r="T48" s="5"/>
      <c r="U48" s="5"/>
      <c r="V48" s="5"/>
      <c r="W48" s="5"/>
      <c r="Y48" s="5"/>
      <c r="AA48" s="5"/>
      <c r="AC48" s="5"/>
      <c r="AE48" s="5"/>
      <c r="AG48" s="5"/>
      <c r="AI48" s="5"/>
      <c r="AK48" s="5"/>
      <c r="AM48" s="5"/>
    </row>
    <row r="49" spans="1:39" s="14" customFormat="1" x14ac:dyDescent="0.15">
      <c r="A49" s="19">
        <v>243</v>
      </c>
      <c r="B49" s="20" t="s">
        <v>98</v>
      </c>
      <c r="C49" s="15">
        <v>5057</v>
      </c>
      <c r="D49" s="14">
        <v>524</v>
      </c>
      <c r="E49" s="14">
        <v>0</v>
      </c>
      <c r="F49" s="15">
        <v>5581</v>
      </c>
      <c r="G49" s="15">
        <v>3263</v>
      </c>
      <c r="H49" s="16">
        <v>57.8</v>
      </c>
      <c r="I49" s="14">
        <v>485</v>
      </c>
      <c r="J49" s="14">
        <v>45</v>
      </c>
      <c r="K49" s="15">
        <v>3218</v>
      </c>
      <c r="L49" s="15">
        <v>1476</v>
      </c>
      <c r="M49" s="21">
        <v>45.866998135487883</v>
      </c>
      <c r="N49" s="15">
        <v>1059</v>
      </c>
      <c r="O49" s="21">
        <v>32.908638906152888</v>
      </c>
      <c r="P49" s="14">
        <v>210</v>
      </c>
      <c r="Q49" s="21">
        <v>6.5257924176507149</v>
      </c>
      <c r="R49" s="14">
        <v>38</v>
      </c>
      <c r="S49" s="21">
        <v>1.1808576755748912</v>
      </c>
      <c r="T49" s="5" t="s">
        <v>63</v>
      </c>
      <c r="U49" s="5" t="s">
        <v>63</v>
      </c>
      <c r="V49" s="5" t="s">
        <v>63</v>
      </c>
      <c r="W49" s="5" t="s">
        <v>63</v>
      </c>
      <c r="X49" s="14">
        <v>23</v>
      </c>
      <c r="Y49" s="21">
        <v>0.71472964574269726</v>
      </c>
      <c r="Z49" s="14">
        <v>34</v>
      </c>
      <c r="AA49" s="21">
        <v>1.0565568676196395</v>
      </c>
      <c r="AB49" s="14">
        <v>10</v>
      </c>
      <c r="AC49" s="21">
        <v>0.31075201988812928</v>
      </c>
      <c r="AD49" s="14">
        <v>123</v>
      </c>
      <c r="AE49" s="21">
        <v>3.8222498446239901</v>
      </c>
      <c r="AF49" s="14">
        <v>64</v>
      </c>
      <c r="AG49" s="21">
        <v>1.9888129272840271</v>
      </c>
      <c r="AH49" s="14">
        <v>44</v>
      </c>
      <c r="AI49" s="21">
        <v>1.3673088875077688</v>
      </c>
      <c r="AJ49" s="14">
        <v>134</v>
      </c>
      <c r="AK49" s="21">
        <v>4.1640770665009326</v>
      </c>
      <c r="AL49" s="14">
        <v>3</v>
      </c>
      <c r="AM49" s="21">
        <v>9.3225605966438779E-2</v>
      </c>
    </row>
    <row r="50" spans="1:39" s="14" customFormat="1" x14ac:dyDescent="0.15">
      <c r="A50" s="19"/>
      <c r="B50" s="20"/>
      <c r="C50" s="15"/>
      <c r="F50" s="15"/>
      <c r="G50" s="15"/>
      <c r="H50" s="16"/>
      <c r="K50" s="15"/>
      <c r="L50" s="15"/>
      <c r="M50" s="5"/>
      <c r="N50" s="15"/>
      <c r="O50" s="5"/>
      <c r="Q50" s="5"/>
      <c r="S50" s="5"/>
      <c r="T50" s="5"/>
      <c r="U50" s="5"/>
      <c r="V50" s="5"/>
      <c r="W50" s="5"/>
      <c r="Y50" s="5"/>
      <c r="AA50" s="5"/>
      <c r="AC50" s="5"/>
      <c r="AE50" s="5"/>
      <c r="AG50" s="5"/>
      <c r="AI50" s="5"/>
      <c r="AK50" s="5"/>
      <c r="AM50" s="5"/>
    </row>
    <row r="51" spans="1:39" s="14" customFormat="1" x14ac:dyDescent="0.15">
      <c r="A51" s="19">
        <v>244</v>
      </c>
      <c r="B51" s="20" t="s">
        <v>99</v>
      </c>
      <c r="C51" s="15">
        <v>2461</v>
      </c>
      <c r="D51" s="14">
        <v>336</v>
      </c>
      <c r="E51" s="14">
        <v>0</v>
      </c>
      <c r="F51" s="15">
        <v>2797</v>
      </c>
      <c r="G51" s="15">
        <v>2107</v>
      </c>
      <c r="H51" s="16">
        <v>74.099999999999994</v>
      </c>
      <c r="I51" s="14">
        <v>321</v>
      </c>
      <c r="J51" s="14">
        <v>21</v>
      </c>
      <c r="K51" s="15">
        <v>2086</v>
      </c>
      <c r="L51" s="14">
        <v>978</v>
      </c>
      <c r="M51" s="21">
        <v>46.883988494726751</v>
      </c>
      <c r="N51" s="14">
        <v>635</v>
      </c>
      <c r="O51" s="21">
        <v>30.441035474592521</v>
      </c>
      <c r="P51" s="14">
        <v>228</v>
      </c>
      <c r="Q51" s="21">
        <v>10.930009587727708</v>
      </c>
      <c r="R51" s="14">
        <v>26</v>
      </c>
      <c r="S51" s="21">
        <v>1.2464046021093003</v>
      </c>
      <c r="T51" s="5" t="s">
        <v>63</v>
      </c>
      <c r="U51" s="5" t="s">
        <v>63</v>
      </c>
      <c r="V51" s="5" t="s">
        <v>63</v>
      </c>
      <c r="W51" s="5" t="s">
        <v>63</v>
      </c>
      <c r="X51" s="14">
        <v>9</v>
      </c>
      <c r="Y51" s="21">
        <v>0.43144774688398851</v>
      </c>
      <c r="Z51" s="14">
        <v>9</v>
      </c>
      <c r="AA51" s="21">
        <v>0.43144774688398851</v>
      </c>
      <c r="AB51" s="14">
        <v>5</v>
      </c>
      <c r="AC51" s="21">
        <v>0.23969319271332695</v>
      </c>
      <c r="AD51" s="14">
        <v>88</v>
      </c>
      <c r="AE51" s="21">
        <v>4.2186001917545539</v>
      </c>
      <c r="AF51" s="14">
        <v>19</v>
      </c>
      <c r="AG51" s="21">
        <v>0.91083413231064247</v>
      </c>
      <c r="AH51" s="14">
        <v>18</v>
      </c>
      <c r="AI51" s="21">
        <v>0.86289549376797703</v>
      </c>
      <c r="AJ51" s="14">
        <v>70</v>
      </c>
      <c r="AK51" s="21">
        <v>3.3557046979865772</v>
      </c>
      <c r="AL51" s="14">
        <v>1</v>
      </c>
      <c r="AM51" s="21">
        <v>4.7938638542665384E-2</v>
      </c>
    </row>
    <row r="52" spans="1:39" s="14" customFormat="1" x14ac:dyDescent="0.15">
      <c r="A52" s="19"/>
      <c r="B52" s="20"/>
      <c r="C52" s="15"/>
      <c r="F52" s="15"/>
      <c r="G52" s="15"/>
      <c r="H52" s="16"/>
      <c r="K52" s="15"/>
      <c r="M52" s="21"/>
      <c r="O52" s="21"/>
      <c r="Q52" s="21"/>
      <c r="S52" s="21"/>
      <c r="T52" s="5"/>
      <c r="U52" s="5"/>
      <c r="V52" s="5"/>
      <c r="W52" s="5"/>
      <c r="Y52" s="21"/>
      <c r="AA52" s="21"/>
      <c r="AC52" s="21"/>
      <c r="AE52" s="21"/>
      <c r="AG52" s="21"/>
      <c r="AI52" s="21"/>
      <c r="AK52" s="21"/>
      <c r="AM52" s="21"/>
    </row>
    <row r="53" spans="1:39" s="14" customFormat="1" x14ac:dyDescent="0.15">
      <c r="A53" s="19">
        <v>24</v>
      </c>
      <c r="B53" s="20" t="s">
        <v>100</v>
      </c>
      <c r="C53" s="15">
        <v>18715</v>
      </c>
      <c r="D53" s="15">
        <v>2028</v>
      </c>
      <c r="E53" s="14">
        <v>0</v>
      </c>
      <c r="F53" s="15">
        <v>20743</v>
      </c>
      <c r="G53" s="15">
        <v>12492</v>
      </c>
      <c r="H53" s="16">
        <v>59.3</v>
      </c>
      <c r="I53" s="15">
        <v>1908</v>
      </c>
      <c r="J53" s="14">
        <v>162</v>
      </c>
      <c r="K53" s="15">
        <v>12330</v>
      </c>
      <c r="L53" s="15">
        <v>5765</v>
      </c>
      <c r="M53" s="21">
        <v>46.755879967558798</v>
      </c>
      <c r="N53" s="15">
        <v>3961</v>
      </c>
      <c r="O53" s="21">
        <v>32.124898621248988</v>
      </c>
      <c r="P53" s="14">
        <v>850</v>
      </c>
      <c r="Q53" s="21">
        <v>6.8937550689375504</v>
      </c>
      <c r="R53" s="14">
        <v>206</v>
      </c>
      <c r="S53" s="21">
        <v>1.6707218167072182</v>
      </c>
      <c r="T53" s="5" t="s">
        <v>63</v>
      </c>
      <c r="U53" s="5" t="s">
        <v>63</v>
      </c>
      <c r="V53" s="5" t="s">
        <v>63</v>
      </c>
      <c r="W53" s="5" t="s">
        <v>63</v>
      </c>
      <c r="X53" s="14">
        <v>86</v>
      </c>
      <c r="Y53" s="21">
        <v>0.69748580697485807</v>
      </c>
      <c r="Z53" s="14">
        <v>138</v>
      </c>
      <c r="AA53" s="21">
        <v>1.1192214111922141</v>
      </c>
      <c r="AB53" s="14">
        <v>37</v>
      </c>
      <c r="AC53" s="21">
        <v>0.30008110300081103</v>
      </c>
      <c r="AD53" s="14">
        <v>460</v>
      </c>
      <c r="AE53" s="21">
        <v>3.7307380373073804</v>
      </c>
      <c r="AF53" s="14">
        <v>137</v>
      </c>
      <c r="AG53" s="21">
        <v>1.1111111111111112</v>
      </c>
      <c r="AH53" s="14">
        <v>167</v>
      </c>
      <c r="AI53" s="21">
        <v>1.3544201135442011</v>
      </c>
      <c r="AJ53" s="14">
        <v>510</v>
      </c>
      <c r="AK53" s="21">
        <v>4.1362530413625302</v>
      </c>
      <c r="AL53" s="14">
        <v>13</v>
      </c>
      <c r="AM53" s="21">
        <v>0.105433901054339</v>
      </c>
    </row>
    <row r="54" spans="1:39" s="14" customFormat="1" x14ac:dyDescent="0.15">
      <c r="A54" s="19"/>
      <c r="B54" s="20"/>
      <c r="C54" s="15"/>
      <c r="D54" s="15"/>
      <c r="F54" s="15"/>
      <c r="G54" s="15"/>
      <c r="H54" s="16"/>
      <c r="I54" s="15"/>
      <c r="K54" s="15"/>
      <c r="L54" s="15"/>
      <c r="M54" s="5"/>
      <c r="N54" s="15"/>
      <c r="O54" s="5"/>
      <c r="Q54" s="5"/>
      <c r="S54" s="5"/>
      <c r="T54" s="5"/>
      <c r="U54" s="5"/>
      <c r="V54" s="5"/>
      <c r="W54" s="5"/>
      <c r="Y54" s="5"/>
      <c r="AA54" s="5"/>
      <c r="AC54" s="5"/>
      <c r="AE54" s="5"/>
      <c r="AG54" s="5"/>
      <c r="AI54" s="5"/>
      <c r="AK54" s="5"/>
      <c r="AM54" s="5"/>
    </row>
    <row r="55" spans="1:39" s="14" customFormat="1" x14ac:dyDescent="0.15">
      <c r="A55" s="19">
        <v>251</v>
      </c>
      <c r="B55" s="20" t="s">
        <v>101</v>
      </c>
      <c r="C55" s="15">
        <v>7028</v>
      </c>
      <c r="D55" s="14">
        <v>691</v>
      </c>
      <c r="E55" s="14">
        <v>1</v>
      </c>
      <c r="F55" s="15">
        <v>7720</v>
      </c>
      <c r="G55" s="15">
        <v>4216</v>
      </c>
      <c r="H55" s="16">
        <v>53.9</v>
      </c>
      <c r="I55" s="14">
        <v>642</v>
      </c>
      <c r="J55" s="14">
        <v>51</v>
      </c>
      <c r="K55" s="15">
        <v>4165</v>
      </c>
      <c r="L55" s="15">
        <v>2111</v>
      </c>
      <c r="M55" s="21">
        <v>50.684273709483797</v>
      </c>
      <c r="N55" s="15">
        <v>1044</v>
      </c>
      <c r="O55" s="21">
        <v>25.066026410564223</v>
      </c>
      <c r="P55" s="14">
        <v>382</v>
      </c>
      <c r="Q55" s="21">
        <v>9.1716686674669869</v>
      </c>
      <c r="R55" s="14">
        <v>89</v>
      </c>
      <c r="S55" s="21">
        <v>2.1368547418967587</v>
      </c>
      <c r="T55" s="5" t="s">
        <v>63</v>
      </c>
      <c r="U55" s="5" t="s">
        <v>63</v>
      </c>
      <c r="V55" s="5" t="s">
        <v>63</v>
      </c>
      <c r="W55" s="5" t="s">
        <v>63</v>
      </c>
      <c r="X55" s="14">
        <v>19</v>
      </c>
      <c r="Y55" s="21">
        <v>0.45618247298919568</v>
      </c>
      <c r="Z55" s="14">
        <v>50</v>
      </c>
      <c r="AA55" s="21">
        <v>1.2004801920768309</v>
      </c>
      <c r="AB55" s="14">
        <v>23</v>
      </c>
      <c r="AC55" s="21">
        <v>0.55222088835534211</v>
      </c>
      <c r="AD55" s="14">
        <v>113</v>
      </c>
      <c r="AE55" s="21">
        <v>2.7130852340936373</v>
      </c>
      <c r="AF55" s="14">
        <v>15</v>
      </c>
      <c r="AG55" s="21">
        <v>0.36014405762304924</v>
      </c>
      <c r="AH55" s="14">
        <v>74</v>
      </c>
      <c r="AI55" s="21">
        <v>1.7767106842737093</v>
      </c>
      <c r="AJ55" s="14">
        <v>238</v>
      </c>
      <c r="AK55" s="21">
        <v>5.7142857142857144</v>
      </c>
      <c r="AL55" s="14">
        <v>7</v>
      </c>
      <c r="AM55" s="21">
        <v>0.16806722689075632</v>
      </c>
    </row>
    <row r="56" spans="1:39" s="14" customFormat="1" x14ac:dyDescent="0.15">
      <c r="A56" s="19"/>
      <c r="B56" s="20"/>
      <c r="C56" s="15"/>
      <c r="F56" s="15"/>
      <c r="G56" s="15"/>
      <c r="H56" s="16"/>
      <c r="K56" s="15"/>
      <c r="L56" s="15"/>
      <c r="M56" s="5"/>
      <c r="N56" s="15"/>
      <c r="O56" s="5"/>
      <c r="Q56" s="5"/>
      <c r="S56" s="5"/>
      <c r="T56" s="5"/>
      <c r="U56" s="5"/>
      <c r="V56" s="5"/>
      <c r="W56" s="5"/>
      <c r="Y56" s="5"/>
      <c r="AA56" s="5"/>
      <c r="AC56" s="5"/>
      <c r="AE56" s="5"/>
      <c r="AG56" s="5"/>
      <c r="AI56" s="5"/>
      <c r="AK56" s="5"/>
      <c r="AM56" s="5"/>
    </row>
    <row r="57" spans="1:39" s="14" customFormat="1" x14ac:dyDescent="0.15">
      <c r="A57" s="19">
        <v>252</v>
      </c>
      <c r="B57" s="20" t="s">
        <v>102</v>
      </c>
      <c r="C57" s="15">
        <v>2177</v>
      </c>
      <c r="D57" s="14">
        <v>250</v>
      </c>
      <c r="E57" s="14">
        <v>0</v>
      </c>
      <c r="F57" s="15">
        <v>2427</v>
      </c>
      <c r="G57" s="15">
        <v>1590</v>
      </c>
      <c r="H57" s="16">
        <v>64.7</v>
      </c>
      <c r="I57" s="14">
        <v>232</v>
      </c>
      <c r="J57" s="14">
        <v>20</v>
      </c>
      <c r="K57" s="15">
        <v>1570</v>
      </c>
      <c r="L57" s="14">
        <v>832</v>
      </c>
      <c r="M57" s="21">
        <v>52.99363057324841</v>
      </c>
      <c r="N57" s="14">
        <v>393</v>
      </c>
      <c r="O57" s="21">
        <v>25.03184713375796</v>
      </c>
      <c r="P57" s="14">
        <v>118</v>
      </c>
      <c r="Q57" s="21">
        <v>7.515923566878981</v>
      </c>
      <c r="R57" s="14">
        <v>26</v>
      </c>
      <c r="S57" s="21">
        <v>1.6560509554140128</v>
      </c>
      <c r="T57" s="5" t="s">
        <v>63</v>
      </c>
      <c r="U57" s="5" t="s">
        <v>63</v>
      </c>
      <c r="V57" s="5" t="s">
        <v>63</v>
      </c>
      <c r="W57" s="5" t="s">
        <v>63</v>
      </c>
      <c r="X57" s="14">
        <v>10</v>
      </c>
      <c r="Y57" s="21">
        <v>0.63694267515923575</v>
      </c>
      <c r="Z57" s="14">
        <v>17</v>
      </c>
      <c r="AA57" s="21">
        <v>1.0828025477707006</v>
      </c>
      <c r="AB57" s="14">
        <v>11</v>
      </c>
      <c r="AC57" s="21">
        <v>0.7006369426751593</v>
      </c>
      <c r="AD57" s="14">
        <v>46</v>
      </c>
      <c r="AE57" s="21">
        <v>2.9299363057324843</v>
      </c>
      <c r="AF57" s="14">
        <v>7</v>
      </c>
      <c r="AG57" s="21">
        <v>0.44585987261146498</v>
      </c>
      <c r="AH57" s="14">
        <v>24</v>
      </c>
      <c r="AI57" s="21">
        <v>1.5286624203821657</v>
      </c>
      <c r="AJ57" s="14">
        <v>82</v>
      </c>
      <c r="AK57" s="21">
        <v>5.2229299363057331</v>
      </c>
      <c r="AL57" s="14">
        <v>4</v>
      </c>
      <c r="AM57" s="21">
        <v>0.25477707006369427</v>
      </c>
    </row>
    <row r="58" spans="1:39" s="14" customFormat="1" x14ac:dyDescent="0.15">
      <c r="A58" s="19"/>
      <c r="B58" s="20"/>
      <c r="C58" s="15"/>
      <c r="F58" s="15"/>
      <c r="G58" s="15"/>
      <c r="H58" s="16"/>
      <c r="K58" s="15"/>
      <c r="M58" s="21"/>
      <c r="O58" s="21"/>
      <c r="Q58" s="21"/>
      <c r="S58" s="21"/>
      <c r="T58" s="5"/>
      <c r="U58" s="5"/>
      <c r="V58" s="5"/>
      <c r="W58" s="5"/>
      <c r="Y58" s="21"/>
      <c r="AA58" s="21"/>
      <c r="AC58" s="21"/>
      <c r="AE58" s="21"/>
      <c r="AG58" s="21"/>
      <c r="AI58" s="21"/>
      <c r="AK58" s="21"/>
      <c r="AM58" s="21"/>
    </row>
    <row r="59" spans="1:39" s="14" customFormat="1" x14ac:dyDescent="0.15">
      <c r="A59" s="19">
        <v>25</v>
      </c>
      <c r="B59" s="20" t="s">
        <v>101</v>
      </c>
      <c r="C59" s="15">
        <v>9205</v>
      </c>
      <c r="D59" s="14">
        <v>941</v>
      </c>
      <c r="E59" s="14">
        <v>1</v>
      </c>
      <c r="F59" s="15">
        <v>10147</v>
      </c>
      <c r="G59" s="15">
        <v>5806</v>
      </c>
      <c r="H59" s="16">
        <v>56.5</v>
      </c>
      <c r="I59" s="14">
        <v>874</v>
      </c>
      <c r="J59" s="14">
        <v>71</v>
      </c>
      <c r="K59" s="15">
        <v>5735</v>
      </c>
      <c r="L59" s="15">
        <v>2943</v>
      </c>
      <c r="M59" s="21">
        <v>51.316477768090671</v>
      </c>
      <c r="N59" s="15">
        <v>1437</v>
      </c>
      <c r="O59" s="21">
        <v>25.056669572798608</v>
      </c>
      <c r="P59" s="14">
        <v>500</v>
      </c>
      <c r="Q59" s="21">
        <v>8.7183958151700089</v>
      </c>
      <c r="R59" s="14">
        <v>115</v>
      </c>
      <c r="S59" s="21">
        <v>2.0052310374891023</v>
      </c>
      <c r="T59" s="5" t="s">
        <v>63</v>
      </c>
      <c r="U59" s="5" t="s">
        <v>63</v>
      </c>
      <c r="V59" s="5" t="s">
        <v>63</v>
      </c>
      <c r="W59" s="5" t="s">
        <v>63</v>
      </c>
      <c r="X59" s="14">
        <v>29</v>
      </c>
      <c r="Y59" s="21">
        <v>0.50566695727986055</v>
      </c>
      <c r="Z59" s="14">
        <v>67</v>
      </c>
      <c r="AA59" s="21">
        <v>1.1682650392327811</v>
      </c>
      <c r="AB59" s="14">
        <v>34</v>
      </c>
      <c r="AC59" s="21">
        <v>0.59285091543156054</v>
      </c>
      <c r="AD59" s="14">
        <v>159</v>
      </c>
      <c r="AE59" s="21">
        <v>2.7724498692240624</v>
      </c>
      <c r="AF59" s="14">
        <v>22</v>
      </c>
      <c r="AG59" s="21">
        <v>0.38360941586748037</v>
      </c>
      <c r="AH59" s="14">
        <v>98</v>
      </c>
      <c r="AI59" s="21">
        <v>1.7088055797733217</v>
      </c>
      <c r="AJ59" s="14">
        <v>320</v>
      </c>
      <c r="AK59" s="21">
        <v>5.5797733217088057</v>
      </c>
      <c r="AL59" s="14">
        <v>11</v>
      </c>
      <c r="AM59" s="21">
        <v>0.19180470793374019</v>
      </c>
    </row>
    <row r="60" spans="1:39" s="14" customFormat="1" x14ac:dyDescent="0.15">
      <c r="A60" s="19"/>
      <c r="B60" s="20"/>
      <c r="C60" s="15"/>
      <c r="F60" s="15"/>
      <c r="G60" s="15"/>
      <c r="H60" s="16"/>
      <c r="K60" s="15"/>
      <c r="L60" s="15"/>
      <c r="M60" s="21"/>
      <c r="N60" s="15"/>
      <c r="O60" s="21"/>
      <c r="Q60" s="21"/>
      <c r="S60" s="21"/>
      <c r="T60" s="5"/>
      <c r="U60" s="5"/>
      <c r="V60" s="5"/>
      <c r="W60" s="5"/>
      <c r="Y60" s="21"/>
      <c r="AA60" s="21"/>
      <c r="AC60" s="21"/>
      <c r="AE60" s="21"/>
      <c r="AG60" s="21"/>
      <c r="AI60" s="21"/>
      <c r="AK60" s="21"/>
      <c r="AM60" s="21"/>
    </row>
    <row r="61" spans="1:39" s="28" customFormat="1" x14ac:dyDescent="0.15">
      <c r="A61" s="25">
        <v>261</v>
      </c>
      <c r="B61" s="26" t="s">
        <v>38</v>
      </c>
      <c r="C61" s="27">
        <v>715</v>
      </c>
      <c r="D61" s="27">
        <v>68</v>
      </c>
      <c r="E61" s="27">
        <v>0</v>
      </c>
      <c r="F61" s="27">
        <v>783</v>
      </c>
      <c r="G61" s="27">
        <v>574</v>
      </c>
      <c r="H61" s="30">
        <v>72.260000000000005</v>
      </c>
      <c r="I61" s="27">
        <v>66</v>
      </c>
      <c r="J61" s="27">
        <v>6</v>
      </c>
      <c r="K61" s="27">
        <v>568</v>
      </c>
      <c r="L61" s="27">
        <v>239</v>
      </c>
      <c r="M61" s="29">
        <v>42.08</v>
      </c>
      <c r="N61" s="27">
        <v>231</v>
      </c>
      <c r="O61" s="29">
        <v>40.67</v>
      </c>
      <c r="P61" s="27">
        <v>22</v>
      </c>
      <c r="Q61" s="29">
        <v>3.87</v>
      </c>
      <c r="R61" s="27">
        <v>21</v>
      </c>
      <c r="S61" s="29">
        <v>3.7</v>
      </c>
      <c r="T61" s="5" t="s">
        <v>63</v>
      </c>
      <c r="U61" s="5" t="s">
        <v>63</v>
      </c>
      <c r="V61" s="5" t="s">
        <v>63</v>
      </c>
      <c r="W61" s="5" t="s">
        <v>63</v>
      </c>
      <c r="X61" s="27">
        <v>2</v>
      </c>
      <c r="Y61" s="29">
        <v>0.35</v>
      </c>
      <c r="Z61" s="27">
        <v>6</v>
      </c>
      <c r="AA61" s="29">
        <v>1.06</v>
      </c>
      <c r="AB61" s="27">
        <v>0</v>
      </c>
      <c r="AC61" s="29">
        <v>0</v>
      </c>
      <c r="AD61" s="27">
        <v>16</v>
      </c>
      <c r="AE61" s="29">
        <v>2.82</v>
      </c>
      <c r="AF61" s="27">
        <v>2</v>
      </c>
      <c r="AG61" s="29">
        <v>0.35</v>
      </c>
      <c r="AH61" s="27">
        <v>10</v>
      </c>
      <c r="AI61" s="29">
        <v>1.76</v>
      </c>
      <c r="AJ61" s="27">
        <v>19</v>
      </c>
      <c r="AK61" s="29">
        <v>3.35</v>
      </c>
      <c r="AL61" s="27">
        <v>0</v>
      </c>
      <c r="AM61" s="29">
        <v>0</v>
      </c>
    </row>
    <row r="62" spans="1:39" x14ac:dyDescent="0.15">
      <c r="A62" s="3"/>
      <c r="C62" s="13"/>
      <c r="F62" s="13"/>
      <c r="G62" s="13"/>
      <c r="K62" s="13"/>
      <c r="L62" s="13"/>
      <c r="N62" s="13"/>
      <c r="T62" s="5"/>
      <c r="V62" s="5"/>
      <c r="AK62" s="5"/>
      <c r="AM62" s="5"/>
    </row>
    <row r="63" spans="1:39" s="28" customFormat="1" x14ac:dyDescent="0.15">
      <c r="A63" s="25">
        <v>26</v>
      </c>
      <c r="B63" s="26" t="s">
        <v>103</v>
      </c>
      <c r="C63" s="27">
        <f>C61</f>
        <v>715</v>
      </c>
      <c r="D63" s="27">
        <f t="shared" ref="D63:AM63" si="0">D61</f>
        <v>68</v>
      </c>
      <c r="E63" s="27">
        <f t="shared" si="0"/>
        <v>0</v>
      </c>
      <c r="F63" s="27">
        <f t="shared" si="0"/>
        <v>783</v>
      </c>
      <c r="G63" s="27">
        <f t="shared" si="0"/>
        <v>574</v>
      </c>
      <c r="H63" s="30">
        <f t="shared" si="0"/>
        <v>72.260000000000005</v>
      </c>
      <c r="I63" s="27">
        <f t="shared" si="0"/>
        <v>66</v>
      </c>
      <c r="J63" s="27">
        <f t="shared" si="0"/>
        <v>6</v>
      </c>
      <c r="K63" s="27">
        <f t="shared" si="0"/>
        <v>568</v>
      </c>
      <c r="L63" s="27">
        <f t="shared" si="0"/>
        <v>239</v>
      </c>
      <c r="M63" s="29">
        <f t="shared" si="0"/>
        <v>42.08</v>
      </c>
      <c r="N63" s="27">
        <f t="shared" si="0"/>
        <v>231</v>
      </c>
      <c r="O63" s="29">
        <f t="shared" si="0"/>
        <v>40.67</v>
      </c>
      <c r="P63" s="27">
        <f t="shared" si="0"/>
        <v>22</v>
      </c>
      <c r="Q63" s="29">
        <f t="shared" si="0"/>
        <v>3.87</v>
      </c>
      <c r="R63" s="27">
        <f t="shared" si="0"/>
        <v>21</v>
      </c>
      <c r="S63" s="29">
        <f t="shared" si="0"/>
        <v>3.7</v>
      </c>
      <c r="T63" s="5" t="s">
        <v>63</v>
      </c>
      <c r="U63" s="5" t="s">
        <v>63</v>
      </c>
      <c r="V63" s="5" t="s">
        <v>63</v>
      </c>
      <c r="W63" s="5" t="s">
        <v>63</v>
      </c>
      <c r="X63" s="27">
        <f t="shared" si="0"/>
        <v>2</v>
      </c>
      <c r="Y63" s="29">
        <f t="shared" si="0"/>
        <v>0.35</v>
      </c>
      <c r="Z63" s="27">
        <f t="shared" si="0"/>
        <v>6</v>
      </c>
      <c r="AA63" s="29">
        <f t="shared" si="0"/>
        <v>1.06</v>
      </c>
      <c r="AB63" s="27">
        <f t="shared" si="0"/>
        <v>0</v>
      </c>
      <c r="AC63" s="29">
        <f t="shared" si="0"/>
        <v>0</v>
      </c>
      <c r="AD63" s="27">
        <f t="shared" si="0"/>
        <v>16</v>
      </c>
      <c r="AE63" s="29">
        <f t="shared" si="0"/>
        <v>2.82</v>
      </c>
      <c r="AF63" s="27">
        <f t="shared" si="0"/>
        <v>2</v>
      </c>
      <c r="AG63" s="29">
        <f t="shared" si="0"/>
        <v>0.35</v>
      </c>
      <c r="AH63" s="27">
        <f t="shared" si="0"/>
        <v>10</v>
      </c>
      <c r="AI63" s="29">
        <f t="shared" si="0"/>
        <v>1.76</v>
      </c>
      <c r="AJ63" s="27">
        <f t="shared" si="0"/>
        <v>19</v>
      </c>
      <c r="AK63" s="29">
        <f t="shared" si="0"/>
        <v>3.35</v>
      </c>
      <c r="AL63" s="27">
        <f t="shared" si="0"/>
        <v>0</v>
      </c>
      <c r="AM63" s="29">
        <f t="shared" si="0"/>
        <v>0</v>
      </c>
    </row>
    <row r="64" spans="1:39" s="28" customFormat="1" x14ac:dyDescent="0.15">
      <c r="A64" s="25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5"/>
      <c r="U64" s="5"/>
      <c r="V64" s="5"/>
      <c r="W64" s="5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</row>
    <row r="65" spans="1:39" s="28" customFormat="1" x14ac:dyDescent="0.15">
      <c r="A65" s="25">
        <v>271</v>
      </c>
      <c r="B65" s="26" t="s">
        <v>104</v>
      </c>
      <c r="C65" s="27">
        <v>296</v>
      </c>
      <c r="D65" s="27">
        <v>41</v>
      </c>
      <c r="E65" s="27">
        <v>0</v>
      </c>
      <c r="F65" s="27">
        <v>337</v>
      </c>
      <c r="G65" s="27">
        <v>264</v>
      </c>
      <c r="H65" s="30">
        <v>77.11</v>
      </c>
      <c r="I65" s="27">
        <v>39</v>
      </c>
      <c r="J65" s="27">
        <v>3</v>
      </c>
      <c r="K65" s="27">
        <v>261</v>
      </c>
      <c r="L65" s="27">
        <v>120</v>
      </c>
      <c r="M65" s="29">
        <v>45.89</v>
      </c>
      <c r="N65" s="27">
        <v>100</v>
      </c>
      <c r="O65" s="29">
        <v>38.31</v>
      </c>
      <c r="P65" s="27">
        <v>16</v>
      </c>
      <c r="Q65" s="29">
        <v>6.13</v>
      </c>
      <c r="R65" s="27">
        <v>4</v>
      </c>
      <c r="S65" s="29">
        <v>1.53</v>
      </c>
      <c r="T65" s="5" t="s">
        <v>63</v>
      </c>
      <c r="U65" s="5" t="s">
        <v>63</v>
      </c>
      <c r="V65" s="5" t="s">
        <v>63</v>
      </c>
      <c r="W65" s="5" t="s">
        <v>63</v>
      </c>
      <c r="X65" s="27">
        <v>1</v>
      </c>
      <c r="Y65" s="29">
        <v>0.38</v>
      </c>
      <c r="Z65" s="27">
        <v>2</v>
      </c>
      <c r="AA65" s="29">
        <v>0.77</v>
      </c>
      <c r="AB65" s="27">
        <v>1</v>
      </c>
      <c r="AC65" s="29">
        <v>0.38</v>
      </c>
      <c r="AD65" s="27">
        <v>12</v>
      </c>
      <c r="AE65" s="29">
        <v>4.5999999999999996</v>
      </c>
      <c r="AF65" s="27">
        <v>1</v>
      </c>
      <c r="AG65" s="29">
        <v>0.38</v>
      </c>
      <c r="AH65" s="27">
        <v>0</v>
      </c>
      <c r="AI65" s="29">
        <v>0</v>
      </c>
      <c r="AJ65" s="27">
        <v>3</v>
      </c>
      <c r="AK65" s="29">
        <v>1.1499999999999999</v>
      </c>
      <c r="AL65" s="27">
        <v>1</v>
      </c>
      <c r="AM65" s="29">
        <v>0.38</v>
      </c>
    </row>
    <row r="66" spans="1:39" s="24" customFormat="1" x14ac:dyDescent="0.15">
      <c r="A66" s="25"/>
      <c r="B66" s="26"/>
      <c r="C66" s="27"/>
      <c r="D66" s="27"/>
      <c r="E66" s="27"/>
      <c r="F66" s="27"/>
      <c r="G66" s="27"/>
      <c r="H66" s="30"/>
      <c r="I66" s="27"/>
      <c r="J66" s="27"/>
      <c r="K66" s="27"/>
      <c r="L66" s="27"/>
      <c r="M66" s="29"/>
      <c r="N66" s="27"/>
      <c r="O66" s="29"/>
      <c r="P66" s="27"/>
      <c r="Q66" s="29"/>
      <c r="R66" s="27"/>
      <c r="S66" s="29"/>
      <c r="T66" s="5"/>
      <c r="U66" s="5"/>
      <c r="V66" s="5"/>
      <c r="W66" s="5"/>
      <c r="X66" s="27"/>
      <c r="Y66" s="29"/>
      <c r="Z66" s="27"/>
      <c r="AA66" s="29"/>
      <c r="AB66" s="27"/>
      <c r="AC66" s="29"/>
      <c r="AD66" s="27"/>
      <c r="AE66" s="29"/>
      <c r="AF66" s="27"/>
      <c r="AG66" s="29"/>
      <c r="AH66" s="27"/>
      <c r="AI66" s="29"/>
      <c r="AJ66" s="27"/>
      <c r="AK66" s="29"/>
      <c r="AL66" s="27"/>
      <c r="AM66" s="29"/>
    </row>
    <row r="67" spans="1:39" x14ac:dyDescent="0.15">
      <c r="A67" s="25">
        <v>273</v>
      </c>
      <c r="B67" s="26" t="s">
        <v>104</v>
      </c>
      <c r="C67" s="27">
        <v>296</v>
      </c>
      <c r="D67" s="27">
        <v>41</v>
      </c>
      <c r="E67" s="27">
        <v>0</v>
      </c>
      <c r="F67" s="27">
        <v>337</v>
      </c>
      <c r="G67" s="27">
        <v>264</v>
      </c>
      <c r="H67" s="30">
        <v>77.11</v>
      </c>
      <c r="I67" s="27">
        <v>39</v>
      </c>
      <c r="J67" s="27">
        <v>3</v>
      </c>
      <c r="K67" s="27">
        <v>261</v>
      </c>
      <c r="L67" s="27">
        <v>120</v>
      </c>
      <c r="M67" s="29">
        <v>45.89</v>
      </c>
      <c r="N67" s="27">
        <v>100</v>
      </c>
      <c r="O67" s="29">
        <v>38.31</v>
      </c>
      <c r="P67" s="27">
        <v>16</v>
      </c>
      <c r="Q67" s="29">
        <v>6.13</v>
      </c>
      <c r="R67" s="27">
        <v>4</v>
      </c>
      <c r="S67" s="29">
        <v>1.53</v>
      </c>
      <c r="T67" s="5" t="s">
        <v>63</v>
      </c>
      <c r="U67" s="5" t="s">
        <v>63</v>
      </c>
      <c r="V67" s="5" t="s">
        <v>63</v>
      </c>
      <c r="W67" s="5" t="s">
        <v>63</v>
      </c>
      <c r="X67" s="27">
        <v>1</v>
      </c>
      <c r="Y67" s="29">
        <v>0.38</v>
      </c>
      <c r="Z67" s="27">
        <v>2</v>
      </c>
      <c r="AA67" s="29">
        <v>0.77</v>
      </c>
      <c r="AB67" s="27">
        <v>1</v>
      </c>
      <c r="AC67" s="29">
        <v>0.38</v>
      </c>
      <c r="AD67" s="27">
        <v>12</v>
      </c>
      <c r="AE67" s="29">
        <v>4.5999999999999996</v>
      </c>
      <c r="AF67" s="27">
        <v>1</v>
      </c>
      <c r="AG67" s="29">
        <v>0.38</v>
      </c>
      <c r="AH67" s="27">
        <v>0</v>
      </c>
      <c r="AI67" s="29">
        <v>0</v>
      </c>
      <c r="AJ67" s="27">
        <v>3</v>
      </c>
      <c r="AK67" s="29">
        <v>1.1499999999999999</v>
      </c>
      <c r="AL67" s="27">
        <v>1</v>
      </c>
      <c r="AM67" s="29">
        <v>0.38</v>
      </c>
    </row>
    <row r="68" spans="1:39" x14ac:dyDescent="0.15">
      <c r="B68" s="2"/>
      <c r="C68" s="13"/>
      <c r="F68" s="13"/>
      <c r="G68" s="13"/>
      <c r="K68" s="13"/>
      <c r="L68" s="13"/>
      <c r="N68" s="13"/>
      <c r="T68" s="5"/>
      <c r="V68" s="5"/>
      <c r="AK68" s="5"/>
      <c r="AM68" s="5"/>
    </row>
    <row r="69" spans="1:39" s="14" customFormat="1" x14ac:dyDescent="0.15">
      <c r="A69" s="19">
        <v>311</v>
      </c>
      <c r="B69" s="20" t="s">
        <v>105</v>
      </c>
      <c r="C69" s="15">
        <v>4921</v>
      </c>
      <c r="D69" s="14">
        <v>745</v>
      </c>
      <c r="E69" s="14">
        <v>0</v>
      </c>
      <c r="F69" s="15">
        <v>5666</v>
      </c>
      <c r="G69" s="15">
        <v>3785</v>
      </c>
      <c r="H69" s="16">
        <v>65.7</v>
      </c>
      <c r="I69" s="14">
        <v>697</v>
      </c>
      <c r="J69" s="14">
        <v>64</v>
      </c>
      <c r="K69" s="15">
        <v>3721</v>
      </c>
      <c r="L69" s="15">
        <v>1347</v>
      </c>
      <c r="M69" s="21">
        <v>36.199946251007795</v>
      </c>
      <c r="N69" s="14">
        <v>462</v>
      </c>
      <c r="O69" s="21">
        <v>12.416017199677507</v>
      </c>
      <c r="P69" s="15">
        <v>1429</v>
      </c>
      <c r="Q69" s="21">
        <v>38.40365493147003</v>
      </c>
      <c r="R69" s="14">
        <v>21</v>
      </c>
      <c r="S69" s="21">
        <v>0.56436441816715932</v>
      </c>
      <c r="T69" s="5" t="s">
        <v>63</v>
      </c>
      <c r="U69" s="5" t="s">
        <v>63</v>
      </c>
      <c r="V69" s="5" t="s">
        <v>63</v>
      </c>
      <c r="W69" s="5" t="s">
        <v>63</v>
      </c>
      <c r="X69" s="14">
        <v>2</v>
      </c>
      <c r="Y69" s="21">
        <v>5.3748992206396125E-2</v>
      </c>
      <c r="Z69" s="14">
        <v>21</v>
      </c>
      <c r="AA69" s="21">
        <v>0.56436441816715932</v>
      </c>
      <c r="AB69" s="14">
        <v>36</v>
      </c>
      <c r="AC69" s="21">
        <v>0.96748185971513045</v>
      </c>
      <c r="AD69" s="14">
        <v>94</v>
      </c>
      <c r="AE69" s="21">
        <v>2.5262026337006178</v>
      </c>
      <c r="AF69" s="14">
        <v>3</v>
      </c>
      <c r="AG69" s="21">
        <v>8.0623488309594191E-2</v>
      </c>
      <c r="AH69" s="14">
        <v>236</v>
      </c>
      <c r="AI69" s="21">
        <v>6.3423810803547438</v>
      </c>
      <c r="AJ69" s="14">
        <v>45</v>
      </c>
      <c r="AK69" s="21">
        <v>1.2093523246439131</v>
      </c>
      <c r="AL69" s="14">
        <v>25</v>
      </c>
      <c r="AM69" s="21">
        <v>0.67186240257995167</v>
      </c>
    </row>
    <row r="70" spans="1:39" s="14" customFormat="1" x14ac:dyDescent="0.15">
      <c r="A70" s="19"/>
      <c r="B70" s="20"/>
      <c r="C70" s="15"/>
      <c r="F70" s="15"/>
      <c r="G70" s="15"/>
      <c r="H70" s="16"/>
      <c r="K70" s="15"/>
      <c r="L70" s="15"/>
      <c r="M70" s="5"/>
      <c r="O70" s="5"/>
      <c r="P70" s="15"/>
      <c r="Q70" s="5"/>
      <c r="S70" s="5"/>
      <c r="T70" s="5"/>
      <c r="U70" s="5"/>
      <c r="V70" s="5"/>
      <c r="W70" s="5"/>
      <c r="Y70" s="5"/>
      <c r="AA70" s="5"/>
      <c r="AC70" s="5"/>
      <c r="AE70" s="5"/>
      <c r="AG70" s="5"/>
      <c r="AI70" s="5"/>
      <c r="AK70" s="5"/>
      <c r="AM70" s="5"/>
    </row>
    <row r="71" spans="1:39" s="14" customFormat="1" x14ac:dyDescent="0.15">
      <c r="A71" s="19">
        <v>312</v>
      </c>
      <c r="B71" s="20" t="s">
        <v>106</v>
      </c>
      <c r="C71" s="15">
        <v>4541</v>
      </c>
      <c r="D71" s="14">
        <v>820</v>
      </c>
      <c r="E71" s="14">
        <v>2</v>
      </c>
      <c r="F71" s="15">
        <v>5363</v>
      </c>
      <c r="G71" s="15">
        <v>3626</v>
      </c>
      <c r="H71" s="16">
        <v>66.7</v>
      </c>
      <c r="I71" s="14">
        <v>748</v>
      </c>
      <c r="J71" s="14">
        <v>33</v>
      </c>
      <c r="K71" s="15">
        <v>3593</v>
      </c>
      <c r="L71" s="15">
        <v>1308</v>
      </c>
      <c r="M71" s="21">
        <v>36.404119120512107</v>
      </c>
      <c r="N71" s="14">
        <v>568</v>
      </c>
      <c r="O71" s="21">
        <v>15.808516559977734</v>
      </c>
      <c r="P71" s="15">
        <v>1303</v>
      </c>
      <c r="Q71" s="21">
        <v>36.264959643751737</v>
      </c>
      <c r="R71" s="14">
        <v>21</v>
      </c>
      <c r="S71" s="21">
        <v>0.58446980239354296</v>
      </c>
      <c r="T71" s="5" t="s">
        <v>63</v>
      </c>
      <c r="U71" s="5" t="s">
        <v>63</v>
      </c>
      <c r="V71" s="5" t="s">
        <v>63</v>
      </c>
      <c r="W71" s="5" t="s">
        <v>63</v>
      </c>
      <c r="X71" s="14">
        <v>3</v>
      </c>
      <c r="Y71" s="21">
        <v>8.3495686056220431E-2</v>
      </c>
      <c r="Z71" s="14">
        <v>22</v>
      </c>
      <c r="AA71" s="21">
        <v>0.61230169774561649</v>
      </c>
      <c r="AB71" s="14">
        <v>28</v>
      </c>
      <c r="AC71" s="21">
        <v>0.77929306985805735</v>
      </c>
      <c r="AD71" s="14">
        <v>133</v>
      </c>
      <c r="AE71" s="21">
        <v>3.7016420818257725</v>
      </c>
      <c r="AF71" s="14">
        <v>4</v>
      </c>
      <c r="AG71" s="21">
        <v>0.11132758140829391</v>
      </c>
      <c r="AH71" s="14">
        <v>142</v>
      </c>
      <c r="AI71" s="21">
        <v>3.9521291399944336</v>
      </c>
      <c r="AJ71" s="14">
        <v>44</v>
      </c>
      <c r="AK71" s="21">
        <v>1.224603395491233</v>
      </c>
      <c r="AL71" s="14">
        <v>17</v>
      </c>
      <c r="AM71" s="21">
        <v>0.47314222098524911</v>
      </c>
    </row>
    <row r="72" spans="1:39" s="14" customFormat="1" x14ac:dyDescent="0.15">
      <c r="A72" s="19"/>
      <c r="B72" s="20"/>
      <c r="C72" s="15"/>
      <c r="F72" s="15"/>
      <c r="G72" s="15"/>
      <c r="H72" s="16"/>
      <c r="K72" s="15"/>
      <c r="L72" s="15"/>
      <c r="M72" s="5"/>
      <c r="O72" s="5"/>
      <c r="P72" s="15"/>
      <c r="Q72" s="5"/>
      <c r="S72" s="5"/>
      <c r="T72" s="5"/>
      <c r="U72" s="5"/>
      <c r="V72" s="5"/>
      <c r="W72" s="5"/>
      <c r="Y72" s="5"/>
      <c r="AA72" s="5"/>
      <c r="AC72" s="5"/>
      <c r="AE72" s="5"/>
      <c r="AG72" s="5"/>
      <c r="AI72" s="5"/>
      <c r="AK72" s="5"/>
      <c r="AM72" s="5"/>
    </row>
    <row r="73" spans="1:39" s="14" customFormat="1" x14ac:dyDescent="0.15">
      <c r="A73" s="19">
        <v>313</v>
      </c>
      <c r="B73" s="20" t="s">
        <v>107</v>
      </c>
      <c r="C73" s="15">
        <v>6532</v>
      </c>
      <c r="D73" s="15">
        <v>1224</v>
      </c>
      <c r="E73" s="14">
        <v>0</v>
      </c>
      <c r="F73" s="15">
        <v>7756</v>
      </c>
      <c r="G73" s="15">
        <v>5418</v>
      </c>
      <c r="H73" s="16">
        <v>68.599999999999994</v>
      </c>
      <c r="I73" s="15">
        <v>1138</v>
      </c>
      <c r="J73" s="14">
        <v>44</v>
      </c>
      <c r="K73" s="15">
        <v>5374</v>
      </c>
      <c r="L73" s="15">
        <v>2163</v>
      </c>
      <c r="M73" s="21">
        <v>40.249348716040195</v>
      </c>
      <c r="N73" s="15">
        <v>1066</v>
      </c>
      <c r="O73" s="21">
        <v>19.836248604391514</v>
      </c>
      <c r="P73" s="15">
        <v>1548</v>
      </c>
      <c r="Q73" s="21">
        <v>28.805359136583554</v>
      </c>
      <c r="R73" s="14">
        <v>37</v>
      </c>
      <c r="S73" s="21">
        <v>0.68850018608113139</v>
      </c>
      <c r="T73" s="5" t="s">
        <v>63</v>
      </c>
      <c r="U73" s="5" t="s">
        <v>63</v>
      </c>
      <c r="V73" s="5" t="s">
        <v>63</v>
      </c>
      <c r="W73" s="5" t="s">
        <v>63</v>
      </c>
      <c r="X73" s="14">
        <v>15</v>
      </c>
      <c r="Y73" s="21">
        <v>0.27912169705991813</v>
      </c>
      <c r="Z73" s="14">
        <v>38</v>
      </c>
      <c r="AA73" s="21">
        <v>0.7071082992184593</v>
      </c>
      <c r="AB73" s="14">
        <v>28</v>
      </c>
      <c r="AC73" s="21">
        <v>0.52102716784518055</v>
      </c>
      <c r="AD73" s="14">
        <v>181</v>
      </c>
      <c r="AE73" s="21">
        <v>3.3680684778563452</v>
      </c>
      <c r="AF73" s="14">
        <v>8</v>
      </c>
      <c r="AG73" s="21">
        <v>0.14886490509862302</v>
      </c>
      <c r="AH73" s="14">
        <v>162</v>
      </c>
      <c r="AI73" s="21">
        <v>3.0145143282471158</v>
      </c>
      <c r="AJ73" s="14">
        <v>112</v>
      </c>
      <c r="AK73" s="21">
        <v>2.0841086713807222</v>
      </c>
      <c r="AL73" s="14">
        <v>16</v>
      </c>
      <c r="AM73" s="21">
        <v>0.29772981019724604</v>
      </c>
    </row>
    <row r="74" spans="1:39" s="14" customFormat="1" x14ac:dyDescent="0.15">
      <c r="A74" s="19"/>
      <c r="B74" s="20"/>
      <c r="C74" s="15"/>
      <c r="D74" s="15"/>
      <c r="F74" s="15"/>
      <c r="G74" s="15"/>
      <c r="H74" s="16"/>
      <c r="I74" s="15"/>
      <c r="K74" s="15"/>
      <c r="L74" s="15"/>
      <c r="M74" s="5"/>
      <c r="N74" s="15"/>
      <c r="O74" s="5"/>
      <c r="P74" s="15"/>
      <c r="Q74" s="5"/>
      <c r="S74" s="5"/>
      <c r="T74" s="5"/>
      <c r="U74" s="5"/>
      <c r="V74" s="5"/>
      <c r="W74" s="5"/>
      <c r="Y74" s="5"/>
      <c r="AA74" s="5"/>
      <c r="AC74" s="5"/>
      <c r="AE74" s="5"/>
      <c r="AG74" s="5"/>
      <c r="AI74" s="5"/>
      <c r="AK74" s="5"/>
      <c r="AM74" s="5"/>
    </row>
    <row r="75" spans="1:39" s="14" customFormat="1" x14ac:dyDescent="0.15">
      <c r="A75" s="19">
        <v>314</v>
      </c>
      <c r="B75" s="20" t="s">
        <v>108</v>
      </c>
      <c r="C75" s="15">
        <v>3298</v>
      </c>
      <c r="D75" s="14">
        <v>466</v>
      </c>
      <c r="E75" s="14">
        <v>0</v>
      </c>
      <c r="F75" s="15">
        <v>3764</v>
      </c>
      <c r="G75" s="15">
        <v>2454</v>
      </c>
      <c r="H75" s="16">
        <v>64.2</v>
      </c>
      <c r="I75" s="14">
        <v>435</v>
      </c>
      <c r="J75" s="14">
        <v>20</v>
      </c>
      <c r="K75" s="15">
        <v>2434</v>
      </c>
      <c r="L75" s="15">
        <v>1058</v>
      </c>
      <c r="M75" s="21">
        <v>43.467543138866063</v>
      </c>
      <c r="N75" s="14">
        <v>527</v>
      </c>
      <c r="O75" s="21">
        <v>21.651602300739523</v>
      </c>
      <c r="P75" s="14">
        <v>524</v>
      </c>
      <c r="Q75" s="21">
        <v>21.528348397699261</v>
      </c>
      <c r="R75" s="14">
        <v>35</v>
      </c>
      <c r="S75" s="21">
        <v>1.4379622021364009</v>
      </c>
      <c r="T75" s="5" t="s">
        <v>63</v>
      </c>
      <c r="U75" s="5" t="s">
        <v>63</v>
      </c>
      <c r="V75" s="5" t="s">
        <v>63</v>
      </c>
      <c r="W75" s="5" t="s">
        <v>63</v>
      </c>
      <c r="X75" s="14">
        <v>5</v>
      </c>
      <c r="Y75" s="21">
        <v>0.20542317173377159</v>
      </c>
      <c r="Z75" s="14">
        <v>17</v>
      </c>
      <c r="AA75" s="21">
        <v>0.69843878389482339</v>
      </c>
      <c r="AB75" s="14">
        <v>12</v>
      </c>
      <c r="AC75" s="21">
        <v>0.49301561216105172</v>
      </c>
      <c r="AD75" s="14">
        <v>79</v>
      </c>
      <c r="AE75" s="21">
        <v>3.2456861133935906</v>
      </c>
      <c r="AF75" s="14">
        <v>10</v>
      </c>
      <c r="AG75" s="21">
        <v>0.41084634346754317</v>
      </c>
      <c r="AH75" s="14">
        <v>67</v>
      </c>
      <c r="AI75" s="21">
        <v>2.7526705012325388</v>
      </c>
      <c r="AJ75" s="14">
        <v>85</v>
      </c>
      <c r="AK75" s="21">
        <v>3.4921939194741167</v>
      </c>
      <c r="AL75" s="14">
        <v>15</v>
      </c>
      <c r="AM75" s="21">
        <v>0.61626951520131468</v>
      </c>
    </row>
    <row r="76" spans="1:39" s="14" customFormat="1" x14ac:dyDescent="0.15">
      <c r="A76" s="19"/>
      <c r="B76" s="20"/>
      <c r="C76" s="15"/>
      <c r="F76" s="15"/>
      <c r="G76" s="15"/>
      <c r="H76" s="16"/>
      <c r="K76" s="15"/>
      <c r="L76" s="15"/>
      <c r="M76" s="21"/>
      <c r="O76" s="21"/>
      <c r="Q76" s="21"/>
      <c r="S76" s="21"/>
      <c r="T76" s="5"/>
      <c r="U76" s="5"/>
      <c r="V76" s="5"/>
      <c r="W76" s="5"/>
      <c r="Y76" s="21"/>
      <c r="AA76" s="21"/>
      <c r="AC76" s="21"/>
      <c r="AE76" s="21"/>
      <c r="AG76" s="21"/>
      <c r="AI76" s="21"/>
      <c r="AK76" s="21"/>
      <c r="AM76" s="21"/>
    </row>
    <row r="77" spans="1:39" s="14" customFormat="1" x14ac:dyDescent="0.15">
      <c r="A77" s="19">
        <v>31</v>
      </c>
      <c r="B77" s="20" t="s">
        <v>109</v>
      </c>
      <c r="C77" s="15">
        <v>19292</v>
      </c>
      <c r="D77" s="15">
        <v>3255</v>
      </c>
      <c r="E77" s="14">
        <v>2</v>
      </c>
      <c r="F77" s="15">
        <v>22549</v>
      </c>
      <c r="G77" s="15">
        <v>15283</v>
      </c>
      <c r="H77" s="16">
        <v>66.7</v>
      </c>
      <c r="I77" s="15">
        <v>3018</v>
      </c>
      <c r="J77" s="14">
        <v>161</v>
      </c>
      <c r="K77" s="15">
        <v>15122</v>
      </c>
      <c r="L77" s="15">
        <v>5876</v>
      </c>
      <c r="M77" s="21">
        <v>38.857294008729006</v>
      </c>
      <c r="N77" s="15">
        <v>2623</v>
      </c>
      <c r="O77" s="21">
        <v>17.345589207776747</v>
      </c>
      <c r="P77" s="15">
        <v>4804</v>
      </c>
      <c r="Q77" s="21">
        <v>31.768284618436716</v>
      </c>
      <c r="R77" s="14">
        <v>114</v>
      </c>
      <c r="S77" s="21">
        <v>0.75386853590794867</v>
      </c>
      <c r="T77" s="5" t="s">
        <v>63</v>
      </c>
      <c r="U77" s="5" t="s">
        <v>63</v>
      </c>
      <c r="V77" s="5" t="s">
        <v>63</v>
      </c>
      <c r="W77" s="5" t="s">
        <v>63</v>
      </c>
      <c r="X77" s="14">
        <v>25</v>
      </c>
      <c r="Y77" s="21">
        <v>0.16532204734823436</v>
      </c>
      <c r="Z77" s="14">
        <v>98</v>
      </c>
      <c r="AA77" s="21">
        <v>0.64806242560507876</v>
      </c>
      <c r="AB77" s="14">
        <v>104</v>
      </c>
      <c r="AC77" s="21">
        <v>0.68773971696865488</v>
      </c>
      <c r="AD77" s="14">
        <v>487</v>
      </c>
      <c r="AE77" s="21">
        <v>3.2204734823436052</v>
      </c>
      <c r="AF77" s="14">
        <v>25</v>
      </c>
      <c r="AG77" s="21">
        <v>0.16532204734823436</v>
      </c>
      <c r="AH77" s="14">
        <v>607</v>
      </c>
      <c r="AI77" s="21">
        <v>4.0140193096151302</v>
      </c>
      <c r="AJ77" s="14">
        <v>286</v>
      </c>
      <c r="AK77" s="21">
        <v>1.8912842216638013</v>
      </c>
      <c r="AL77" s="14">
        <v>73</v>
      </c>
      <c r="AM77" s="21">
        <v>0.48274037825684435</v>
      </c>
    </row>
    <row r="78" spans="1:39" s="14" customFormat="1" x14ac:dyDescent="0.15">
      <c r="A78" s="19"/>
      <c r="B78" s="20"/>
      <c r="C78" s="15"/>
      <c r="D78" s="15"/>
      <c r="F78" s="15"/>
      <c r="G78" s="15"/>
      <c r="H78" s="16"/>
      <c r="I78" s="15"/>
      <c r="K78" s="15"/>
      <c r="L78" s="15"/>
      <c r="M78" s="5"/>
      <c r="N78" s="15"/>
      <c r="O78" s="5"/>
      <c r="P78" s="15"/>
      <c r="Q78" s="5"/>
      <c r="S78" s="5"/>
      <c r="T78" s="5"/>
      <c r="U78" s="5"/>
      <c r="V78" s="5"/>
      <c r="W78" s="5"/>
      <c r="Y78" s="5"/>
      <c r="AA78" s="5"/>
      <c r="AC78" s="5"/>
      <c r="AE78" s="5"/>
      <c r="AG78" s="5"/>
      <c r="AI78" s="5"/>
      <c r="AK78" s="5"/>
      <c r="AM78" s="5"/>
    </row>
    <row r="79" spans="1:39" s="14" customFormat="1" x14ac:dyDescent="0.15">
      <c r="A79" s="19">
        <v>321</v>
      </c>
      <c r="B79" s="20" t="s">
        <v>110</v>
      </c>
      <c r="C79" s="15">
        <v>3783</v>
      </c>
      <c r="D79" s="14">
        <v>922</v>
      </c>
      <c r="E79" s="14">
        <v>1</v>
      </c>
      <c r="F79" s="15">
        <v>4706</v>
      </c>
      <c r="G79" s="15">
        <v>3436</v>
      </c>
      <c r="H79" s="16">
        <v>71.099999999999994</v>
      </c>
      <c r="I79" s="14">
        <v>875</v>
      </c>
      <c r="J79" s="14">
        <v>16</v>
      </c>
      <c r="K79" s="15">
        <v>3420</v>
      </c>
      <c r="L79" s="15">
        <v>1230</v>
      </c>
      <c r="M79" s="21">
        <v>35.964912280701753</v>
      </c>
      <c r="N79" s="15">
        <v>1307</v>
      </c>
      <c r="O79" s="21">
        <v>38.216374269005847</v>
      </c>
      <c r="P79" s="14">
        <v>516</v>
      </c>
      <c r="Q79" s="21">
        <v>15.087719298245613</v>
      </c>
      <c r="R79" s="14">
        <v>27</v>
      </c>
      <c r="S79" s="21">
        <v>0.78947368421052633</v>
      </c>
      <c r="T79" s="5" t="s">
        <v>63</v>
      </c>
      <c r="U79" s="5" t="s">
        <v>63</v>
      </c>
      <c r="V79" s="5" t="s">
        <v>63</v>
      </c>
      <c r="W79" s="5" t="s">
        <v>63</v>
      </c>
      <c r="X79" s="14">
        <v>18</v>
      </c>
      <c r="Y79" s="21">
        <v>0.52631578947368418</v>
      </c>
      <c r="Z79" s="14">
        <v>20</v>
      </c>
      <c r="AA79" s="21">
        <v>0.58479532163742687</v>
      </c>
      <c r="AB79" s="14">
        <v>6</v>
      </c>
      <c r="AC79" s="21">
        <v>0.17543859649122806</v>
      </c>
      <c r="AD79" s="14">
        <v>173</v>
      </c>
      <c r="AE79" s="21">
        <v>5.0584795321637426</v>
      </c>
      <c r="AF79" s="14">
        <v>5</v>
      </c>
      <c r="AG79" s="21">
        <v>0.14619883040935672</v>
      </c>
      <c r="AH79" s="14">
        <v>36</v>
      </c>
      <c r="AI79" s="21">
        <v>1.0526315789473684</v>
      </c>
      <c r="AJ79" s="14">
        <v>77</v>
      </c>
      <c r="AK79" s="21">
        <v>2.2514619883040936</v>
      </c>
      <c r="AL79" s="14">
        <v>5</v>
      </c>
      <c r="AM79" s="21">
        <v>0.14619883040935672</v>
      </c>
    </row>
    <row r="80" spans="1:39" s="14" customFormat="1" x14ac:dyDescent="0.15">
      <c r="A80" s="19"/>
      <c r="B80" s="20"/>
      <c r="C80" s="15"/>
      <c r="F80" s="15"/>
      <c r="G80" s="15"/>
      <c r="H80" s="16"/>
      <c r="K80" s="15"/>
      <c r="L80" s="15"/>
      <c r="M80" s="5"/>
      <c r="N80" s="15"/>
      <c r="O80" s="5"/>
      <c r="Q80" s="5"/>
      <c r="S80" s="5"/>
      <c r="T80" s="5"/>
      <c r="U80" s="5"/>
      <c r="V80" s="5"/>
      <c r="W80" s="5"/>
      <c r="Y80" s="5"/>
      <c r="AA80" s="5"/>
      <c r="AC80" s="5"/>
      <c r="AE80" s="5"/>
      <c r="AG80" s="5"/>
      <c r="AI80" s="5"/>
      <c r="AK80" s="5"/>
      <c r="AM80" s="5"/>
    </row>
    <row r="81" spans="1:39" s="14" customFormat="1" x14ac:dyDescent="0.15">
      <c r="A81" s="19">
        <v>322</v>
      </c>
      <c r="B81" s="20" t="s">
        <v>111</v>
      </c>
      <c r="C81" s="15">
        <v>2865</v>
      </c>
      <c r="D81" s="14">
        <v>820</v>
      </c>
      <c r="E81" s="14">
        <v>0</v>
      </c>
      <c r="F81" s="15">
        <v>3685</v>
      </c>
      <c r="G81" s="15">
        <v>2719</v>
      </c>
      <c r="H81" s="16">
        <v>72.099999999999994</v>
      </c>
      <c r="I81" s="14">
        <v>759</v>
      </c>
      <c r="J81" s="14">
        <v>29</v>
      </c>
      <c r="K81" s="15">
        <v>2690</v>
      </c>
      <c r="L81" s="14">
        <v>794</v>
      </c>
      <c r="M81" s="21">
        <v>29.516728624535315</v>
      </c>
      <c r="N81" s="14">
        <v>989</v>
      </c>
      <c r="O81" s="21">
        <v>36.765799256505574</v>
      </c>
      <c r="P81" s="14">
        <v>603</v>
      </c>
      <c r="Q81" s="21">
        <v>22.41635687732342</v>
      </c>
      <c r="R81" s="14">
        <v>11</v>
      </c>
      <c r="S81" s="21">
        <v>0.40892193308550184</v>
      </c>
      <c r="T81" s="5" t="s">
        <v>63</v>
      </c>
      <c r="U81" s="5" t="s">
        <v>63</v>
      </c>
      <c r="V81" s="5" t="s">
        <v>63</v>
      </c>
      <c r="W81" s="5" t="s">
        <v>63</v>
      </c>
      <c r="X81" s="14">
        <v>8</v>
      </c>
      <c r="Y81" s="21">
        <v>0.29739776951672864</v>
      </c>
      <c r="Z81" s="14">
        <v>7</v>
      </c>
      <c r="AA81" s="21">
        <v>0.26022304832713755</v>
      </c>
      <c r="AB81" s="14">
        <v>6</v>
      </c>
      <c r="AC81" s="21">
        <v>0.22304832713754646</v>
      </c>
      <c r="AD81" s="14">
        <v>186</v>
      </c>
      <c r="AE81" s="21">
        <v>6.9144981412639401</v>
      </c>
      <c r="AF81" s="14">
        <v>8</v>
      </c>
      <c r="AG81" s="21">
        <v>0.29739776951672864</v>
      </c>
      <c r="AH81" s="14">
        <v>38</v>
      </c>
      <c r="AI81" s="21">
        <v>1.4126394052044611</v>
      </c>
      <c r="AJ81" s="14">
        <v>39</v>
      </c>
      <c r="AK81" s="21">
        <v>1.449814126394052</v>
      </c>
      <c r="AL81" s="14">
        <v>1</v>
      </c>
      <c r="AM81" s="21">
        <v>3.717472118959108E-2</v>
      </c>
    </row>
    <row r="82" spans="1:39" s="14" customFormat="1" x14ac:dyDescent="0.15">
      <c r="A82" s="19"/>
      <c r="B82" s="20"/>
      <c r="C82" s="15"/>
      <c r="F82" s="15"/>
      <c r="G82" s="15"/>
      <c r="H82" s="16"/>
      <c r="K82" s="15"/>
      <c r="M82" s="5"/>
      <c r="O82" s="5"/>
      <c r="Q82" s="5"/>
      <c r="S82" s="5"/>
      <c r="T82" s="5"/>
      <c r="U82" s="5"/>
      <c r="V82" s="5"/>
      <c r="W82" s="5"/>
      <c r="Y82" s="5"/>
      <c r="AA82" s="5"/>
      <c r="AC82" s="5"/>
      <c r="AE82" s="5"/>
      <c r="AG82" s="5"/>
      <c r="AI82" s="5"/>
      <c r="AK82" s="5"/>
      <c r="AM82" s="5"/>
    </row>
    <row r="83" spans="1:39" s="14" customFormat="1" x14ac:dyDescent="0.15">
      <c r="A83" s="19">
        <v>323</v>
      </c>
      <c r="B83" s="20" t="s">
        <v>112</v>
      </c>
      <c r="C83" s="15">
        <v>1809</v>
      </c>
      <c r="D83" s="14">
        <v>411</v>
      </c>
      <c r="E83" s="14">
        <v>0</v>
      </c>
      <c r="F83" s="15">
        <v>2220</v>
      </c>
      <c r="G83" s="15">
        <v>1579</v>
      </c>
      <c r="H83" s="16">
        <v>69.400000000000006</v>
      </c>
      <c r="I83" s="14">
        <v>387</v>
      </c>
      <c r="J83" s="14">
        <v>15</v>
      </c>
      <c r="K83" s="15">
        <v>1564</v>
      </c>
      <c r="L83" s="14">
        <v>535</v>
      </c>
      <c r="M83" s="21">
        <v>34.207161125319693</v>
      </c>
      <c r="N83" s="14">
        <v>435</v>
      </c>
      <c r="O83" s="21">
        <v>27.813299232736572</v>
      </c>
      <c r="P83" s="14">
        <v>426</v>
      </c>
      <c r="Q83" s="21">
        <v>27.237851662404093</v>
      </c>
      <c r="R83" s="14">
        <v>7</v>
      </c>
      <c r="S83" s="21">
        <v>0.4475703324808184</v>
      </c>
      <c r="T83" s="5" t="s">
        <v>63</v>
      </c>
      <c r="U83" s="5" t="s">
        <v>63</v>
      </c>
      <c r="V83" s="5" t="s">
        <v>63</v>
      </c>
      <c r="W83" s="5" t="s">
        <v>63</v>
      </c>
      <c r="X83" s="14">
        <v>2</v>
      </c>
      <c r="Y83" s="21">
        <v>0.12787723785166241</v>
      </c>
      <c r="Z83" s="14">
        <v>7</v>
      </c>
      <c r="AA83" s="21">
        <v>0.4475703324808184</v>
      </c>
      <c r="AB83" s="14">
        <v>5</v>
      </c>
      <c r="AC83" s="21">
        <v>0.31969309462915602</v>
      </c>
      <c r="AD83" s="14">
        <v>85</v>
      </c>
      <c r="AE83" s="21">
        <v>5.4347826086956523</v>
      </c>
      <c r="AF83" s="14">
        <v>4</v>
      </c>
      <c r="AG83" s="21">
        <v>0.25575447570332482</v>
      </c>
      <c r="AH83" s="14">
        <v>29</v>
      </c>
      <c r="AI83" s="21">
        <v>1.8542199488491049</v>
      </c>
      <c r="AJ83" s="14">
        <v>28</v>
      </c>
      <c r="AK83" s="21">
        <v>1.7902813299232736</v>
      </c>
      <c r="AL83" s="14">
        <v>1</v>
      </c>
      <c r="AM83" s="21">
        <v>6.3938618925831206E-2</v>
      </c>
    </row>
    <row r="84" spans="1:39" s="14" customFormat="1" x14ac:dyDescent="0.15">
      <c r="A84" s="19"/>
      <c r="B84" s="20"/>
      <c r="C84" s="15"/>
      <c r="F84" s="15"/>
      <c r="G84" s="15"/>
      <c r="H84" s="16"/>
      <c r="K84" s="15"/>
      <c r="M84" s="5"/>
      <c r="O84" s="5"/>
      <c r="Q84" s="5"/>
      <c r="S84" s="5"/>
      <c r="T84" s="5"/>
      <c r="U84" s="5"/>
      <c r="V84" s="5"/>
      <c r="W84" s="5"/>
      <c r="Y84" s="5"/>
      <c r="AA84" s="5"/>
      <c r="AC84" s="5"/>
      <c r="AE84" s="5"/>
      <c r="AG84" s="5"/>
      <c r="AI84" s="5"/>
      <c r="AK84" s="5"/>
      <c r="AM84" s="5"/>
    </row>
    <row r="85" spans="1:39" s="14" customFormat="1" x14ac:dyDescent="0.15">
      <c r="A85" s="19">
        <v>324</v>
      </c>
      <c r="B85" s="20" t="s">
        <v>113</v>
      </c>
      <c r="C85" s="15">
        <v>3927</v>
      </c>
      <c r="D85" s="15">
        <v>1023</v>
      </c>
      <c r="E85" s="14">
        <v>0</v>
      </c>
      <c r="F85" s="15">
        <v>4950</v>
      </c>
      <c r="G85" s="15">
        <v>3677</v>
      </c>
      <c r="H85" s="16">
        <v>72.3</v>
      </c>
      <c r="I85" s="14">
        <v>970</v>
      </c>
      <c r="J85" s="14">
        <v>25</v>
      </c>
      <c r="K85" s="15">
        <v>3652</v>
      </c>
      <c r="L85" s="15">
        <v>1250</v>
      </c>
      <c r="M85" s="21">
        <v>34.227820372398689</v>
      </c>
      <c r="N85" s="15">
        <v>1304</v>
      </c>
      <c r="O85" s="21">
        <v>35.706462212486308</v>
      </c>
      <c r="P85" s="14">
        <v>693</v>
      </c>
      <c r="Q85" s="21">
        <v>18.975903614457831</v>
      </c>
      <c r="R85" s="14">
        <v>30</v>
      </c>
      <c r="S85" s="21">
        <v>0.8214676889375685</v>
      </c>
      <c r="T85" s="5" t="s">
        <v>63</v>
      </c>
      <c r="U85" s="5" t="s">
        <v>63</v>
      </c>
      <c r="V85" s="5" t="s">
        <v>63</v>
      </c>
      <c r="W85" s="5" t="s">
        <v>63</v>
      </c>
      <c r="X85" s="14">
        <v>11</v>
      </c>
      <c r="Y85" s="21">
        <v>0.30120481927710846</v>
      </c>
      <c r="Z85" s="14">
        <v>18</v>
      </c>
      <c r="AA85" s="21">
        <v>0.49288061336254113</v>
      </c>
      <c r="AB85" s="14">
        <v>12</v>
      </c>
      <c r="AC85" s="21">
        <v>0.32858707557502737</v>
      </c>
      <c r="AD85" s="14">
        <v>201</v>
      </c>
      <c r="AE85" s="21">
        <v>5.5038335158817082</v>
      </c>
      <c r="AF85" s="14">
        <v>3</v>
      </c>
      <c r="AG85" s="21">
        <v>8.2146768893756841E-2</v>
      </c>
      <c r="AH85" s="14">
        <v>44</v>
      </c>
      <c r="AI85" s="21">
        <v>1.2048192771084338</v>
      </c>
      <c r="AJ85" s="14">
        <v>82</v>
      </c>
      <c r="AK85" s="21">
        <v>2.2453450164293538</v>
      </c>
      <c r="AL85" s="14">
        <v>4</v>
      </c>
      <c r="AM85" s="21">
        <v>0.10952902519167579</v>
      </c>
    </row>
    <row r="86" spans="1:39" s="14" customFormat="1" x14ac:dyDescent="0.15">
      <c r="A86" s="19"/>
      <c r="B86" s="20"/>
      <c r="C86" s="15"/>
      <c r="D86" s="15"/>
      <c r="F86" s="15"/>
      <c r="G86" s="15"/>
      <c r="H86" s="16"/>
      <c r="K86" s="15"/>
      <c r="L86" s="15"/>
      <c r="M86" s="5"/>
      <c r="N86" s="15"/>
      <c r="O86" s="5"/>
      <c r="Q86" s="5"/>
      <c r="S86" s="5"/>
      <c r="T86" s="5"/>
      <c r="U86" s="5"/>
      <c r="V86" s="5"/>
      <c r="W86" s="5"/>
      <c r="Y86" s="5"/>
      <c r="AA86" s="5"/>
      <c r="AC86" s="5"/>
      <c r="AE86" s="5"/>
      <c r="AG86" s="5"/>
      <c r="AI86" s="5"/>
      <c r="AK86" s="5"/>
      <c r="AM86" s="5"/>
    </row>
    <row r="87" spans="1:39" s="14" customFormat="1" x14ac:dyDescent="0.15">
      <c r="A87" s="19">
        <v>325</v>
      </c>
      <c r="B87" s="20" t="s">
        <v>114</v>
      </c>
      <c r="C87" s="15">
        <v>4306</v>
      </c>
      <c r="D87" s="15">
        <v>1172</v>
      </c>
      <c r="E87" s="14">
        <v>0</v>
      </c>
      <c r="F87" s="15">
        <v>5478</v>
      </c>
      <c r="G87" s="15">
        <v>4103</v>
      </c>
      <c r="H87" s="16">
        <v>72.7</v>
      </c>
      <c r="I87" s="15">
        <v>1116</v>
      </c>
      <c r="J87" s="14">
        <v>29</v>
      </c>
      <c r="K87" s="15">
        <v>4074</v>
      </c>
      <c r="L87" s="15">
        <v>1321</v>
      </c>
      <c r="M87" s="21">
        <v>32.425135002454589</v>
      </c>
      <c r="N87" s="15">
        <v>1669</v>
      </c>
      <c r="O87" s="21">
        <v>40.967108492881685</v>
      </c>
      <c r="P87" s="14">
        <v>607</v>
      </c>
      <c r="Q87" s="21">
        <v>14.899361806578302</v>
      </c>
      <c r="R87" s="14">
        <v>18</v>
      </c>
      <c r="S87" s="21">
        <v>0.4418262150220913</v>
      </c>
      <c r="T87" s="5" t="s">
        <v>63</v>
      </c>
      <c r="U87" s="5" t="s">
        <v>63</v>
      </c>
      <c r="V87" s="5" t="s">
        <v>63</v>
      </c>
      <c r="W87" s="5" t="s">
        <v>63</v>
      </c>
      <c r="X87" s="14">
        <v>6</v>
      </c>
      <c r="Y87" s="21">
        <v>0.14727540500736377</v>
      </c>
      <c r="Z87" s="14">
        <v>13</v>
      </c>
      <c r="AA87" s="21">
        <v>0.31909671084928815</v>
      </c>
      <c r="AB87" s="14">
        <v>10</v>
      </c>
      <c r="AC87" s="21">
        <v>0.24545900834560627</v>
      </c>
      <c r="AD87" s="14">
        <v>280</v>
      </c>
      <c r="AE87" s="21">
        <v>6.8728522336769764</v>
      </c>
      <c r="AF87" s="14">
        <v>10</v>
      </c>
      <c r="AG87" s="21">
        <v>0.24545900834560627</v>
      </c>
      <c r="AH87" s="14">
        <v>52</v>
      </c>
      <c r="AI87" s="21">
        <v>1.2763868433971526</v>
      </c>
      <c r="AJ87" s="14">
        <v>83</v>
      </c>
      <c r="AK87" s="21">
        <v>2.037309769268532</v>
      </c>
      <c r="AL87" s="14">
        <v>5</v>
      </c>
      <c r="AM87" s="21">
        <v>0.12272950417280314</v>
      </c>
    </row>
    <row r="88" spans="1:39" s="14" customFormat="1" x14ac:dyDescent="0.15">
      <c r="A88" s="19"/>
      <c r="B88" s="20"/>
      <c r="C88" s="15"/>
      <c r="D88" s="15"/>
      <c r="F88" s="15"/>
      <c r="G88" s="15"/>
      <c r="H88" s="16"/>
      <c r="I88" s="15"/>
      <c r="K88" s="15"/>
      <c r="L88" s="15"/>
      <c r="M88" s="5"/>
      <c r="N88" s="15"/>
      <c r="O88" s="5"/>
      <c r="Q88" s="5"/>
      <c r="S88" s="5"/>
      <c r="T88" s="5"/>
      <c r="U88" s="5"/>
      <c r="V88" s="5"/>
      <c r="W88" s="5"/>
      <c r="Y88" s="5"/>
      <c r="AA88" s="5"/>
      <c r="AC88" s="5"/>
      <c r="AE88" s="5"/>
      <c r="AG88" s="5"/>
      <c r="AI88" s="5"/>
      <c r="AK88" s="5"/>
      <c r="AM88" s="5"/>
    </row>
    <row r="89" spans="1:39" s="14" customFormat="1" x14ac:dyDescent="0.15">
      <c r="A89" s="19">
        <v>326</v>
      </c>
      <c r="B89" s="20" t="s">
        <v>115</v>
      </c>
      <c r="C89" s="15">
        <v>2288</v>
      </c>
      <c r="D89" s="14">
        <v>585</v>
      </c>
      <c r="E89" s="14">
        <v>0</v>
      </c>
      <c r="F89" s="15">
        <v>2873</v>
      </c>
      <c r="G89" s="15">
        <v>2139</v>
      </c>
      <c r="H89" s="16">
        <v>72.599999999999994</v>
      </c>
      <c r="I89" s="14">
        <v>550</v>
      </c>
      <c r="J89" s="14">
        <v>14</v>
      </c>
      <c r="K89" s="15">
        <v>2125</v>
      </c>
      <c r="L89" s="14">
        <v>648</v>
      </c>
      <c r="M89" s="21">
        <v>30.494117647058822</v>
      </c>
      <c r="N89" s="14">
        <v>743</v>
      </c>
      <c r="O89" s="21">
        <v>34.964705882352945</v>
      </c>
      <c r="P89" s="14">
        <v>517</v>
      </c>
      <c r="Q89" s="21">
        <v>24.329411764705881</v>
      </c>
      <c r="R89" s="14">
        <v>11</v>
      </c>
      <c r="S89" s="21">
        <v>0.51764705882352946</v>
      </c>
      <c r="T89" s="5" t="s">
        <v>63</v>
      </c>
      <c r="U89" s="5" t="s">
        <v>63</v>
      </c>
      <c r="V89" s="5" t="s">
        <v>63</v>
      </c>
      <c r="W89" s="5" t="s">
        <v>63</v>
      </c>
      <c r="X89" s="14">
        <v>3</v>
      </c>
      <c r="Y89" s="21">
        <v>0.14117647058823529</v>
      </c>
      <c r="Z89" s="14">
        <v>11</v>
      </c>
      <c r="AA89" s="21">
        <v>0.51764705882352946</v>
      </c>
      <c r="AB89" s="14">
        <v>8</v>
      </c>
      <c r="AC89" s="21">
        <v>0.37647058823529411</v>
      </c>
      <c r="AD89" s="14">
        <v>113</v>
      </c>
      <c r="AE89" s="21">
        <v>5.3176470588235301</v>
      </c>
      <c r="AF89" s="14">
        <v>2</v>
      </c>
      <c r="AG89" s="21">
        <v>9.4117647058823528E-2</v>
      </c>
      <c r="AH89" s="14">
        <v>30</v>
      </c>
      <c r="AI89" s="21">
        <v>1.411764705882353</v>
      </c>
      <c r="AJ89" s="14">
        <v>35</v>
      </c>
      <c r="AK89" s="21">
        <v>1.6470588235294119</v>
      </c>
      <c r="AL89" s="14">
        <v>4</v>
      </c>
      <c r="AM89" s="21">
        <v>0.18823529411764706</v>
      </c>
    </row>
    <row r="90" spans="1:39" s="14" customFormat="1" x14ac:dyDescent="0.15">
      <c r="A90" s="19"/>
      <c r="B90" s="20"/>
      <c r="C90" s="15"/>
      <c r="F90" s="15"/>
      <c r="G90" s="15"/>
      <c r="H90" s="16"/>
      <c r="K90" s="15"/>
      <c r="M90" s="5"/>
      <c r="O90" s="5"/>
      <c r="Q90" s="5"/>
      <c r="S90" s="5"/>
      <c r="T90" s="5"/>
      <c r="U90" s="5"/>
      <c r="V90" s="5"/>
      <c r="W90" s="5"/>
      <c r="Y90" s="5"/>
      <c r="AA90" s="5"/>
      <c r="AC90" s="5"/>
      <c r="AE90" s="5"/>
      <c r="AG90" s="5"/>
      <c r="AI90" s="5"/>
      <c r="AK90" s="5"/>
      <c r="AM90" s="5"/>
    </row>
    <row r="91" spans="1:39" s="14" customFormat="1" x14ac:dyDescent="0.15">
      <c r="A91" s="19">
        <v>327</v>
      </c>
      <c r="B91" s="20" t="s">
        <v>116</v>
      </c>
      <c r="C91" s="15">
        <v>4881</v>
      </c>
      <c r="D91" s="15">
        <v>1161</v>
      </c>
      <c r="E91" s="14">
        <v>0</v>
      </c>
      <c r="F91" s="15">
        <v>6042</v>
      </c>
      <c r="G91" s="15">
        <v>4500</v>
      </c>
      <c r="H91" s="16">
        <v>72.400000000000006</v>
      </c>
      <c r="I91" s="15">
        <v>1112</v>
      </c>
      <c r="J91" s="14">
        <v>36</v>
      </c>
      <c r="K91" s="15">
        <v>4464</v>
      </c>
      <c r="L91" s="15">
        <v>1484</v>
      </c>
      <c r="M91" s="21">
        <v>33.243727598566309</v>
      </c>
      <c r="N91" s="15">
        <v>1474</v>
      </c>
      <c r="O91" s="21">
        <v>33.019713261648747</v>
      </c>
      <c r="P91" s="15">
        <v>1073</v>
      </c>
      <c r="Q91" s="21">
        <v>24.036738351254481</v>
      </c>
      <c r="R91" s="14">
        <v>13</v>
      </c>
      <c r="S91" s="21">
        <v>0.29121863799283154</v>
      </c>
      <c r="T91" s="5" t="s">
        <v>63</v>
      </c>
      <c r="U91" s="5" t="s">
        <v>63</v>
      </c>
      <c r="V91" s="5" t="s">
        <v>63</v>
      </c>
      <c r="W91" s="5" t="s">
        <v>63</v>
      </c>
      <c r="X91" s="14">
        <v>4</v>
      </c>
      <c r="Y91" s="21">
        <v>8.9605734767025089E-2</v>
      </c>
      <c r="Z91" s="14">
        <v>15</v>
      </c>
      <c r="AA91" s="21">
        <v>0.33602150537634407</v>
      </c>
      <c r="AB91" s="14">
        <v>15</v>
      </c>
      <c r="AC91" s="21">
        <v>0.33602150537634407</v>
      </c>
      <c r="AD91" s="14">
        <v>240</v>
      </c>
      <c r="AE91" s="21">
        <v>5.376344086021505</v>
      </c>
      <c r="AF91" s="14">
        <v>0</v>
      </c>
      <c r="AG91" s="21">
        <v>0</v>
      </c>
      <c r="AH91" s="14">
        <v>77</v>
      </c>
      <c r="AI91" s="21">
        <v>1.7249103942652328</v>
      </c>
      <c r="AJ91" s="14">
        <v>64</v>
      </c>
      <c r="AK91" s="21">
        <v>1.4336917562724014</v>
      </c>
      <c r="AL91" s="14">
        <v>5</v>
      </c>
      <c r="AM91" s="21">
        <v>0.11200716845878135</v>
      </c>
    </row>
    <row r="92" spans="1:39" s="14" customFormat="1" x14ac:dyDescent="0.15">
      <c r="A92" s="19"/>
      <c r="B92" s="20"/>
      <c r="C92" s="15"/>
      <c r="D92" s="15"/>
      <c r="F92" s="15"/>
      <c r="G92" s="15"/>
      <c r="H92" s="16"/>
      <c r="I92" s="15"/>
      <c r="K92" s="15"/>
      <c r="L92" s="15"/>
      <c r="M92" s="21"/>
      <c r="N92" s="15"/>
      <c r="O92" s="21"/>
      <c r="P92" s="15"/>
      <c r="Q92" s="21"/>
      <c r="S92" s="21"/>
      <c r="T92" s="5"/>
      <c r="U92" s="5"/>
      <c r="V92" s="5"/>
      <c r="W92" s="5"/>
      <c r="Y92" s="21"/>
      <c r="AA92" s="21"/>
      <c r="AC92" s="21"/>
      <c r="AE92" s="21"/>
      <c r="AG92" s="21"/>
      <c r="AI92" s="21"/>
      <c r="AK92" s="21"/>
      <c r="AM92" s="21"/>
    </row>
    <row r="93" spans="1:39" s="14" customFormat="1" x14ac:dyDescent="0.15">
      <c r="A93" s="19">
        <v>32</v>
      </c>
      <c r="B93" s="20" t="s">
        <v>117</v>
      </c>
      <c r="C93" s="15">
        <v>23859</v>
      </c>
      <c r="D93" s="15">
        <v>6094</v>
      </c>
      <c r="E93" s="14">
        <v>1</v>
      </c>
      <c r="F93" s="15">
        <v>29954</v>
      </c>
      <c r="G93" s="15">
        <v>22153</v>
      </c>
      <c r="H93" s="16">
        <v>72</v>
      </c>
      <c r="I93" s="15">
        <v>5769</v>
      </c>
      <c r="J93" s="14">
        <v>164</v>
      </c>
      <c r="K93" s="15">
        <v>21989</v>
      </c>
      <c r="L93" s="15">
        <v>7262</v>
      </c>
      <c r="M93" s="21">
        <v>33.025603710946385</v>
      </c>
      <c r="N93" s="15">
        <v>7921</v>
      </c>
      <c r="O93" s="21">
        <v>36.022556732911909</v>
      </c>
      <c r="P93" s="15">
        <v>4435</v>
      </c>
      <c r="Q93" s="21">
        <v>20.16917549683933</v>
      </c>
      <c r="R93" s="14">
        <v>117</v>
      </c>
      <c r="S93" s="21">
        <v>0.53208422393014687</v>
      </c>
      <c r="T93" s="5" t="s">
        <v>63</v>
      </c>
      <c r="U93" s="5" t="s">
        <v>63</v>
      </c>
      <c r="V93" s="5" t="s">
        <v>63</v>
      </c>
      <c r="W93" s="5" t="s">
        <v>63</v>
      </c>
      <c r="X93" s="14">
        <v>52</v>
      </c>
      <c r="Y93" s="21">
        <v>0.23648187730228751</v>
      </c>
      <c r="Z93" s="14">
        <v>91</v>
      </c>
      <c r="AA93" s="21">
        <v>0.41384328527900316</v>
      </c>
      <c r="AB93" s="14">
        <v>62</v>
      </c>
      <c r="AC93" s="21">
        <v>0.28195916139888128</v>
      </c>
      <c r="AD93" s="15">
        <v>1278</v>
      </c>
      <c r="AE93" s="21">
        <v>5.8119969075446818</v>
      </c>
      <c r="AF93" s="14">
        <v>32</v>
      </c>
      <c r="AG93" s="21">
        <v>0.1455273091091</v>
      </c>
      <c r="AH93" s="14">
        <v>306</v>
      </c>
      <c r="AI93" s="21">
        <v>1.3916048933557688</v>
      </c>
      <c r="AJ93" s="14">
        <v>408</v>
      </c>
      <c r="AK93" s="21">
        <v>1.8554731911410252</v>
      </c>
      <c r="AL93" s="14">
        <v>25</v>
      </c>
      <c r="AM93" s="21">
        <v>0.11369321024148438</v>
      </c>
    </row>
    <row r="94" spans="1:39" s="14" customFormat="1" x14ac:dyDescent="0.15">
      <c r="A94" s="19"/>
      <c r="B94" s="20"/>
      <c r="C94" s="15"/>
      <c r="D94" s="15"/>
      <c r="F94" s="15"/>
      <c r="G94" s="15"/>
      <c r="H94" s="16"/>
      <c r="I94" s="15"/>
      <c r="K94" s="15"/>
      <c r="L94" s="15"/>
      <c r="M94" s="5"/>
      <c r="N94" s="15"/>
      <c r="O94" s="5"/>
      <c r="P94" s="15"/>
      <c r="Q94" s="5"/>
      <c r="S94" s="5"/>
      <c r="T94" s="5"/>
      <c r="U94" s="5"/>
      <c r="V94" s="5"/>
      <c r="W94" s="5"/>
      <c r="Y94" s="5"/>
      <c r="AA94" s="5"/>
      <c r="AC94" s="5"/>
      <c r="AD94" s="15"/>
      <c r="AE94" s="5"/>
      <c r="AG94" s="5"/>
      <c r="AI94" s="5"/>
      <c r="AK94" s="5"/>
      <c r="AM94" s="5"/>
    </row>
    <row r="95" spans="1:39" s="14" customFormat="1" x14ac:dyDescent="0.15">
      <c r="A95" s="19">
        <v>331</v>
      </c>
      <c r="B95" s="20" t="s">
        <v>118</v>
      </c>
      <c r="C95" s="15">
        <v>5004</v>
      </c>
      <c r="D95" s="14">
        <v>786</v>
      </c>
      <c r="E95" s="14">
        <v>0</v>
      </c>
      <c r="F95" s="15">
        <v>5790</v>
      </c>
      <c r="G95" s="15">
        <v>3816</v>
      </c>
      <c r="H95" s="16">
        <v>64.7</v>
      </c>
      <c r="I95" s="14">
        <v>737</v>
      </c>
      <c r="J95" s="14">
        <v>52</v>
      </c>
      <c r="K95" s="15">
        <v>3764</v>
      </c>
      <c r="L95" s="15">
        <v>1627</v>
      </c>
      <c r="M95" s="21">
        <v>43.225292242295431</v>
      </c>
      <c r="N95" s="15">
        <v>1293</v>
      </c>
      <c r="O95" s="21">
        <v>34.351753453772581</v>
      </c>
      <c r="P95" s="14">
        <v>315</v>
      </c>
      <c r="Q95" s="21">
        <v>8.3687566418703501</v>
      </c>
      <c r="R95" s="14">
        <v>68</v>
      </c>
      <c r="S95" s="21">
        <v>1.8065887353878853</v>
      </c>
      <c r="T95" s="5" t="s">
        <v>63</v>
      </c>
      <c r="U95" s="5" t="s">
        <v>63</v>
      </c>
      <c r="V95" s="5" t="s">
        <v>63</v>
      </c>
      <c r="W95" s="5" t="s">
        <v>63</v>
      </c>
      <c r="X95" s="14">
        <v>23</v>
      </c>
      <c r="Y95" s="21">
        <v>0.61105207226354941</v>
      </c>
      <c r="Z95" s="14">
        <v>24</v>
      </c>
      <c r="AA95" s="21">
        <v>0.6376195536663124</v>
      </c>
      <c r="AB95" s="14">
        <v>7</v>
      </c>
      <c r="AC95" s="21">
        <v>0.18597236981934112</v>
      </c>
      <c r="AD95" s="14">
        <v>170</v>
      </c>
      <c r="AE95" s="21">
        <v>4.5164718384697125</v>
      </c>
      <c r="AF95" s="14">
        <v>13</v>
      </c>
      <c r="AG95" s="21">
        <v>0.34537725823591925</v>
      </c>
      <c r="AH95" s="14">
        <v>60</v>
      </c>
      <c r="AI95" s="21">
        <v>1.5940488841657812</v>
      </c>
      <c r="AJ95" s="14">
        <v>161</v>
      </c>
      <c r="AK95" s="21">
        <v>4.2773645058448464</v>
      </c>
      <c r="AL95" s="14">
        <v>3</v>
      </c>
      <c r="AM95" s="21">
        <v>7.970244420828905E-2</v>
      </c>
    </row>
    <row r="96" spans="1:39" s="14" customFormat="1" x14ac:dyDescent="0.15">
      <c r="A96" s="19"/>
      <c r="B96" s="20"/>
      <c r="C96" s="15"/>
      <c r="F96" s="15"/>
      <c r="G96" s="15"/>
      <c r="H96" s="16"/>
      <c r="K96" s="15"/>
      <c r="L96" s="15"/>
      <c r="M96" s="5"/>
      <c r="N96" s="15"/>
      <c r="O96" s="5"/>
      <c r="Q96" s="5"/>
      <c r="S96" s="5"/>
      <c r="T96" s="5"/>
      <c r="U96" s="5"/>
      <c r="V96" s="5"/>
      <c r="W96" s="5"/>
      <c r="Y96" s="5"/>
      <c r="AA96" s="5"/>
      <c r="AC96" s="5"/>
      <c r="AE96" s="5"/>
      <c r="AG96" s="5"/>
      <c r="AI96" s="5"/>
      <c r="AK96" s="5"/>
      <c r="AM96" s="5"/>
    </row>
    <row r="97" spans="1:39" s="14" customFormat="1" x14ac:dyDescent="0.15">
      <c r="A97" s="19">
        <v>332</v>
      </c>
      <c r="B97" s="20" t="s">
        <v>119</v>
      </c>
      <c r="C97" s="15">
        <v>4829</v>
      </c>
      <c r="D97" s="14">
        <v>323</v>
      </c>
      <c r="E97" s="14">
        <v>0</v>
      </c>
      <c r="F97" s="15">
        <v>5152</v>
      </c>
      <c r="G97" s="15">
        <v>2760</v>
      </c>
      <c r="H97" s="16">
        <v>52.7</v>
      </c>
      <c r="I97" s="14">
        <v>319</v>
      </c>
      <c r="J97" s="14">
        <v>59</v>
      </c>
      <c r="K97" s="15">
        <v>2701</v>
      </c>
      <c r="L97" s="15">
        <v>1170</v>
      </c>
      <c r="M97" s="21">
        <v>43.31728989263236</v>
      </c>
      <c r="N97" s="14">
        <v>938</v>
      </c>
      <c r="O97" s="21">
        <v>34.727878563495004</v>
      </c>
      <c r="P97" s="14">
        <v>142</v>
      </c>
      <c r="Q97" s="21">
        <v>5.2573121066271753</v>
      </c>
      <c r="R97" s="14">
        <v>67</v>
      </c>
      <c r="S97" s="21">
        <v>2.4805627545353572</v>
      </c>
      <c r="T97" s="5" t="s">
        <v>63</v>
      </c>
      <c r="U97" s="5" t="s">
        <v>63</v>
      </c>
      <c r="V97" s="5" t="s">
        <v>63</v>
      </c>
      <c r="W97" s="5" t="s">
        <v>63</v>
      </c>
      <c r="X97" s="14">
        <v>60</v>
      </c>
      <c r="Y97" s="21">
        <v>2.2213994816734544</v>
      </c>
      <c r="Z97" s="14">
        <v>28</v>
      </c>
      <c r="AA97" s="21">
        <v>1.036653091447612</v>
      </c>
      <c r="AB97" s="14">
        <v>13</v>
      </c>
      <c r="AC97" s="21">
        <v>0.48130322102924838</v>
      </c>
      <c r="AD97" s="14">
        <v>68</v>
      </c>
      <c r="AE97" s="21">
        <v>2.5175860792299147</v>
      </c>
      <c r="AF97" s="14">
        <v>2</v>
      </c>
      <c r="AG97" s="21">
        <v>7.4046649389115149E-2</v>
      </c>
      <c r="AH97" s="14">
        <v>42</v>
      </c>
      <c r="AI97" s="21">
        <v>1.554979637171418</v>
      </c>
      <c r="AJ97" s="14">
        <v>167</v>
      </c>
      <c r="AK97" s="21">
        <v>6.1828952239911148</v>
      </c>
      <c r="AL97" s="14">
        <v>4</v>
      </c>
      <c r="AM97" s="21">
        <v>0.1480932987782303</v>
      </c>
    </row>
    <row r="98" spans="1:39" s="14" customFormat="1" x14ac:dyDescent="0.15">
      <c r="A98" s="19"/>
      <c r="B98" s="20"/>
      <c r="C98" s="15"/>
      <c r="F98" s="15"/>
      <c r="G98" s="15"/>
      <c r="H98" s="16"/>
      <c r="K98" s="15"/>
      <c r="L98" s="15"/>
      <c r="M98" s="5"/>
      <c r="O98" s="5"/>
      <c r="Q98" s="5"/>
      <c r="S98" s="5"/>
      <c r="T98" s="5"/>
      <c r="U98" s="5"/>
      <c r="V98" s="5"/>
      <c r="W98" s="5"/>
      <c r="Y98" s="5"/>
      <c r="AA98" s="5"/>
      <c r="AC98" s="5"/>
      <c r="AE98" s="5"/>
      <c r="AG98" s="5"/>
      <c r="AI98" s="5"/>
      <c r="AK98" s="5"/>
      <c r="AM98" s="5"/>
    </row>
    <row r="99" spans="1:39" s="14" customFormat="1" x14ac:dyDescent="0.15">
      <c r="A99" s="19">
        <v>334</v>
      </c>
      <c r="B99" s="20" t="s">
        <v>120</v>
      </c>
      <c r="C99" s="15">
        <v>2907</v>
      </c>
      <c r="D99" s="14">
        <v>265</v>
      </c>
      <c r="E99" s="14">
        <v>0</v>
      </c>
      <c r="F99" s="15">
        <v>3172</v>
      </c>
      <c r="G99" s="15">
        <v>1586</v>
      </c>
      <c r="H99" s="16">
        <v>49.1</v>
      </c>
      <c r="I99" s="14">
        <v>253</v>
      </c>
      <c r="J99" s="14">
        <v>27</v>
      </c>
      <c r="K99" s="15">
        <v>1559</v>
      </c>
      <c r="L99" s="14">
        <v>656</v>
      </c>
      <c r="M99" s="21">
        <v>42.07825529185375</v>
      </c>
      <c r="N99" s="14">
        <v>579</v>
      </c>
      <c r="O99" s="21">
        <v>37.139191789608724</v>
      </c>
      <c r="P99" s="14">
        <v>88</v>
      </c>
      <c r="Q99" s="21">
        <v>5.6446440025657472</v>
      </c>
      <c r="R99" s="14">
        <v>49</v>
      </c>
      <c r="S99" s="21">
        <v>3.1430404105195637</v>
      </c>
      <c r="T99" s="5" t="s">
        <v>63</v>
      </c>
      <c r="U99" s="5" t="s">
        <v>63</v>
      </c>
      <c r="V99" s="5" t="s">
        <v>63</v>
      </c>
      <c r="W99" s="5" t="s">
        <v>63</v>
      </c>
      <c r="X99" s="14">
        <v>23</v>
      </c>
      <c r="Y99" s="21">
        <v>1.475304682488775</v>
      </c>
      <c r="Z99" s="14">
        <v>18</v>
      </c>
      <c r="AA99" s="21">
        <v>1.1545862732520846</v>
      </c>
      <c r="AB99" s="14">
        <v>10</v>
      </c>
      <c r="AC99" s="21">
        <v>0.64143681847338041</v>
      </c>
      <c r="AD99" s="14">
        <v>50</v>
      </c>
      <c r="AE99" s="21">
        <v>3.2071840923669019</v>
      </c>
      <c r="AF99" s="14">
        <v>6</v>
      </c>
      <c r="AG99" s="21">
        <v>0.38486209108402825</v>
      </c>
      <c r="AH99" s="14">
        <v>18</v>
      </c>
      <c r="AI99" s="21">
        <v>1.1545862732520846</v>
      </c>
      <c r="AJ99" s="14">
        <v>61</v>
      </c>
      <c r="AK99" s="21">
        <v>3.9127645926876204</v>
      </c>
      <c r="AL99" s="14">
        <v>1</v>
      </c>
      <c r="AM99" s="21">
        <v>6.4143681847338027E-2</v>
      </c>
    </row>
    <row r="100" spans="1:39" s="14" customFormat="1" x14ac:dyDescent="0.15">
      <c r="A100" s="19"/>
      <c r="B100" s="20"/>
      <c r="C100" s="15"/>
      <c r="F100" s="15"/>
      <c r="G100" s="15"/>
      <c r="H100" s="16"/>
      <c r="K100" s="15"/>
      <c r="M100" s="5"/>
      <c r="O100" s="5"/>
      <c r="Q100" s="5"/>
      <c r="S100" s="5"/>
      <c r="T100" s="5"/>
      <c r="U100" s="5"/>
      <c r="V100" s="5"/>
      <c r="W100" s="5"/>
      <c r="Y100" s="5"/>
      <c r="AA100" s="5"/>
      <c r="AC100" s="5"/>
      <c r="AE100" s="5"/>
      <c r="AG100" s="5"/>
      <c r="AI100" s="5"/>
      <c r="AK100" s="5"/>
      <c r="AM100" s="5"/>
    </row>
    <row r="101" spans="1:39" s="14" customFormat="1" x14ac:dyDescent="0.15">
      <c r="A101" s="19">
        <v>335</v>
      </c>
      <c r="B101" s="20" t="s">
        <v>121</v>
      </c>
      <c r="C101" s="15">
        <v>4756</v>
      </c>
      <c r="D101" s="14">
        <v>368</v>
      </c>
      <c r="E101" s="14">
        <v>0</v>
      </c>
      <c r="F101" s="15">
        <v>5124</v>
      </c>
      <c r="G101" s="15">
        <v>2726</v>
      </c>
      <c r="H101" s="16">
        <v>52.6</v>
      </c>
      <c r="I101" s="14">
        <v>346</v>
      </c>
      <c r="J101" s="14">
        <v>54</v>
      </c>
      <c r="K101" s="15">
        <v>2672</v>
      </c>
      <c r="L101" s="15">
        <v>1193</v>
      </c>
      <c r="M101" s="21">
        <v>44.648203592814376</v>
      </c>
      <c r="N101" s="14">
        <v>894</v>
      </c>
      <c r="O101" s="21">
        <v>33.458083832335326</v>
      </c>
      <c r="P101" s="14">
        <v>153</v>
      </c>
      <c r="Q101" s="21">
        <v>5.726047904191617</v>
      </c>
      <c r="R101" s="14">
        <v>76</v>
      </c>
      <c r="S101" s="21">
        <v>2.8443113772455089</v>
      </c>
      <c r="T101" s="5" t="s">
        <v>63</v>
      </c>
      <c r="U101" s="5" t="s">
        <v>63</v>
      </c>
      <c r="V101" s="5" t="s">
        <v>63</v>
      </c>
      <c r="W101" s="5" t="s">
        <v>63</v>
      </c>
      <c r="X101" s="14">
        <v>45</v>
      </c>
      <c r="Y101" s="21">
        <v>1.6841317365269461</v>
      </c>
      <c r="Z101" s="14">
        <v>35</v>
      </c>
      <c r="AA101" s="21">
        <v>1.3098802395209579</v>
      </c>
      <c r="AB101" s="14">
        <v>14</v>
      </c>
      <c r="AC101" s="21">
        <v>0.5239520958083832</v>
      </c>
      <c r="AD101" s="14">
        <v>74</v>
      </c>
      <c r="AE101" s="21">
        <v>2.7694610778443112</v>
      </c>
      <c r="AF101" s="14">
        <v>10</v>
      </c>
      <c r="AG101" s="21">
        <v>0.37425149700598803</v>
      </c>
      <c r="AH101" s="14">
        <v>42</v>
      </c>
      <c r="AI101" s="21">
        <v>1.5718562874251496</v>
      </c>
      <c r="AJ101" s="14">
        <v>130</v>
      </c>
      <c r="AK101" s="21">
        <v>4.8652694610778449</v>
      </c>
      <c r="AL101" s="14">
        <v>6</v>
      </c>
      <c r="AM101" s="21">
        <v>0.22455089820359281</v>
      </c>
    </row>
    <row r="102" spans="1:39" s="14" customFormat="1" x14ac:dyDescent="0.15">
      <c r="A102" s="19"/>
      <c r="B102" s="20"/>
      <c r="C102" s="15"/>
      <c r="F102" s="15"/>
      <c r="G102" s="15"/>
      <c r="H102" s="16"/>
      <c r="K102" s="15"/>
      <c r="L102" s="15"/>
      <c r="M102" s="21"/>
      <c r="O102" s="21"/>
      <c r="Q102" s="21"/>
      <c r="S102" s="21"/>
      <c r="T102" s="5"/>
      <c r="U102" s="5"/>
      <c r="V102" s="5"/>
      <c r="W102" s="5"/>
      <c r="Y102" s="21"/>
      <c r="AA102" s="21"/>
      <c r="AC102" s="21"/>
      <c r="AE102" s="21"/>
      <c r="AG102" s="21"/>
      <c r="AI102" s="21"/>
      <c r="AK102" s="21"/>
      <c r="AM102" s="21"/>
    </row>
    <row r="103" spans="1:39" s="14" customFormat="1" x14ac:dyDescent="0.15">
      <c r="A103" s="19">
        <v>33</v>
      </c>
      <c r="B103" s="20" t="s">
        <v>122</v>
      </c>
      <c r="C103" s="15">
        <v>17496</v>
      </c>
      <c r="D103" s="15">
        <v>1742</v>
      </c>
      <c r="E103" s="14">
        <v>0</v>
      </c>
      <c r="F103" s="15">
        <v>19238</v>
      </c>
      <c r="G103" s="15">
        <v>10888</v>
      </c>
      <c r="H103" s="16">
        <v>55.7</v>
      </c>
      <c r="I103" s="15">
        <v>1655</v>
      </c>
      <c r="J103" s="14">
        <v>192</v>
      </c>
      <c r="K103" s="15">
        <v>10696</v>
      </c>
      <c r="L103" s="15">
        <v>4646</v>
      </c>
      <c r="M103" s="21">
        <v>43.436798803290948</v>
      </c>
      <c r="N103" s="15">
        <v>3704</v>
      </c>
      <c r="O103" s="21">
        <v>34.629768137621539</v>
      </c>
      <c r="P103" s="14">
        <v>698</v>
      </c>
      <c r="Q103" s="21">
        <v>6.5258040388930443</v>
      </c>
      <c r="R103" s="14">
        <v>260</v>
      </c>
      <c r="S103" s="21">
        <v>2.4308152580403886</v>
      </c>
      <c r="T103" s="5" t="s">
        <v>63</v>
      </c>
      <c r="U103" s="5" t="s">
        <v>63</v>
      </c>
      <c r="V103" s="5" t="s">
        <v>63</v>
      </c>
      <c r="W103" s="5" t="s">
        <v>63</v>
      </c>
      <c r="X103" s="14">
        <v>151</v>
      </c>
      <c r="Y103" s="21">
        <v>1.4117427075542259</v>
      </c>
      <c r="Z103" s="14">
        <v>105</v>
      </c>
      <c r="AA103" s="21">
        <v>0.98167539267015702</v>
      </c>
      <c r="AB103" s="14">
        <v>44</v>
      </c>
      <c r="AC103" s="21">
        <v>0.41136873597606582</v>
      </c>
      <c r="AD103" s="14">
        <v>362</v>
      </c>
      <c r="AE103" s="21">
        <v>3.3844427823485415</v>
      </c>
      <c r="AF103" s="14">
        <v>31</v>
      </c>
      <c r="AG103" s="21">
        <v>0.2898279730740464</v>
      </c>
      <c r="AH103" s="14">
        <v>162</v>
      </c>
      <c r="AI103" s="21">
        <v>1.5145848915482425</v>
      </c>
      <c r="AJ103" s="14">
        <v>519</v>
      </c>
      <c r="AK103" s="21">
        <v>4.8522812266267765</v>
      </c>
      <c r="AL103" s="14">
        <v>14</v>
      </c>
      <c r="AM103" s="21">
        <v>0.13089005235602094</v>
      </c>
    </row>
    <row r="104" spans="1:39" s="14" customFormat="1" x14ac:dyDescent="0.15">
      <c r="A104" s="19"/>
      <c r="B104" s="20"/>
      <c r="C104" s="15"/>
      <c r="D104" s="15"/>
      <c r="F104" s="15"/>
      <c r="G104" s="15"/>
      <c r="H104" s="16"/>
      <c r="I104" s="15"/>
      <c r="K104" s="15"/>
      <c r="L104" s="15"/>
      <c r="M104" s="5"/>
      <c r="N104" s="15"/>
      <c r="O104" s="5"/>
      <c r="Q104" s="5"/>
      <c r="S104" s="5"/>
      <c r="T104" s="5"/>
      <c r="U104" s="5"/>
      <c r="V104" s="5"/>
      <c r="W104" s="5"/>
      <c r="Y104" s="5"/>
      <c r="AA104" s="5"/>
      <c r="AC104" s="5"/>
      <c r="AE104" s="5"/>
      <c r="AG104" s="5"/>
      <c r="AI104" s="5"/>
      <c r="AK104" s="5"/>
      <c r="AM104" s="5"/>
    </row>
    <row r="105" spans="1:39" s="14" customFormat="1" x14ac:dyDescent="0.15">
      <c r="A105" s="19">
        <v>341</v>
      </c>
      <c r="B105" s="20" t="s">
        <v>123</v>
      </c>
      <c r="C105" s="15">
        <v>2471</v>
      </c>
      <c r="D105" s="14">
        <v>930</v>
      </c>
      <c r="E105" s="14">
        <v>0</v>
      </c>
      <c r="F105" s="15">
        <v>3401</v>
      </c>
      <c r="G105" s="15">
        <v>2453</v>
      </c>
      <c r="H105" s="16">
        <v>71.5</v>
      </c>
      <c r="I105" s="14">
        <v>813</v>
      </c>
      <c r="J105" s="14">
        <v>15</v>
      </c>
      <c r="K105" s="15">
        <v>2438</v>
      </c>
      <c r="L105" s="14">
        <v>728</v>
      </c>
      <c r="M105" s="21">
        <v>29.860541427399507</v>
      </c>
      <c r="N105" s="15">
        <v>1086</v>
      </c>
      <c r="O105" s="21">
        <v>44.544708777686623</v>
      </c>
      <c r="P105" s="14">
        <v>342</v>
      </c>
      <c r="Q105" s="21">
        <v>14.027891714520099</v>
      </c>
      <c r="R105" s="14">
        <v>10</v>
      </c>
      <c r="S105" s="21">
        <v>0.41017227235438886</v>
      </c>
      <c r="T105" s="5" t="s">
        <v>63</v>
      </c>
      <c r="U105" s="5" t="s">
        <v>63</v>
      </c>
      <c r="V105" s="5" t="s">
        <v>63</v>
      </c>
      <c r="W105" s="5" t="s">
        <v>63</v>
      </c>
      <c r="X105" s="14">
        <v>4</v>
      </c>
      <c r="Y105" s="21">
        <v>0.16406890894175555</v>
      </c>
      <c r="Z105" s="14">
        <v>11</v>
      </c>
      <c r="AA105" s="21">
        <v>0.45118949958982779</v>
      </c>
      <c r="AB105" s="14">
        <v>4</v>
      </c>
      <c r="AC105" s="21">
        <v>0.16406890894175555</v>
      </c>
      <c r="AD105" s="14">
        <v>149</v>
      </c>
      <c r="AE105" s="21">
        <v>6.1115668580803941</v>
      </c>
      <c r="AF105" s="14">
        <v>5</v>
      </c>
      <c r="AG105" s="21">
        <v>0.20508613617719443</v>
      </c>
      <c r="AH105" s="14">
        <v>21</v>
      </c>
      <c r="AI105" s="21">
        <v>0.86136177194421659</v>
      </c>
      <c r="AJ105" s="14">
        <v>77</v>
      </c>
      <c r="AK105" s="21">
        <v>3.1583264971287939</v>
      </c>
      <c r="AL105" s="14">
        <v>1</v>
      </c>
      <c r="AM105" s="21">
        <v>4.1017227235438887E-2</v>
      </c>
    </row>
    <row r="106" spans="1:39" s="14" customFormat="1" x14ac:dyDescent="0.15">
      <c r="A106" s="19"/>
      <c r="B106" s="20"/>
      <c r="C106" s="15"/>
      <c r="F106" s="15"/>
      <c r="G106" s="15"/>
      <c r="H106" s="16"/>
      <c r="K106" s="15"/>
      <c r="M106" s="5"/>
      <c r="N106" s="15"/>
      <c r="O106" s="5"/>
      <c r="Q106" s="5"/>
      <c r="S106" s="5"/>
      <c r="T106" s="5"/>
      <c r="U106" s="5"/>
      <c r="V106" s="5"/>
      <c r="W106" s="5"/>
      <c r="Y106" s="5"/>
      <c r="AA106" s="5"/>
      <c r="AC106" s="5"/>
      <c r="AE106" s="5"/>
      <c r="AG106" s="5"/>
      <c r="AI106" s="5"/>
      <c r="AK106" s="5"/>
      <c r="AM106" s="5"/>
    </row>
    <row r="107" spans="1:39" s="14" customFormat="1" x14ac:dyDescent="0.15">
      <c r="A107" s="19">
        <v>342</v>
      </c>
      <c r="B107" s="20" t="s">
        <v>124</v>
      </c>
      <c r="C107" s="15">
        <v>4553</v>
      </c>
      <c r="D107" s="15">
        <v>1007</v>
      </c>
      <c r="E107" s="14">
        <v>0</v>
      </c>
      <c r="F107" s="15">
        <v>5560</v>
      </c>
      <c r="G107" s="15">
        <v>3910</v>
      </c>
      <c r="H107" s="16">
        <v>69</v>
      </c>
      <c r="I107" s="14">
        <v>928</v>
      </c>
      <c r="J107" s="14">
        <v>26</v>
      </c>
      <c r="K107" s="15">
        <v>3884</v>
      </c>
      <c r="L107" s="15">
        <v>1448</v>
      </c>
      <c r="M107" s="21">
        <v>37.281153450051491</v>
      </c>
      <c r="N107" s="15">
        <v>1243</v>
      </c>
      <c r="O107" s="21">
        <v>32.003089598352211</v>
      </c>
      <c r="P107" s="14">
        <v>726</v>
      </c>
      <c r="Q107" s="21">
        <v>18.692070030895984</v>
      </c>
      <c r="R107" s="14">
        <v>24</v>
      </c>
      <c r="S107" s="21">
        <v>0.61791967044284246</v>
      </c>
      <c r="T107" s="5" t="s">
        <v>63</v>
      </c>
      <c r="U107" s="5" t="s">
        <v>63</v>
      </c>
      <c r="V107" s="5" t="s">
        <v>63</v>
      </c>
      <c r="W107" s="5" t="s">
        <v>63</v>
      </c>
      <c r="X107" s="14">
        <v>6</v>
      </c>
      <c r="Y107" s="21">
        <v>0.15447991761071062</v>
      </c>
      <c r="Z107" s="14">
        <v>18</v>
      </c>
      <c r="AA107" s="21">
        <v>0.46343975283213185</v>
      </c>
      <c r="AB107" s="14">
        <v>12</v>
      </c>
      <c r="AC107" s="21">
        <v>0.30895983522142123</v>
      </c>
      <c r="AD107" s="14">
        <v>198</v>
      </c>
      <c r="AE107" s="21">
        <v>5.09783728115345</v>
      </c>
      <c r="AF107" s="14">
        <v>7</v>
      </c>
      <c r="AG107" s="21">
        <v>0.18022657054582905</v>
      </c>
      <c r="AH107" s="14">
        <v>47</v>
      </c>
      <c r="AI107" s="21">
        <v>1.2100926879505665</v>
      </c>
      <c r="AJ107" s="14">
        <v>142</v>
      </c>
      <c r="AK107" s="21">
        <v>3.6560247167868174</v>
      </c>
      <c r="AL107" s="14">
        <v>13</v>
      </c>
      <c r="AM107" s="21">
        <v>0.33470648815653964</v>
      </c>
    </row>
    <row r="108" spans="1:39" s="14" customFormat="1" x14ac:dyDescent="0.15">
      <c r="A108" s="19"/>
      <c r="B108" s="20"/>
      <c r="C108" s="15"/>
      <c r="D108" s="15"/>
      <c r="F108" s="15"/>
      <c r="G108" s="15"/>
      <c r="H108" s="16"/>
      <c r="K108" s="15"/>
      <c r="L108" s="15"/>
      <c r="M108" s="5"/>
      <c r="N108" s="15"/>
      <c r="O108" s="5"/>
      <c r="Q108" s="5"/>
      <c r="S108" s="5"/>
      <c r="T108" s="5"/>
      <c r="U108" s="5"/>
      <c r="V108" s="5"/>
      <c r="W108" s="5"/>
      <c r="Y108" s="5"/>
      <c r="AA108" s="5"/>
      <c r="AC108" s="5"/>
      <c r="AE108" s="5"/>
      <c r="AG108" s="5"/>
      <c r="AI108" s="5"/>
      <c r="AK108" s="5"/>
      <c r="AM108" s="5"/>
    </row>
    <row r="109" spans="1:39" s="14" customFormat="1" x14ac:dyDescent="0.15">
      <c r="A109" s="19">
        <v>343</v>
      </c>
      <c r="B109" s="20" t="s">
        <v>125</v>
      </c>
      <c r="C109" s="15">
        <v>7457</v>
      </c>
      <c r="D109" s="15">
        <v>1461</v>
      </c>
      <c r="E109" s="14">
        <v>0</v>
      </c>
      <c r="F109" s="15">
        <v>8918</v>
      </c>
      <c r="G109" s="15">
        <v>6356</v>
      </c>
      <c r="H109" s="16">
        <v>69.7</v>
      </c>
      <c r="I109" s="15">
        <v>1383</v>
      </c>
      <c r="J109" s="14">
        <v>38</v>
      </c>
      <c r="K109" s="15">
        <v>6318</v>
      </c>
      <c r="L109" s="15">
        <v>2473</v>
      </c>
      <c r="M109" s="21">
        <v>39.142133586578034</v>
      </c>
      <c r="N109" s="15">
        <v>2167</v>
      </c>
      <c r="O109" s="21">
        <v>34.298828743273184</v>
      </c>
      <c r="P109" s="14">
        <v>799</v>
      </c>
      <c r="Q109" s="21">
        <v>12.646407090851536</v>
      </c>
      <c r="R109" s="14">
        <v>67</v>
      </c>
      <c r="S109" s="21">
        <v>1.0604621715732827</v>
      </c>
      <c r="T109" s="5" t="s">
        <v>63</v>
      </c>
      <c r="U109" s="5" t="s">
        <v>63</v>
      </c>
      <c r="V109" s="5" t="s">
        <v>63</v>
      </c>
      <c r="W109" s="5" t="s">
        <v>63</v>
      </c>
      <c r="X109" s="14">
        <v>11</v>
      </c>
      <c r="Y109" s="21">
        <v>0.17410572966128521</v>
      </c>
      <c r="Z109" s="14">
        <v>37</v>
      </c>
      <c r="AA109" s="21">
        <v>0.58562836340614122</v>
      </c>
      <c r="AB109" s="14">
        <v>26</v>
      </c>
      <c r="AC109" s="21">
        <v>0.41152263374485598</v>
      </c>
      <c r="AD109" s="14">
        <v>391</v>
      </c>
      <c r="AE109" s="21">
        <v>6.1886672997784107</v>
      </c>
      <c r="AF109" s="14">
        <v>19</v>
      </c>
      <c r="AG109" s="21">
        <v>0.30072807850585626</v>
      </c>
      <c r="AH109" s="14">
        <v>68</v>
      </c>
      <c r="AI109" s="21">
        <v>1.076289965178854</v>
      </c>
      <c r="AJ109" s="14">
        <v>239</v>
      </c>
      <c r="AK109" s="21">
        <v>3.7828426717315606</v>
      </c>
      <c r="AL109" s="14">
        <v>21</v>
      </c>
      <c r="AM109" s="21">
        <v>0.33238366571699907</v>
      </c>
    </row>
    <row r="110" spans="1:39" s="14" customFormat="1" x14ac:dyDescent="0.15">
      <c r="A110" s="19"/>
      <c r="B110" s="20"/>
      <c r="C110" s="15"/>
      <c r="D110" s="15"/>
      <c r="F110" s="15"/>
      <c r="G110" s="15"/>
      <c r="H110" s="16"/>
      <c r="I110" s="15"/>
      <c r="K110" s="15"/>
      <c r="L110" s="15"/>
      <c r="M110" s="5"/>
      <c r="N110" s="15"/>
      <c r="O110" s="5"/>
      <c r="Q110" s="5"/>
      <c r="S110" s="5"/>
      <c r="T110" s="5"/>
      <c r="U110" s="5"/>
      <c r="V110" s="5"/>
      <c r="W110" s="5"/>
      <c r="Y110" s="5"/>
      <c r="AA110" s="5"/>
      <c r="AC110" s="5"/>
      <c r="AE110" s="5"/>
      <c r="AG110" s="5"/>
      <c r="AI110" s="5"/>
      <c r="AK110" s="5"/>
      <c r="AM110" s="5"/>
    </row>
    <row r="111" spans="1:39" s="14" customFormat="1" x14ac:dyDescent="0.15">
      <c r="A111" s="19">
        <v>34</v>
      </c>
      <c r="B111" s="20" t="s">
        <v>126</v>
      </c>
      <c r="C111" s="15">
        <v>14481</v>
      </c>
      <c r="D111" s="15">
        <v>3398</v>
      </c>
      <c r="E111" s="14">
        <v>0</v>
      </c>
      <c r="F111" s="15">
        <v>17879</v>
      </c>
      <c r="G111" s="15">
        <v>12719</v>
      </c>
      <c r="H111" s="16">
        <v>69.8</v>
      </c>
      <c r="I111" s="15">
        <v>3124</v>
      </c>
      <c r="J111" s="14">
        <v>79</v>
      </c>
      <c r="K111" s="15">
        <v>12640</v>
      </c>
      <c r="L111" s="15">
        <v>4649</v>
      </c>
      <c r="M111" s="21">
        <v>36.780063291139243</v>
      </c>
      <c r="N111" s="15">
        <v>4496</v>
      </c>
      <c r="O111" s="21">
        <v>35.569620253164558</v>
      </c>
      <c r="P111" s="15">
        <v>1867</v>
      </c>
      <c r="Q111" s="21">
        <v>14.770569620253166</v>
      </c>
      <c r="R111" s="14">
        <v>101</v>
      </c>
      <c r="S111" s="21">
        <v>0.79905063291139233</v>
      </c>
      <c r="T111" s="5" t="s">
        <v>63</v>
      </c>
      <c r="U111" s="5" t="s">
        <v>63</v>
      </c>
      <c r="V111" s="5" t="s">
        <v>63</v>
      </c>
      <c r="W111" s="5" t="s">
        <v>63</v>
      </c>
      <c r="X111" s="14">
        <v>21</v>
      </c>
      <c r="Y111" s="21">
        <v>0.16613924050632911</v>
      </c>
      <c r="Z111" s="14">
        <v>66</v>
      </c>
      <c r="AA111" s="21">
        <v>0.52215189873417722</v>
      </c>
      <c r="AB111" s="14">
        <v>42</v>
      </c>
      <c r="AC111" s="21">
        <v>0.33227848101265822</v>
      </c>
      <c r="AD111" s="14">
        <v>738</v>
      </c>
      <c r="AE111" s="21">
        <v>5.8386075949367084</v>
      </c>
      <c r="AF111" s="14">
        <v>31</v>
      </c>
      <c r="AG111" s="21">
        <v>0.24525316455696203</v>
      </c>
      <c r="AH111" s="14">
        <v>136</v>
      </c>
      <c r="AI111" s="21">
        <v>1.0759493670886076</v>
      </c>
      <c r="AJ111" s="14">
        <v>458</v>
      </c>
      <c r="AK111" s="21">
        <v>3.6234177215189871</v>
      </c>
      <c r="AL111" s="14">
        <v>35</v>
      </c>
      <c r="AM111" s="21">
        <v>0.27689873417721517</v>
      </c>
    </row>
    <row r="112" spans="1:39" s="14" customFormat="1" x14ac:dyDescent="0.15">
      <c r="A112" s="19"/>
      <c r="B112" s="20"/>
      <c r="C112" s="15"/>
      <c r="D112" s="15"/>
      <c r="F112" s="15"/>
      <c r="G112" s="15"/>
      <c r="H112" s="16"/>
      <c r="I112" s="15"/>
      <c r="K112" s="15"/>
      <c r="L112" s="15"/>
      <c r="M112" s="21"/>
      <c r="N112" s="15"/>
      <c r="O112" s="21"/>
      <c r="P112" s="15"/>
      <c r="Q112" s="21"/>
      <c r="S112" s="21"/>
      <c r="T112" s="5"/>
      <c r="U112" s="5"/>
      <c r="V112" s="5"/>
      <c r="W112" s="5"/>
      <c r="Y112" s="21"/>
      <c r="AA112" s="21"/>
      <c r="AC112" s="21"/>
      <c r="AE112" s="21"/>
      <c r="AG112" s="21"/>
      <c r="AI112" s="21"/>
      <c r="AK112" s="21"/>
      <c r="AM112" s="21"/>
    </row>
    <row r="113" spans="1:39" s="14" customFormat="1" x14ac:dyDescent="0.15">
      <c r="A113" s="19">
        <v>351</v>
      </c>
      <c r="B113" s="20" t="s">
        <v>127</v>
      </c>
      <c r="C113" s="15">
        <v>4023</v>
      </c>
      <c r="D113" s="15">
        <v>740</v>
      </c>
      <c r="E113" s="14">
        <v>0</v>
      </c>
      <c r="F113" s="15">
        <v>4763</v>
      </c>
      <c r="G113" s="15">
        <v>3731</v>
      </c>
      <c r="H113" s="23">
        <v>76.760000000000005</v>
      </c>
      <c r="I113" s="15">
        <v>704</v>
      </c>
      <c r="J113" s="14">
        <v>25</v>
      </c>
      <c r="K113" s="15">
        <v>3706</v>
      </c>
      <c r="L113" s="15">
        <v>1297</v>
      </c>
      <c r="M113" s="21">
        <v>35</v>
      </c>
      <c r="N113" s="15">
        <v>1575</v>
      </c>
      <c r="O113" s="21">
        <v>42.5</v>
      </c>
      <c r="P113" s="15">
        <v>400</v>
      </c>
      <c r="Q113" s="21">
        <v>10.79</v>
      </c>
      <c r="R113" s="14">
        <v>31</v>
      </c>
      <c r="S113" s="21">
        <v>0.84</v>
      </c>
      <c r="T113" s="5" t="s">
        <v>63</v>
      </c>
      <c r="U113" s="5" t="s">
        <v>63</v>
      </c>
      <c r="V113" s="5" t="s">
        <v>63</v>
      </c>
      <c r="W113" s="5" t="s">
        <v>63</v>
      </c>
      <c r="X113" s="14">
        <v>4</v>
      </c>
      <c r="Y113" s="21">
        <v>0.11</v>
      </c>
      <c r="Z113" s="14">
        <v>13</v>
      </c>
      <c r="AA113" s="21">
        <v>0.35</v>
      </c>
      <c r="AB113" s="14">
        <v>9</v>
      </c>
      <c r="AC113" s="21">
        <v>0.24</v>
      </c>
      <c r="AD113" s="14">
        <v>240</v>
      </c>
      <c r="AE113" s="21">
        <v>6.48</v>
      </c>
      <c r="AF113" s="14">
        <v>8</v>
      </c>
      <c r="AG113" s="21">
        <v>0.22</v>
      </c>
      <c r="AH113" s="14">
        <v>15</v>
      </c>
      <c r="AI113" s="21">
        <v>0.4</v>
      </c>
      <c r="AJ113" s="14">
        <v>109</v>
      </c>
      <c r="AK113" s="21">
        <v>2.94</v>
      </c>
      <c r="AL113" s="14">
        <v>5</v>
      </c>
      <c r="AM113" s="21">
        <v>0.13</v>
      </c>
    </row>
    <row r="114" spans="1:39" x14ac:dyDescent="0.15">
      <c r="A114" s="19"/>
      <c r="B114" s="20"/>
      <c r="C114" s="15"/>
      <c r="D114" s="15"/>
      <c r="E114" s="14"/>
      <c r="F114" s="15"/>
      <c r="G114" s="15"/>
      <c r="H114" s="23"/>
      <c r="I114" s="15"/>
      <c r="J114" s="14"/>
      <c r="K114" s="15"/>
      <c r="L114" s="15"/>
      <c r="M114" s="21"/>
      <c r="N114" s="15"/>
      <c r="O114" s="21"/>
      <c r="P114" s="15"/>
      <c r="Q114" s="21"/>
      <c r="R114" s="14"/>
      <c r="S114" s="21"/>
      <c r="T114" s="5"/>
      <c r="V114" s="5"/>
      <c r="X114" s="14"/>
      <c r="Y114" s="21"/>
      <c r="Z114" s="14"/>
      <c r="AA114" s="21"/>
      <c r="AB114" s="14"/>
      <c r="AC114" s="21"/>
      <c r="AD114" s="14"/>
      <c r="AE114" s="21"/>
      <c r="AF114" s="14"/>
      <c r="AG114" s="21"/>
      <c r="AH114" s="14"/>
      <c r="AI114" s="21"/>
      <c r="AJ114" s="14"/>
      <c r="AK114" s="21"/>
      <c r="AL114" s="14"/>
      <c r="AM114" s="21"/>
    </row>
    <row r="115" spans="1:39" s="14" customFormat="1" x14ac:dyDescent="0.15">
      <c r="A115" s="19">
        <v>351</v>
      </c>
      <c r="B115" s="20" t="s">
        <v>127</v>
      </c>
      <c r="C115" s="15">
        <v>4023</v>
      </c>
      <c r="D115" s="15">
        <v>740</v>
      </c>
      <c r="E115" s="14">
        <v>0</v>
      </c>
      <c r="F115" s="15">
        <v>4763</v>
      </c>
      <c r="G115" s="15">
        <v>3731</v>
      </c>
      <c r="H115" s="23">
        <v>76.760000000000005</v>
      </c>
      <c r="I115" s="15">
        <v>704</v>
      </c>
      <c r="J115" s="14">
        <v>25</v>
      </c>
      <c r="K115" s="15">
        <v>3706</v>
      </c>
      <c r="L115" s="15">
        <v>1297</v>
      </c>
      <c r="M115" s="21">
        <v>35</v>
      </c>
      <c r="N115" s="15">
        <v>1575</v>
      </c>
      <c r="O115" s="21">
        <v>42.5</v>
      </c>
      <c r="P115" s="15">
        <v>400</v>
      </c>
      <c r="Q115" s="21">
        <v>10.79</v>
      </c>
      <c r="R115" s="14">
        <v>31</v>
      </c>
      <c r="S115" s="21">
        <v>0.84</v>
      </c>
      <c r="T115" s="5" t="s">
        <v>63</v>
      </c>
      <c r="U115" s="5" t="s">
        <v>63</v>
      </c>
      <c r="V115" s="5" t="s">
        <v>63</v>
      </c>
      <c r="W115" s="5" t="s">
        <v>63</v>
      </c>
      <c r="X115" s="14">
        <v>4</v>
      </c>
      <c r="Y115" s="21">
        <v>0.11</v>
      </c>
      <c r="Z115" s="14">
        <v>13</v>
      </c>
      <c r="AA115" s="21">
        <v>0.35</v>
      </c>
      <c r="AB115" s="14">
        <v>9</v>
      </c>
      <c r="AC115" s="21">
        <v>0.24</v>
      </c>
      <c r="AD115" s="14">
        <v>240</v>
      </c>
      <c r="AE115" s="21">
        <v>6.48</v>
      </c>
      <c r="AF115" s="14">
        <v>8</v>
      </c>
      <c r="AG115" s="21">
        <v>0.22</v>
      </c>
      <c r="AH115" s="14">
        <v>15</v>
      </c>
      <c r="AI115" s="21">
        <v>0.4</v>
      </c>
      <c r="AJ115" s="14">
        <v>109</v>
      </c>
      <c r="AK115" s="21">
        <v>2.94</v>
      </c>
      <c r="AL115" s="14">
        <v>5</v>
      </c>
      <c r="AM115" s="21">
        <v>0.13</v>
      </c>
    </row>
    <row r="116" spans="1:39" s="14" customFormat="1" x14ac:dyDescent="0.15">
      <c r="A116" s="19"/>
      <c r="B116" s="20"/>
      <c r="C116" s="15"/>
      <c r="D116" s="15"/>
      <c r="F116" s="15"/>
      <c r="G116" s="15"/>
      <c r="H116" s="23"/>
      <c r="I116" s="15"/>
      <c r="K116" s="15"/>
      <c r="L116" s="15"/>
      <c r="M116" s="21"/>
      <c r="N116" s="15"/>
      <c r="O116" s="21"/>
      <c r="P116" s="15"/>
      <c r="Q116" s="21"/>
      <c r="S116" s="21"/>
      <c r="T116" s="5"/>
      <c r="U116" s="5"/>
      <c r="V116" s="5"/>
      <c r="W116" s="5"/>
      <c r="Y116" s="21"/>
      <c r="AA116" s="21"/>
      <c r="AC116" s="21"/>
      <c r="AE116" s="21"/>
      <c r="AG116" s="21"/>
      <c r="AI116" s="21"/>
      <c r="AK116" s="21"/>
      <c r="AM116" s="21"/>
    </row>
    <row r="117" spans="1:39" s="14" customFormat="1" x14ac:dyDescent="0.15">
      <c r="A117" s="19">
        <v>361</v>
      </c>
      <c r="B117" s="20" t="s">
        <v>128</v>
      </c>
      <c r="C117" s="15">
        <v>7572</v>
      </c>
      <c r="D117" s="15">
        <v>1970</v>
      </c>
      <c r="E117" s="14">
        <v>0</v>
      </c>
      <c r="F117" s="15">
        <v>9543</v>
      </c>
      <c r="G117" s="15">
        <v>7201</v>
      </c>
      <c r="H117" s="23">
        <v>73.28</v>
      </c>
      <c r="I117" s="15">
        <v>1882</v>
      </c>
      <c r="J117" s="14">
        <v>41</v>
      </c>
      <c r="K117" s="15">
        <v>7160</v>
      </c>
      <c r="L117" s="15">
        <v>1943</v>
      </c>
      <c r="M117" s="21">
        <v>27.14</v>
      </c>
      <c r="N117" s="15">
        <v>3815</v>
      </c>
      <c r="O117" s="21">
        <v>53.28</v>
      </c>
      <c r="P117" s="15">
        <v>548</v>
      </c>
      <c r="Q117" s="21">
        <v>7.65</v>
      </c>
      <c r="R117" s="14">
        <v>44</v>
      </c>
      <c r="S117" s="21">
        <v>0.61</v>
      </c>
      <c r="T117" s="5" t="s">
        <v>63</v>
      </c>
      <c r="U117" s="5" t="s">
        <v>63</v>
      </c>
      <c r="V117" s="5" t="s">
        <v>63</v>
      </c>
      <c r="W117" s="5" t="s">
        <v>63</v>
      </c>
      <c r="X117" s="14">
        <v>22</v>
      </c>
      <c r="Y117" s="21">
        <v>0.31</v>
      </c>
      <c r="Z117" s="14">
        <v>30</v>
      </c>
      <c r="AA117" s="21">
        <v>0.42</v>
      </c>
      <c r="AB117" s="14">
        <v>18</v>
      </c>
      <c r="AC117" s="21">
        <v>0.25</v>
      </c>
      <c r="AD117" s="14">
        <v>514</v>
      </c>
      <c r="AE117" s="21">
        <v>7.18</v>
      </c>
      <c r="AF117" s="14">
        <v>6</v>
      </c>
      <c r="AG117" s="21">
        <v>0.08</v>
      </c>
      <c r="AH117" s="14">
        <v>36</v>
      </c>
      <c r="AI117" s="21">
        <v>0.5</v>
      </c>
      <c r="AJ117" s="14">
        <v>180</v>
      </c>
      <c r="AK117" s="21">
        <v>2.5099999999999998</v>
      </c>
      <c r="AL117" s="14">
        <v>4</v>
      </c>
      <c r="AM117" s="21">
        <v>0.06</v>
      </c>
    </row>
    <row r="118" spans="1:39" s="14" customFormat="1" x14ac:dyDescent="0.15">
      <c r="A118" s="19"/>
      <c r="B118" s="20"/>
      <c r="C118" s="15"/>
      <c r="D118" s="15"/>
      <c r="F118" s="15"/>
      <c r="G118" s="15"/>
      <c r="H118" s="23"/>
      <c r="I118" s="15"/>
      <c r="K118" s="15"/>
      <c r="L118" s="15"/>
      <c r="M118" s="21"/>
      <c r="N118" s="15"/>
      <c r="O118" s="21"/>
      <c r="P118" s="15"/>
      <c r="Q118" s="21"/>
      <c r="S118" s="21"/>
      <c r="T118" s="5"/>
      <c r="U118" s="5"/>
      <c r="V118" s="5"/>
      <c r="W118" s="5"/>
      <c r="Y118" s="21"/>
      <c r="AA118" s="21"/>
      <c r="AC118" s="21"/>
      <c r="AE118" s="21"/>
      <c r="AG118" s="21"/>
      <c r="AI118" s="21"/>
      <c r="AK118" s="21"/>
      <c r="AM118" s="21"/>
    </row>
    <row r="119" spans="1:39" s="14" customFormat="1" x14ac:dyDescent="0.15">
      <c r="A119" s="19">
        <v>361</v>
      </c>
      <c r="B119" s="20" t="s">
        <v>128</v>
      </c>
      <c r="C119" s="15">
        <v>7572</v>
      </c>
      <c r="D119" s="15">
        <v>1970</v>
      </c>
      <c r="E119" s="14">
        <v>0</v>
      </c>
      <c r="F119" s="15">
        <v>9543</v>
      </c>
      <c r="G119" s="15">
        <v>7201</v>
      </c>
      <c r="H119" s="23">
        <v>73.28</v>
      </c>
      <c r="I119" s="15">
        <v>1882</v>
      </c>
      <c r="J119" s="14">
        <v>41</v>
      </c>
      <c r="K119" s="15">
        <v>7160</v>
      </c>
      <c r="L119" s="15">
        <v>1943</v>
      </c>
      <c r="M119" s="21">
        <v>27.14</v>
      </c>
      <c r="N119" s="15">
        <v>3815</v>
      </c>
      <c r="O119" s="21">
        <v>53.28</v>
      </c>
      <c r="P119" s="15">
        <v>548</v>
      </c>
      <c r="Q119" s="21">
        <v>7.65</v>
      </c>
      <c r="R119" s="14">
        <v>44</v>
      </c>
      <c r="S119" s="21">
        <v>0.61</v>
      </c>
      <c r="T119" s="5" t="s">
        <v>63</v>
      </c>
      <c r="U119" s="5" t="s">
        <v>63</v>
      </c>
      <c r="V119" s="5" t="s">
        <v>63</v>
      </c>
      <c r="W119" s="5" t="s">
        <v>63</v>
      </c>
      <c r="X119" s="14">
        <v>22</v>
      </c>
      <c r="Y119" s="21">
        <v>0.31</v>
      </c>
      <c r="Z119" s="14">
        <v>30</v>
      </c>
      <c r="AA119" s="21">
        <v>0.42</v>
      </c>
      <c r="AB119" s="14">
        <v>18</v>
      </c>
      <c r="AC119" s="21">
        <v>0.25</v>
      </c>
      <c r="AD119" s="14">
        <v>514</v>
      </c>
      <c r="AE119" s="21">
        <v>7.18</v>
      </c>
      <c r="AF119" s="14">
        <v>6</v>
      </c>
      <c r="AG119" s="21">
        <v>0.08</v>
      </c>
      <c r="AH119" s="14">
        <v>36</v>
      </c>
      <c r="AI119" s="21">
        <v>0.5</v>
      </c>
      <c r="AJ119" s="14">
        <v>180</v>
      </c>
      <c r="AK119" s="21">
        <v>2.5099999999999998</v>
      </c>
      <c r="AL119" s="14">
        <v>4</v>
      </c>
      <c r="AM119" s="21">
        <v>0.06</v>
      </c>
    </row>
    <row r="120" spans="1:39" s="14" customFormat="1" x14ac:dyDescent="0.15">
      <c r="A120" s="17"/>
      <c r="B120" s="2"/>
      <c r="C120" s="15"/>
      <c r="D120" s="15"/>
      <c r="F120" s="15"/>
      <c r="G120" s="15"/>
      <c r="H120" s="16"/>
      <c r="I120" s="15"/>
      <c r="K120" s="15"/>
      <c r="L120" s="15"/>
      <c r="M120" s="5"/>
      <c r="N120" s="15"/>
      <c r="O120" s="5"/>
      <c r="P120" s="15"/>
      <c r="Q120" s="5"/>
      <c r="S120" s="5"/>
      <c r="T120" s="5"/>
      <c r="U120" s="5"/>
      <c r="V120" s="5"/>
      <c r="W120" s="5"/>
      <c r="Y120" s="5"/>
      <c r="AA120" s="5"/>
      <c r="AC120" s="5"/>
      <c r="AE120" s="5"/>
      <c r="AG120" s="5"/>
      <c r="AI120" s="5"/>
      <c r="AK120" s="5"/>
      <c r="AM120" s="5"/>
    </row>
    <row r="121" spans="1:39" s="14" customFormat="1" x14ac:dyDescent="0.15">
      <c r="A121" s="19">
        <v>371</v>
      </c>
      <c r="B121" s="20" t="s">
        <v>129</v>
      </c>
      <c r="C121" s="15">
        <v>2324</v>
      </c>
      <c r="D121" s="14">
        <v>387</v>
      </c>
      <c r="E121" s="14">
        <v>0</v>
      </c>
      <c r="F121" s="15">
        <v>2711</v>
      </c>
      <c r="G121" s="15">
        <v>1792</v>
      </c>
      <c r="H121" s="16">
        <v>64.7</v>
      </c>
      <c r="I121" s="14">
        <v>367</v>
      </c>
      <c r="J121" s="14">
        <v>19</v>
      </c>
      <c r="K121" s="15">
        <v>1773</v>
      </c>
      <c r="L121" s="14">
        <v>805</v>
      </c>
      <c r="M121" s="21">
        <v>45.403271291596162</v>
      </c>
      <c r="N121" s="14">
        <v>603</v>
      </c>
      <c r="O121" s="21">
        <v>34.01015228426396</v>
      </c>
      <c r="P121" s="14">
        <v>141</v>
      </c>
      <c r="Q121" s="21">
        <v>7.9526226734348562</v>
      </c>
      <c r="R121" s="14">
        <v>31</v>
      </c>
      <c r="S121" s="21">
        <v>1.7484489565707841</v>
      </c>
      <c r="T121" s="5" t="s">
        <v>63</v>
      </c>
      <c r="U121" s="5" t="s">
        <v>63</v>
      </c>
      <c r="V121" s="5" t="s">
        <v>63</v>
      </c>
      <c r="W121" s="5" t="s">
        <v>63</v>
      </c>
      <c r="X121" s="14">
        <v>14</v>
      </c>
      <c r="Y121" s="21">
        <v>0.78962210941906386</v>
      </c>
      <c r="Z121" s="14">
        <v>8</v>
      </c>
      <c r="AA121" s="21">
        <v>0.45121263395375077</v>
      </c>
      <c r="AB121" s="14">
        <v>4</v>
      </c>
      <c r="AC121" s="21">
        <v>0.22560631697687539</v>
      </c>
      <c r="AD121" s="14">
        <v>58</v>
      </c>
      <c r="AE121" s="21">
        <v>3.2712915961646925</v>
      </c>
      <c r="AF121" s="14">
        <v>1</v>
      </c>
      <c r="AG121" s="21">
        <v>5.6401579244218847E-2</v>
      </c>
      <c r="AH121" s="14">
        <v>18</v>
      </c>
      <c r="AI121" s="21">
        <v>1.015228426395939</v>
      </c>
      <c r="AJ121" s="14">
        <v>88</v>
      </c>
      <c r="AK121" s="21">
        <v>4.9633389734912576</v>
      </c>
      <c r="AL121" s="14">
        <v>2</v>
      </c>
      <c r="AM121" s="21">
        <v>0.11280315848843769</v>
      </c>
    </row>
    <row r="122" spans="1:39" s="14" customFormat="1" x14ac:dyDescent="0.15">
      <c r="A122" s="19"/>
      <c r="B122" s="20"/>
      <c r="C122" s="15"/>
      <c r="F122" s="15"/>
      <c r="G122" s="15"/>
      <c r="H122" s="16"/>
      <c r="K122" s="15"/>
      <c r="M122" s="5"/>
      <c r="O122" s="5"/>
      <c r="Q122" s="5"/>
      <c r="S122" s="5"/>
      <c r="T122" s="5"/>
      <c r="U122" s="5"/>
      <c r="V122" s="5"/>
      <c r="W122" s="5"/>
      <c r="Y122" s="5"/>
      <c r="AA122" s="5"/>
      <c r="AC122" s="5"/>
      <c r="AE122" s="5"/>
      <c r="AG122" s="5"/>
      <c r="AI122" s="5"/>
      <c r="AK122" s="5"/>
      <c r="AM122" s="5"/>
    </row>
    <row r="123" spans="1:39" s="14" customFormat="1" x14ac:dyDescent="0.15">
      <c r="A123" s="19">
        <v>372</v>
      </c>
      <c r="B123" s="20" t="s">
        <v>130</v>
      </c>
      <c r="C123" s="15">
        <v>7979</v>
      </c>
      <c r="D123" s="14">
        <v>897</v>
      </c>
      <c r="E123" s="14">
        <v>1</v>
      </c>
      <c r="F123" s="15">
        <v>8877</v>
      </c>
      <c r="G123" s="15">
        <v>5134</v>
      </c>
      <c r="H123" s="16">
        <v>56.9</v>
      </c>
      <c r="I123" s="14">
        <v>849</v>
      </c>
      <c r="J123" s="14">
        <v>79</v>
      </c>
      <c r="K123" s="15">
        <v>5055</v>
      </c>
      <c r="L123" s="15">
        <v>2310</v>
      </c>
      <c r="M123" s="21">
        <v>45.697329376854597</v>
      </c>
      <c r="N123" s="15">
        <v>1605</v>
      </c>
      <c r="O123" s="21">
        <v>31.750741839762615</v>
      </c>
      <c r="P123" s="14">
        <v>362</v>
      </c>
      <c r="Q123" s="21">
        <v>7.1612265084075171</v>
      </c>
      <c r="R123" s="14">
        <v>140</v>
      </c>
      <c r="S123" s="21">
        <v>2.7695351137487636</v>
      </c>
      <c r="T123" s="5" t="s">
        <v>63</v>
      </c>
      <c r="U123" s="5" t="s">
        <v>63</v>
      </c>
      <c r="V123" s="5" t="s">
        <v>63</v>
      </c>
      <c r="W123" s="5" t="s">
        <v>63</v>
      </c>
      <c r="X123" s="14">
        <v>54</v>
      </c>
      <c r="Y123" s="21">
        <v>1.0682492581602374</v>
      </c>
      <c r="Z123" s="14">
        <v>35</v>
      </c>
      <c r="AA123" s="21">
        <v>0.6923837784371909</v>
      </c>
      <c r="AB123" s="14">
        <v>17</v>
      </c>
      <c r="AC123" s="21">
        <v>0.33630069238377847</v>
      </c>
      <c r="AD123" s="14">
        <v>175</v>
      </c>
      <c r="AE123" s="21">
        <v>3.4619188921859543</v>
      </c>
      <c r="AF123" s="14">
        <v>19</v>
      </c>
      <c r="AG123" s="21">
        <v>0.37586547972304651</v>
      </c>
      <c r="AH123" s="14">
        <v>30</v>
      </c>
      <c r="AI123" s="21">
        <v>0.59347181008902083</v>
      </c>
      <c r="AJ123" s="14">
        <v>300</v>
      </c>
      <c r="AK123" s="21">
        <v>5.9347181008902083</v>
      </c>
      <c r="AL123" s="14">
        <v>8</v>
      </c>
      <c r="AM123" s="21">
        <v>0.15825914935707219</v>
      </c>
    </row>
    <row r="124" spans="1:39" s="14" customFormat="1" x14ac:dyDescent="0.15">
      <c r="A124" s="19"/>
      <c r="B124" s="20"/>
      <c r="C124" s="15"/>
      <c r="F124" s="15"/>
      <c r="G124" s="15"/>
      <c r="H124" s="16"/>
      <c r="K124" s="15"/>
      <c r="L124" s="15"/>
      <c r="M124" s="5"/>
      <c r="N124" s="15"/>
      <c r="O124" s="5"/>
      <c r="Q124" s="5"/>
      <c r="S124" s="5"/>
      <c r="T124" s="5"/>
      <c r="U124" s="5"/>
      <c r="V124" s="5"/>
      <c r="W124" s="5"/>
      <c r="Y124" s="5"/>
      <c r="AA124" s="5"/>
      <c r="AC124" s="5"/>
      <c r="AE124" s="5"/>
      <c r="AG124" s="5"/>
      <c r="AI124" s="5"/>
      <c r="AK124" s="5"/>
      <c r="AM124" s="5"/>
    </row>
    <row r="125" spans="1:39" s="14" customFormat="1" x14ac:dyDescent="0.15">
      <c r="A125" s="19">
        <v>373</v>
      </c>
      <c r="B125" s="20" t="s">
        <v>131</v>
      </c>
      <c r="C125" s="15">
        <v>5529</v>
      </c>
      <c r="D125" s="14">
        <v>447</v>
      </c>
      <c r="E125" s="14">
        <v>1</v>
      </c>
      <c r="F125" s="15">
        <v>5977</v>
      </c>
      <c r="G125" s="15">
        <v>2963</v>
      </c>
      <c r="H125" s="16">
        <v>48.9</v>
      </c>
      <c r="I125" s="14">
        <v>420</v>
      </c>
      <c r="J125" s="14">
        <v>58</v>
      </c>
      <c r="K125" s="15">
        <v>2905</v>
      </c>
      <c r="L125" s="15">
        <v>1177</v>
      </c>
      <c r="M125" s="21">
        <v>40.51635111876076</v>
      </c>
      <c r="N125" s="15">
        <v>1090</v>
      </c>
      <c r="O125" s="21">
        <v>37.521514629948364</v>
      </c>
      <c r="P125" s="14">
        <v>149</v>
      </c>
      <c r="Q125" s="21">
        <v>5.129087779690189</v>
      </c>
      <c r="R125" s="14">
        <v>101</v>
      </c>
      <c r="S125" s="21">
        <v>3.4767641996557659</v>
      </c>
      <c r="T125" s="5" t="s">
        <v>63</v>
      </c>
      <c r="U125" s="5" t="s">
        <v>63</v>
      </c>
      <c r="V125" s="5" t="s">
        <v>63</v>
      </c>
      <c r="W125" s="5" t="s">
        <v>63</v>
      </c>
      <c r="X125" s="14">
        <v>57</v>
      </c>
      <c r="Y125" s="21">
        <v>1.9621342512908777</v>
      </c>
      <c r="Z125" s="14">
        <v>19</v>
      </c>
      <c r="AA125" s="21">
        <v>0.65404475043029264</v>
      </c>
      <c r="AB125" s="14">
        <v>8</v>
      </c>
      <c r="AC125" s="21">
        <v>0.2753872633390706</v>
      </c>
      <c r="AD125" s="14">
        <v>66</v>
      </c>
      <c r="AE125" s="21">
        <v>2.2719449225473323</v>
      </c>
      <c r="AF125" s="14">
        <v>11</v>
      </c>
      <c r="AG125" s="21">
        <v>0.37865748709122204</v>
      </c>
      <c r="AH125" s="14">
        <v>21</v>
      </c>
      <c r="AI125" s="21">
        <v>0.72289156626506024</v>
      </c>
      <c r="AJ125" s="14">
        <v>206</v>
      </c>
      <c r="AK125" s="21">
        <v>7.0912220309810676</v>
      </c>
      <c r="AL125" s="14">
        <v>0</v>
      </c>
      <c r="AM125" s="21">
        <v>0</v>
      </c>
    </row>
    <row r="126" spans="1:39" s="14" customFormat="1" x14ac:dyDescent="0.15">
      <c r="A126" s="19"/>
      <c r="B126" s="20"/>
      <c r="C126" s="15"/>
      <c r="F126" s="15"/>
      <c r="G126" s="15"/>
      <c r="H126" s="16"/>
      <c r="K126" s="15"/>
      <c r="L126" s="15"/>
      <c r="M126" s="5"/>
      <c r="N126" s="15"/>
      <c r="O126" s="5"/>
      <c r="Q126" s="5"/>
      <c r="S126" s="5"/>
      <c r="T126" s="5"/>
      <c r="U126" s="5"/>
      <c r="V126" s="5"/>
      <c r="W126" s="5"/>
      <c r="Y126" s="5"/>
      <c r="AA126" s="5"/>
      <c r="AC126" s="5"/>
      <c r="AE126" s="5"/>
      <c r="AG126" s="5"/>
      <c r="AI126" s="5"/>
      <c r="AK126" s="5"/>
      <c r="AM126" s="5"/>
    </row>
    <row r="127" spans="1:39" s="14" customFormat="1" x14ac:dyDescent="0.15">
      <c r="A127" s="19">
        <v>374</v>
      </c>
      <c r="B127" s="20" t="s">
        <v>132</v>
      </c>
      <c r="C127" s="15">
        <v>3363</v>
      </c>
      <c r="D127" s="14">
        <v>428</v>
      </c>
      <c r="E127" s="14">
        <v>0</v>
      </c>
      <c r="F127" s="15">
        <v>3791</v>
      </c>
      <c r="G127" s="15">
        <v>2562</v>
      </c>
      <c r="H127" s="16">
        <v>66.400000000000006</v>
      </c>
      <c r="I127" s="14">
        <v>407</v>
      </c>
      <c r="J127" s="14">
        <v>20</v>
      </c>
      <c r="K127" s="15">
        <v>2542</v>
      </c>
      <c r="L127" s="15">
        <v>1176</v>
      </c>
      <c r="M127" s="21">
        <v>46.262785208497249</v>
      </c>
      <c r="N127" s="14">
        <v>740</v>
      </c>
      <c r="O127" s="21">
        <v>29.110936270653031</v>
      </c>
      <c r="P127" s="14">
        <v>312</v>
      </c>
      <c r="Q127" s="21">
        <v>12.273800157356412</v>
      </c>
      <c r="R127" s="14">
        <v>57</v>
      </c>
      <c r="S127" s="21">
        <v>2.2423288749016521</v>
      </c>
      <c r="T127" s="5" t="s">
        <v>63</v>
      </c>
      <c r="U127" s="5" t="s">
        <v>63</v>
      </c>
      <c r="V127" s="5" t="s">
        <v>63</v>
      </c>
      <c r="W127" s="5" t="s">
        <v>63</v>
      </c>
      <c r="X127" s="14">
        <v>21</v>
      </c>
      <c r="Y127" s="21">
        <v>0.82612116443745076</v>
      </c>
      <c r="Z127" s="14">
        <v>21</v>
      </c>
      <c r="AA127" s="21">
        <v>0.82612116443745076</v>
      </c>
      <c r="AB127" s="14">
        <v>8</v>
      </c>
      <c r="AC127" s="21">
        <v>0.3147128245476003</v>
      </c>
      <c r="AD127" s="14">
        <v>69</v>
      </c>
      <c r="AE127" s="21">
        <v>2.7143981117230527</v>
      </c>
      <c r="AF127" s="14">
        <v>8</v>
      </c>
      <c r="AG127" s="21">
        <v>0.3147128245476003</v>
      </c>
      <c r="AH127" s="14">
        <v>15</v>
      </c>
      <c r="AI127" s="21">
        <v>0.59008654602675059</v>
      </c>
      <c r="AJ127" s="14">
        <v>114</v>
      </c>
      <c r="AK127" s="21">
        <v>4.4846577498033042</v>
      </c>
      <c r="AL127" s="14">
        <v>1</v>
      </c>
      <c r="AM127" s="21">
        <v>3.9339103068450038E-2</v>
      </c>
    </row>
    <row r="128" spans="1:39" s="14" customFormat="1" x14ac:dyDescent="0.15">
      <c r="A128" s="19"/>
      <c r="B128" s="20"/>
      <c r="C128" s="15"/>
      <c r="F128" s="15"/>
      <c r="G128" s="15"/>
      <c r="H128" s="16"/>
      <c r="K128" s="15"/>
      <c r="L128" s="15"/>
      <c r="M128" s="5"/>
      <c r="O128" s="5"/>
      <c r="Q128" s="5"/>
      <c r="S128" s="5"/>
      <c r="T128" s="5"/>
      <c r="U128" s="5"/>
      <c r="V128" s="5"/>
      <c r="W128" s="5"/>
      <c r="Y128" s="5"/>
      <c r="AA128" s="5"/>
      <c r="AC128" s="5"/>
      <c r="AE128" s="5"/>
      <c r="AG128" s="5"/>
      <c r="AI128" s="5"/>
      <c r="AK128" s="5"/>
      <c r="AM128" s="5"/>
    </row>
    <row r="129" spans="1:39" s="14" customFormat="1" x14ac:dyDescent="0.15">
      <c r="A129" s="19">
        <v>375</v>
      </c>
      <c r="B129" s="20" t="s">
        <v>133</v>
      </c>
      <c r="C129" s="15">
        <v>4254</v>
      </c>
      <c r="D129" s="14">
        <v>386</v>
      </c>
      <c r="E129" s="14">
        <v>0</v>
      </c>
      <c r="F129" s="15">
        <v>4640</v>
      </c>
      <c r="G129" s="15">
        <v>2610</v>
      </c>
      <c r="H129" s="16">
        <v>55.3</v>
      </c>
      <c r="I129" s="14">
        <v>371</v>
      </c>
      <c r="J129" s="14">
        <v>62</v>
      </c>
      <c r="K129" s="15">
        <v>2548</v>
      </c>
      <c r="L129" s="15">
        <v>1142</v>
      </c>
      <c r="M129" s="21">
        <v>44.819466248037678</v>
      </c>
      <c r="N129" s="14">
        <v>831</v>
      </c>
      <c r="O129" s="21">
        <v>32.6138147566719</v>
      </c>
      <c r="P129" s="14">
        <v>158</v>
      </c>
      <c r="Q129" s="21">
        <v>6.2009419152276291</v>
      </c>
      <c r="R129" s="14">
        <v>81</v>
      </c>
      <c r="S129" s="21">
        <v>3.1789638932496076</v>
      </c>
      <c r="T129" s="5" t="s">
        <v>63</v>
      </c>
      <c r="U129" s="5" t="s">
        <v>63</v>
      </c>
      <c r="V129" s="5" t="s">
        <v>63</v>
      </c>
      <c r="W129" s="5" t="s">
        <v>63</v>
      </c>
      <c r="X129" s="14">
        <v>50</v>
      </c>
      <c r="Y129" s="21">
        <v>1.9623233908948194</v>
      </c>
      <c r="Z129" s="14">
        <v>20</v>
      </c>
      <c r="AA129" s="21">
        <v>0.78492935635792771</v>
      </c>
      <c r="AB129" s="14">
        <v>6</v>
      </c>
      <c r="AC129" s="21">
        <v>0.23547880690737832</v>
      </c>
      <c r="AD129" s="14">
        <v>67</v>
      </c>
      <c r="AE129" s="21">
        <v>2.6295133437990579</v>
      </c>
      <c r="AF129" s="14">
        <v>12</v>
      </c>
      <c r="AG129" s="21">
        <v>0.47095761381475665</v>
      </c>
      <c r="AH129" s="14">
        <v>28</v>
      </c>
      <c r="AI129" s="21">
        <v>1.098901098901099</v>
      </c>
      <c r="AJ129" s="14">
        <v>148</v>
      </c>
      <c r="AK129" s="21">
        <v>5.8084772370486659</v>
      </c>
      <c r="AL129" s="14">
        <v>5</v>
      </c>
      <c r="AM129" s="21">
        <v>0.19623233908948193</v>
      </c>
    </row>
    <row r="130" spans="1:39" s="14" customFormat="1" x14ac:dyDescent="0.15">
      <c r="A130" s="19"/>
      <c r="B130" s="20"/>
      <c r="C130" s="15"/>
      <c r="F130" s="15"/>
      <c r="G130" s="15"/>
      <c r="H130" s="16"/>
      <c r="K130" s="15"/>
      <c r="L130" s="15"/>
      <c r="M130" s="5"/>
      <c r="O130" s="5"/>
      <c r="Q130" s="5"/>
      <c r="S130" s="5"/>
      <c r="T130" s="5"/>
      <c r="U130" s="5"/>
      <c r="V130" s="5"/>
      <c r="W130" s="5"/>
      <c r="Y130" s="5"/>
      <c r="AA130" s="5"/>
      <c r="AC130" s="5"/>
      <c r="AE130" s="5"/>
      <c r="AG130" s="5"/>
      <c r="AI130" s="5"/>
      <c r="AK130" s="5"/>
      <c r="AM130" s="5"/>
    </row>
    <row r="131" spans="1:39" s="14" customFormat="1" x14ac:dyDescent="0.15">
      <c r="A131" s="19">
        <v>37</v>
      </c>
      <c r="B131" s="20" t="s">
        <v>132</v>
      </c>
      <c r="C131" s="15">
        <v>23449</v>
      </c>
      <c r="D131" s="15">
        <v>2545</v>
      </c>
      <c r="E131" s="14">
        <v>2</v>
      </c>
      <c r="F131" s="15">
        <v>25996</v>
      </c>
      <c r="G131" s="15">
        <v>15061</v>
      </c>
      <c r="H131" s="16">
        <v>57</v>
      </c>
      <c r="I131" s="15">
        <v>2414</v>
      </c>
      <c r="J131" s="14">
        <v>238</v>
      </c>
      <c r="K131" s="15">
        <v>14823</v>
      </c>
      <c r="L131" s="15">
        <v>6610</v>
      </c>
      <c r="M131" s="21">
        <v>44.592862443499968</v>
      </c>
      <c r="N131" s="15">
        <v>4869</v>
      </c>
      <c r="O131" s="21">
        <v>32.847601700060721</v>
      </c>
      <c r="P131" s="15">
        <v>1122</v>
      </c>
      <c r="Q131" s="21">
        <v>7.5693179518316125</v>
      </c>
      <c r="R131" s="14">
        <v>410</v>
      </c>
      <c r="S131" s="21">
        <v>2.7659718005801794</v>
      </c>
      <c r="T131" s="5" t="s">
        <v>63</v>
      </c>
      <c r="U131" s="5" t="s">
        <v>63</v>
      </c>
      <c r="V131" s="5" t="s">
        <v>63</v>
      </c>
      <c r="W131" s="5" t="s">
        <v>63</v>
      </c>
      <c r="X131" s="14">
        <v>196</v>
      </c>
      <c r="Y131" s="21">
        <v>1.3222694461310125</v>
      </c>
      <c r="Z131" s="14">
        <v>103</v>
      </c>
      <c r="AA131" s="21">
        <v>0.69486608648721582</v>
      </c>
      <c r="AB131" s="14">
        <v>43</v>
      </c>
      <c r="AC131" s="21">
        <v>0.29008972542670175</v>
      </c>
      <c r="AD131" s="14">
        <v>435</v>
      </c>
      <c r="AE131" s="21">
        <v>2.9346286176887273</v>
      </c>
      <c r="AF131" s="14">
        <v>51</v>
      </c>
      <c r="AG131" s="21">
        <v>0.34405990690143695</v>
      </c>
      <c r="AH131" s="14">
        <v>112</v>
      </c>
      <c r="AI131" s="21">
        <v>0.75558254064629293</v>
      </c>
      <c r="AJ131" s="14">
        <v>856</v>
      </c>
      <c r="AK131" s="21">
        <v>5.7748094177966678</v>
      </c>
      <c r="AL131" s="14">
        <v>16</v>
      </c>
      <c r="AM131" s="21">
        <v>0.10794036294947043</v>
      </c>
    </row>
    <row r="132" spans="1:39" s="14" customFormat="1" x14ac:dyDescent="0.15">
      <c r="A132" s="19"/>
      <c r="B132" s="20"/>
      <c r="C132" s="15"/>
      <c r="D132" s="15"/>
      <c r="F132" s="15"/>
      <c r="G132" s="15"/>
      <c r="H132" s="16"/>
      <c r="I132" s="15"/>
      <c r="K132" s="15"/>
      <c r="L132" s="15"/>
      <c r="M132" s="5"/>
      <c r="N132" s="15"/>
      <c r="O132" s="5"/>
      <c r="P132" s="15"/>
      <c r="Q132" s="5"/>
      <c r="S132" s="5"/>
      <c r="T132" s="5"/>
      <c r="U132" s="5"/>
      <c r="V132" s="5"/>
      <c r="W132" s="5"/>
      <c r="Y132" s="5"/>
      <c r="AA132" s="5"/>
      <c r="AC132" s="5"/>
      <c r="AE132" s="5"/>
      <c r="AG132" s="5"/>
      <c r="AI132" s="5"/>
      <c r="AK132" s="5"/>
      <c r="AM132" s="5"/>
    </row>
    <row r="133" spans="1:39" s="14" customFormat="1" x14ac:dyDescent="0.15">
      <c r="A133" s="19">
        <v>381</v>
      </c>
      <c r="B133" s="20" t="s">
        <v>134</v>
      </c>
      <c r="C133" s="15">
        <v>6280</v>
      </c>
      <c r="D133" s="14">
        <v>796</v>
      </c>
      <c r="E133" s="14">
        <v>0</v>
      </c>
      <c r="F133" s="15">
        <v>7076</v>
      </c>
      <c r="G133" s="15">
        <v>4465</v>
      </c>
      <c r="H133" s="16">
        <v>62.1</v>
      </c>
      <c r="I133" s="14">
        <v>749</v>
      </c>
      <c r="J133" s="14">
        <v>55</v>
      </c>
      <c r="K133" s="15">
        <v>4410</v>
      </c>
      <c r="L133" s="15">
        <v>2133</v>
      </c>
      <c r="M133" s="21">
        <v>48.367346938775512</v>
      </c>
      <c r="N133" s="15">
        <v>1243</v>
      </c>
      <c r="O133" s="21">
        <v>28.185941043083901</v>
      </c>
      <c r="P133" s="14">
        <v>408</v>
      </c>
      <c r="Q133" s="21">
        <v>9.2517006802721085</v>
      </c>
      <c r="R133" s="14">
        <v>90</v>
      </c>
      <c r="S133" s="21">
        <v>2.0408163265306123</v>
      </c>
      <c r="T133" s="5" t="s">
        <v>63</v>
      </c>
      <c r="U133" s="5" t="s">
        <v>63</v>
      </c>
      <c r="V133" s="5" t="s">
        <v>63</v>
      </c>
      <c r="W133" s="5" t="s">
        <v>63</v>
      </c>
      <c r="X133" s="14">
        <v>27</v>
      </c>
      <c r="Y133" s="21">
        <v>0.61224489795918369</v>
      </c>
      <c r="Z133" s="14">
        <v>39</v>
      </c>
      <c r="AA133" s="21">
        <v>0.88435374149659873</v>
      </c>
      <c r="AB133" s="14">
        <v>19</v>
      </c>
      <c r="AC133" s="21">
        <v>0.43083900226757366</v>
      </c>
      <c r="AD133" s="14">
        <v>144</v>
      </c>
      <c r="AE133" s="21">
        <v>3.2653061224489797</v>
      </c>
      <c r="AF133" s="14">
        <v>17</v>
      </c>
      <c r="AG133" s="21">
        <v>0.3854875283446712</v>
      </c>
      <c r="AH133" s="14">
        <v>65</v>
      </c>
      <c r="AI133" s="21">
        <v>1.473922902494331</v>
      </c>
      <c r="AJ133" s="14">
        <v>219</v>
      </c>
      <c r="AK133" s="21">
        <v>4.9659863945578229</v>
      </c>
      <c r="AL133" s="14">
        <v>6</v>
      </c>
      <c r="AM133" s="21">
        <v>0.13605442176870747</v>
      </c>
    </row>
    <row r="134" spans="1:39" s="14" customFormat="1" x14ac:dyDescent="0.15">
      <c r="A134" s="19"/>
      <c r="B134" s="20"/>
      <c r="C134" s="15"/>
      <c r="F134" s="15"/>
      <c r="G134" s="15"/>
      <c r="H134" s="16"/>
      <c r="K134" s="15"/>
      <c r="L134" s="15"/>
      <c r="M134" s="5"/>
      <c r="N134" s="15"/>
      <c r="O134" s="5"/>
      <c r="Q134" s="5"/>
      <c r="S134" s="5"/>
      <c r="T134" s="5"/>
      <c r="U134" s="5"/>
      <c r="V134" s="5"/>
      <c r="W134" s="5"/>
      <c r="Y134" s="5"/>
      <c r="AA134" s="5"/>
      <c r="AC134" s="5"/>
      <c r="AE134" s="5"/>
      <c r="AG134" s="5"/>
      <c r="AI134" s="5"/>
      <c r="AK134" s="5"/>
      <c r="AM134" s="5"/>
    </row>
    <row r="135" spans="1:39" s="14" customFormat="1" x14ac:dyDescent="0.15">
      <c r="A135" s="19">
        <v>382</v>
      </c>
      <c r="B135" s="20" t="s">
        <v>135</v>
      </c>
      <c r="C135" s="15">
        <v>6652</v>
      </c>
      <c r="D135" s="14">
        <v>877</v>
      </c>
      <c r="E135" s="14">
        <v>0</v>
      </c>
      <c r="F135" s="15">
        <v>7529</v>
      </c>
      <c r="G135" s="15">
        <v>4695</v>
      </c>
      <c r="H135" s="16">
        <v>61.2</v>
      </c>
      <c r="I135" s="14">
        <v>830</v>
      </c>
      <c r="J135" s="14">
        <v>48</v>
      </c>
      <c r="K135" s="15">
        <v>4647</v>
      </c>
      <c r="L135" s="15">
        <v>2145</v>
      </c>
      <c r="M135" s="21">
        <v>46.158812136862494</v>
      </c>
      <c r="N135" s="15">
        <v>1105</v>
      </c>
      <c r="O135" s="21">
        <v>23.778782009898862</v>
      </c>
      <c r="P135" s="14">
        <v>790</v>
      </c>
      <c r="Q135" s="21">
        <v>17.000215192597377</v>
      </c>
      <c r="R135" s="14">
        <v>60</v>
      </c>
      <c r="S135" s="21">
        <v>1.2911555842479019</v>
      </c>
      <c r="T135" s="5" t="s">
        <v>63</v>
      </c>
      <c r="U135" s="5" t="s">
        <v>63</v>
      </c>
      <c r="V135" s="5" t="s">
        <v>63</v>
      </c>
      <c r="W135" s="5" t="s">
        <v>63</v>
      </c>
      <c r="X135" s="14">
        <v>16</v>
      </c>
      <c r="Y135" s="21">
        <v>0.34430815579944052</v>
      </c>
      <c r="Z135" s="14">
        <v>35</v>
      </c>
      <c r="AA135" s="21">
        <v>0.75317409081127606</v>
      </c>
      <c r="AB135" s="14">
        <v>22</v>
      </c>
      <c r="AC135" s="21">
        <v>0.47342371422423069</v>
      </c>
      <c r="AD135" s="14">
        <v>153</v>
      </c>
      <c r="AE135" s="21">
        <v>3.2924467398321502</v>
      </c>
      <c r="AF135" s="14">
        <v>18</v>
      </c>
      <c r="AG135" s="21">
        <v>0.38734667527437056</v>
      </c>
      <c r="AH135" s="14">
        <v>104</v>
      </c>
      <c r="AI135" s="21">
        <v>2.2380030126963635</v>
      </c>
      <c r="AJ135" s="14">
        <v>185</v>
      </c>
      <c r="AK135" s="21">
        <v>3.9810630514310308</v>
      </c>
      <c r="AL135" s="14">
        <v>14</v>
      </c>
      <c r="AM135" s="21">
        <v>0.30126963632451043</v>
      </c>
    </row>
    <row r="136" spans="1:39" s="14" customFormat="1" x14ac:dyDescent="0.15">
      <c r="A136" s="19"/>
      <c r="B136" s="20"/>
      <c r="C136" s="15"/>
      <c r="F136" s="15"/>
      <c r="G136" s="15"/>
      <c r="H136" s="16"/>
      <c r="K136" s="15"/>
      <c r="L136" s="15"/>
      <c r="M136" s="5"/>
      <c r="N136" s="15"/>
      <c r="O136" s="5"/>
      <c r="Q136" s="5"/>
      <c r="S136" s="5"/>
      <c r="T136" s="5"/>
      <c r="U136" s="5"/>
      <c r="V136" s="5"/>
      <c r="W136" s="5"/>
      <c r="Y136" s="5"/>
      <c r="AA136" s="5"/>
      <c r="AC136" s="5"/>
      <c r="AE136" s="5"/>
      <c r="AG136" s="5"/>
      <c r="AI136" s="5"/>
      <c r="AK136" s="5"/>
      <c r="AM136" s="5"/>
    </row>
    <row r="137" spans="1:39" s="14" customFormat="1" x14ac:dyDescent="0.15">
      <c r="A137" s="19">
        <v>383</v>
      </c>
      <c r="B137" s="20" t="s">
        <v>136</v>
      </c>
      <c r="C137" s="15">
        <v>5861</v>
      </c>
      <c r="D137" s="14">
        <v>553</v>
      </c>
      <c r="E137" s="14">
        <v>1</v>
      </c>
      <c r="F137" s="15">
        <v>6415</v>
      </c>
      <c r="G137" s="15">
        <v>3602</v>
      </c>
      <c r="H137" s="16">
        <v>55.7</v>
      </c>
      <c r="I137" s="14">
        <v>498</v>
      </c>
      <c r="J137" s="14">
        <v>27</v>
      </c>
      <c r="K137" s="15">
        <v>3575</v>
      </c>
      <c r="L137" s="15">
        <v>1696</v>
      </c>
      <c r="M137" s="21">
        <v>47.44055944055944</v>
      </c>
      <c r="N137" s="14">
        <v>978</v>
      </c>
      <c r="O137" s="21">
        <v>27.356643356643357</v>
      </c>
      <c r="P137" s="14">
        <v>347</v>
      </c>
      <c r="Q137" s="21">
        <v>9.7062937062937067</v>
      </c>
      <c r="R137" s="14">
        <v>65</v>
      </c>
      <c r="S137" s="21">
        <v>1.8181818181818181</v>
      </c>
      <c r="T137" s="5" t="s">
        <v>63</v>
      </c>
      <c r="U137" s="5" t="s">
        <v>63</v>
      </c>
      <c r="V137" s="5" t="s">
        <v>63</v>
      </c>
      <c r="W137" s="5" t="s">
        <v>63</v>
      </c>
      <c r="X137" s="14">
        <v>27</v>
      </c>
      <c r="Y137" s="21">
        <v>0.75524475524475521</v>
      </c>
      <c r="Z137" s="14">
        <v>36</v>
      </c>
      <c r="AA137" s="21">
        <v>1.0069930069930071</v>
      </c>
      <c r="AB137" s="14">
        <v>23</v>
      </c>
      <c r="AC137" s="21">
        <v>0.64335664335664333</v>
      </c>
      <c r="AD137" s="14">
        <v>114</v>
      </c>
      <c r="AE137" s="21">
        <v>3.1888111888111887</v>
      </c>
      <c r="AF137" s="14">
        <v>4</v>
      </c>
      <c r="AG137" s="21">
        <v>0.11188811188811189</v>
      </c>
      <c r="AH137" s="14">
        <v>68</v>
      </c>
      <c r="AI137" s="21">
        <v>1.9020979020979021</v>
      </c>
      <c r="AJ137" s="14">
        <v>209</v>
      </c>
      <c r="AK137" s="21">
        <v>5.8461538461538458</v>
      </c>
      <c r="AL137" s="14">
        <v>8</v>
      </c>
      <c r="AM137" s="21">
        <v>0.22377622377622378</v>
      </c>
    </row>
    <row r="138" spans="1:39" s="14" customFormat="1" x14ac:dyDescent="0.15">
      <c r="A138" s="19"/>
      <c r="B138" s="20"/>
      <c r="C138" s="15"/>
      <c r="F138" s="15"/>
      <c r="G138" s="15"/>
      <c r="H138" s="16"/>
      <c r="K138" s="15"/>
      <c r="L138" s="15"/>
      <c r="M138" s="5"/>
      <c r="O138" s="5"/>
      <c r="Q138" s="5"/>
      <c r="S138" s="5"/>
      <c r="T138" s="5"/>
      <c r="U138" s="5"/>
      <c r="V138" s="5"/>
      <c r="W138" s="5"/>
      <c r="Y138" s="5"/>
      <c r="AA138" s="5"/>
      <c r="AC138" s="5"/>
      <c r="AE138" s="5"/>
      <c r="AG138" s="5"/>
      <c r="AI138" s="5"/>
      <c r="AK138" s="5"/>
      <c r="AM138" s="5"/>
    </row>
    <row r="139" spans="1:39" s="14" customFormat="1" x14ac:dyDescent="0.15">
      <c r="A139" s="19">
        <v>384</v>
      </c>
      <c r="B139" s="20" t="s">
        <v>137</v>
      </c>
      <c r="C139" s="15">
        <v>3989</v>
      </c>
      <c r="D139" s="14">
        <v>494</v>
      </c>
      <c r="E139" s="14">
        <v>0</v>
      </c>
      <c r="F139" s="15">
        <v>4483</v>
      </c>
      <c r="G139" s="15">
        <v>3138</v>
      </c>
      <c r="H139" s="16">
        <v>69.3</v>
      </c>
      <c r="I139" s="14">
        <v>452</v>
      </c>
      <c r="J139" s="14">
        <v>46</v>
      </c>
      <c r="K139" s="15">
        <v>3092</v>
      </c>
      <c r="L139" s="15">
        <v>1424</v>
      </c>
      <c r="M139" s="21">
        <v>46.054333764553682</v>
      </c>
      <c r="N139" s="14">
        <v>879</v>
      </c>
      <c r="O139" s="21">
        <v>28.428201811125486</v>
      </c>
      <c r="P139" s="14">
        <v>404</v>
      </c>
      <c r="Q139" s="21">
        <v>13.065976714100906</v>
      </c>
      <c r="R139" s="14">
        <v>47</v>
      </c>
      <c r="S139" s="21">
        <v>1.5200517464424321</v>
      </c>
      <c r="T139" s="5" t="s">
        <v>63</v>
      </c>
      <c r="U139" s="5" t="s">
        <v>63</v>
      </c>
      <c r="V139" s="5" t="s">
        <v>63</v>
      </c>
      <c r="W139" s="5" t="s">
        <v>63</v>
      </c>
      <c r="X139" s="14">
        <v>19</v>
      </c>
      <c r="Y139" s="21">
        <v>0.61448900388098326</v>
      </c>
      <c r="Z139" s="14">
        <v>22</v>
      </c>
      <c r="AA139" s="21">
        <v>0.71151358344113846</v>
      </c>
      <c r="AB139" s="14">
        <v>14</v>
      </c>
      <c r="AC139" s="21">
        <v>0.45278137128072443</v>
      </c>
      <c r="AD139" s="14">
        <v>103</v>
      </c>
      <c r="AE139" s="21">
        <v>3.3311772315653299</v>
      </c>
      <c r="AF139" s="14">
        <v>1</v>
      </c>
      <c r="AG139" s="21">
        <v>3.2341526520051747E-2</v>
      </c>
      <c r="AH139" s="14">
        <v>22</v>
      </c>
      <c r="AI139" s="21">
        <v>0.71151358344113846</v>
      </c>
      <c r="AJ139" s="14">
        <v>149</v>
      </c>
      <c r="AK139" s="21">
        <v>4.8188874514877096</v>
      </c>
      <c r="AL139" s="14">
        <v>8</v>
      </c>
      <c r="AM139" s="21">
        <v>0.25873221216041398</v>
      </c>
    </row>
    <row r="140" spans="1:39" s="14" customFormat="1" x14ac:dyDescent="0.15">
      <c r="A140" s="19"/>
      <c r="B140" s="20"/>
      <c r="C140" s="15"/>
      <c r="F140" s="15"/>
      <c r="G140" s="15"/>
      <c r="H140" s="16"/>
      <c r="K140" s="15"/>
      <c r="L140" s="15"/>
      <c r="M140" s="5"/>
      <c r="O140" s="5"/>
      <c r="Q140" s="5"/>
      <c r="S140" s="5"/>
      <c r="T140" s="5"/>
      <c r="U140" s="5"/>
      <c r="V140" s="5"/>
      <c r="W140" s="5"/>
      <c r="Y140" s="5"/>
      <c r="AA140" s="5"/>
      <c r="AC140" s="5"/>
      <c r="AE140" s="5"/>
      <c r="AG140" s="5"/>
      <c r="AI140" s="5"/>
      <c r="AK140" s="5"/>
      <c r="AM140" s="5"/>
    </row>
    <row r="141" spans="1:39" s="14" customFormat="1" x14ac:dyDescent="0.15">
      <c r="A141" s="19">
        <v>385</v>
      </c>
      <c r="B141" s="20" t="s">
        <v>138</v>
      </c>
      <c r="C141" s="15">
        <v>3968</v>
      </c>
      <c r="D141" s="14">
        <v>317</v>
      </c>
      <c r="E141" s="14">
        <v>0</v>
      </c>
      <c r="F141" s="15">
        <v>4285</v>
      </c>
      <c r="G141" s="15">
        <v>2602</v>
      </c>
      <c r="H141" s="16">
        <v>60</v>
      </c>
      <c r="I141" s="14">
        <v>302</v>
      </c>
      <c r="J141" s="14">
        <v>14</v>
      </c>
      <c r="K141" s="15">
        <v>2588</v>
      </c>
      <c r="L141" s="15">
        <v>1199</v>
      </c>
      <c r="M141" s="21">
        <v>46.329211746522411</v>
      </c>
      <c r="N141" s="14">
        <v>793</v>
      </c>
      <c r="O141" s="21">
        <v>30.641421947449771</v>
      </c>
      <c r="P141" s="14">
        <v>236</v>
      </c>
      <c r="Q141" s="21">
        <v>9.1190108191653785</v>
      </c>
      <c r="R141" s="14">
        <v>55</v>
      </c>
      <c r="S141" s="21">
        <v>2.1251931993817621</v>
      </c>
      <c r="T141" s="5" t="s">
        <v>63</v>
      </c>
      <c r="U141" s="5" t="s">
        <v>63</v>
      </c>
      <c r="V141" s="5" t="s">
        <v>63</v>
      </c>
      <c r="W141" s="5" t="s">
        <v>63</v>
      </c>
      <c r="X141" s="14">
        <v>24</v>
      </c>
      <c r="Y141" s="21">
        <v>0.92735703245749612</v>
      </c>
      <c r="Z141" s="14">
        <v>26</v>
      </c>
      <c r="AA141" s="21">
        <v>1.0046367851622875</v>
      </c>
      <c r="AB141" s="14">
        <v>6</v>
      </c>
      <c r="AC141" s="21">
        <v>0.23183925811437403</v>
      </c>
      <c r="AD141" s="14">
        <v>96</v>
      </c>
      <c r="AE141" s="21">
        <v>3.7094281298299845</v>
      </c>
      <c r="AF141" s="14">
        <v>5</v>
      </c>
      <c r="AG141" s="21">
        <v>0.19319938176197837</v>
      </c>
      <c r="AH141" s="14">
        <v>21</v>
      </c>
      <c r="AI141" s="21">
        <v>0.81143740340030912</v>
      </c>
      <c r="AJ141" s="14">
        <v>122</v>
      </c>
      <c r="AK141" s="21">
        <v>4.7140649149922718</v>
      </c>
      <c r="AL141" s="14">
        <v>5</v>
      </c>
      <c r="AM141" s="21">
        <v>0.19319938176197837</v>
      </c>
    </row>
    <row r="142" spans="1:39" s="14" customFormat="1" x14ac:dyDescent="0.15">
      <c r="A142" s="19"/>
      <c r="B142" s="20"/>
      <c r="C142" s="15"/>
      <c r="F142" s="15"/>
      <c r="G142" s="15"/>
      <c r="H142" s="16"/>
      <c r="K142" s="15"/>
      <c r="L142" s="15"/>
      <c r="M142" s="21"/>
      <c r="O142" s="21"/>
      <c r="Q142" s="21"/>
      <c r="S142" s="21"/>
      <c r="T142" s="5"/>
      <c r="U142" s="5"/>
      <c r="V142" s="5"/>
      <c r="W142" s="5"/>
      <c r="Y142" s="21"/>
      <c r="AA142" s="21"/>
      <c r="AC142" s="21"/>
      <c r="AE142" s="21"/>
      <c r="AG142" s="21"/>
      <c r="AI142" s="21"/>
      <c r="AK142" s="21"/>
      <c r="AM142" s="21"/>
    </row>
    <row r="143" spans="1:39" s="14" customFormat="1" x14ac:dyDescent="0.15">
      <c r="A143" s="19">
        <v>38</v>
      </c>
      <c r="B143" s="20" t="s">
        <v>136</v>
      </c>
      <c r="C143" s="15">
        <v>26750</v>
      </c>
      <c r="D143" s="15">
        <v>3037</v>
      </c>
      <c r="E143" s="14">
        <v>1</v>
      </c>
      <c r="F143" s="15">
        <v>29788</v>
      </c>
      <c r="G143" s="15">
        <v>18502</v>
      </c>
      <c r="H143" s="16">
        <v>61.3</v>
      </c>
      <c r="I143" s="15">
        <v>2831</v>
      </c>
      <c r="J143" s="14">
        <v>190</v>
      </c>
      <c r="K143" s="15">
        <v>18312</v>
      </c>
      <c r="L143" s="15">
        <v>8597</v>
      </c>
      <c r="M143" s="21">
        <v>46.947356924421143</v>
      </c>
      <c r="N143" s="15">
        <v>4998</v>
      </c>
      <c r="O143" s="21">
        <v>27.293577981651374</v>
      </c>
      <c r="P143" s="15">
        <v>2185</v>
      </c>
      <c r="Q143" s="21">
        <v>11.93206640454347</v>
      </c>
      <c r="R143" s="14">
        <v>317</v>
      </c>
      <c r="S143" s="21">
        <v>1.7311052861511578</v>
      </c>
      <c r="T143" s="5" t="s">
        <v>63</v>
      </c>
      <c r="U143" s="5" t="s">
        <v>63</v>
      </c>
      <c r="V143" s="5" t="s">
        <v>63</v>
      </c>
      <c r="W143" s="5" t="s">
        <v>63</v>
      </c>
      <c r="X143" s="14">
        <v>113</v>
      </c>
      <c r="Y143" s="21">
        <v>0.61708169506334642</v>
      </c>
      <c r="Z143" s="14">
        <v>158</v>
      </c>
      <c r="AA143" s="21">
        <v>0.86282219309742247</v>
      </c>
      <c r="AB143" s="14">
        <v>84</v>
      </c>
      <c r="AC143" s="21">
        <v>0.45871559633027525</v>
      </c>
      <c r="AD143" s="14">
        <v>610</v>
      </c>
      <c r="AE143" s="21">
        <v>3.3311489733508082</v>
      </c>
      <c r="AF143" s="14">
        <v>45</v>
      </c>
      <c r="AG143" s="21">
        <v>0.24574049803407602</v>
      </c>
      <c r="AH143" s="14">
        <v>280</v>
      </c>
      <c r="AI143" s="21">
        <v>1.5290519877675841</v>
      </c>
      <c r="AJ143" s="14">
        <v>884</v>
      </c>
      <c r="AK143" s="21">
        <v>4.8274355613805158</v>
      </c>
      <c r="AL143" s="14">
        <v>41</v>
      </c>
      <c r="AM143" s="21">
        <v>0.2238968982088248</v>
      </c>
    </row>
    <row r="144" spans="1:39" s="14" customFormat="1" x14ac:dyDescent="0.15">
      <c r="A144" s="19"/>
      <c r="B144" s="20"/>
      <c r="C144" s="15"/>
      <c r="D144" s="15"/>
      <c r="F144" s="15"/>
      <c r="G144" s="15"/>
      <c r="H144" s="16"/>
      <c r="I144" s="15"/>
      <c r="K144" s="15"/>
      <c r="L144" s="15"/>
      <c r="M144" s="21"/>
      <c r="N144" s="15"/>
      <c r="O144" s="21"/>
      <c r="P144" s="15"/>
      <c r="Q144" s="21"/>
      <c r="S144" s="21"/>
      <c r="T144" s="5"/>
      <c r="U144" s="5"/>
      <c r="V144" s="5"/>
      <c r="W144" s="5"/>
      <c r="Y144" s="21"/>
      <c r="AA144" s="21"/>
      <c r="AC144" s="21"/>
      <c r="AE144" s="21"/>
      <c r="AG144" s="21"/>
      <c r="AI144" s="21"/>
      <c r="AK144" s="21"/>
      <c r="AM144" s="21"/>
    </row>
    <row r="145" spans="1:39" s="14" customFormat="1" x14ac:dyDescent="0.15">
      <c r="A145" s="19">
        <v>411</v>
      </c>
      <c r="B145" s="20" t="s">
        <v>139</v>
      </c>
      <c r="C145" s="15">
        <v>273</v>
      </c>
      <c r="D145" s="15">
        <v>43</v>
      </c>
      <c r="E145" s="14">
        <v>0</v>
      </c>
      <c r="F145" s="15">
        <v>316</v>
      </c>
      <c r="G145" s="15">
        <v>248</v>
      </c>
      <c r="H145" s="23">
        <v>77.069999999999993</v>
      </c>
      <c r="I145" s="15">
        <v>41</v>
      </c>
      <c r="J145" s="14">
        <v>1</v>
      </c>
      <c r="K145" s="15">
        <v>247</v>
      </c>
      <c r="L145" s="15">
        <v>56</v>
      </c>
      <c r="M145" s="21">
        <v>22.67</v>
      </c>
      <c r="N145" s="15">
        <v>161</v>
      </c>
      <c r="O145" s="21">
        <v>65.180000000000007</v>
      </c>
      <c r="P145" s="15">
        <v>8</v>
      </c>
      <c r="Q145" s="21">
        <v>3.24</v>
      </c>
      <c r="R145" s="14">
        <v>1</v>
      </c>
      <c r="S145" s="21">
        <v>0.4</v>
      </c>
      <c r="T145" s="5" t="s">
        <v>63</v>
      </c>
      <c r="U145" s="5" t="s">
        <v>63</v>
      </c>
      <c r="V145" s="5" t="s">
        <v>63</v>
      </c>
      <c r="W145" s="5" t="s">
        <v>63</v>
      </c>
      <c r="X145" s="14">
        <v>0</v>
      </c>
      <c r="Y145" s="21">
        <v>0</v>
      </c>
      <c r="Z145" s="14">
        <v>1</v>
      </c>
      <c r="AA145" s="21">
        <v>0.4</v>
      </c>
      <c r="AB145" s="14">
        <v>0</v>
      </c>
      <c r="AC145" s="21">
        <v>0</v>
      </c>
      <c r="AD145" s="14">
        <v>18</v>
      </c>
      <c r="AE145" s="21">
        <v>7.29</v>
      </c>
      <c r="AF145" s="14">
        <v>0</v>
      </c>
      <c r="AG145" s="21">
        <v>0</v>
      </c>
      <c r="AH145" s="14">
        <v>1</v>
      </c>
      <c r="AI145" s="21">
        <v>0.4</v>
      </c>
      <c r="AJ145" s="14">
        <v>1</v>
      </c>
      <c r="AK145" s="21">
        <v>0.4</v>
      </c>
      <c r="AL145" s="14">
        <v>0</v>
      </c>
      <c r="AM145" s="21">
        <v>0</v>
      </c>
    </row>
    <row r="146" spans="1:39" s="14" customFormat="1" x14ac:dyDescent="0.15">
      <c r="A146" s="19"/>
      <c r="B146" s="20"/>
      <c r="C146" s="15"/>
      <c r="D146" s="15"/>
      <c r="F146" s="15"/>
      <c r="G146" s="15"/>
      <c r="H146" s="16"/>
      <c r="I146" s="15"/>
      <c r="K146" s="15"/>
      <c r="L146" s="15"/>
      <c r="M146" s="21"/>
      <c r="N146" s="15"/>
      <c r="O146" s="21"/>
      <c r="P146" s="15"/>
      <c r="Q146" s="21"/>
      <c r="S146" s="21"/>
      <c r="T146" s="5"/>
      <c r="U146" s="5"/>
      <c r="V146" s="5"/>
      <c r="W146" s="5"/>
      <c r="Y146" s="21"/>
      <c r="AA146" s="21"/>
      <c r="AC146" s="21"/>
      <c r="AE146" s="21"/>
      <c r="AG146" s="21"/>
      <c r="AI146" s="21"/>
      <c r="AK146" s="21"/>
      <c r="AM146" s="21"/>
    </row>
    <row r="147" spans="1:39" s="14" customFormat="1" x14ac:dyDescent="0.15">
      <c r="A147" s="19">
        <v>411</v>
      </c>
      <c r="B147" s="20" t="s">
        <v>139</v>
      </c>
      <c r="C147" s="15">
        <v>273</v>
      </c>
      <c r="D147" s="15">
        <v>43</v>
      </c>
      <c r="E147" s="14">
        <v>0</v>
      </c>
      <c r="F147" s="15">
        <v>316</v>
      </c>
      <c r="G147" s="15">
        <v>248</v>
      </c>
      <c r="H147" s="23">
        <v>77.069999999999993</v>
      </c>
      <c r="I147" s="15">
        <v>41</v>
      </c>
      <c r="J147" s="14">
        <v>1</v>
      </c>
      <c r="K147" s="15">
        <v>247</v>
      </c>
      <c r="L147" s="15">
        <v>56</v>
      </c>
      <c r="M147" s="21">
        <v>22.67</v>
      </c>
      <c r="N147" s="15">
        <v>161</v>
      </c>
      <c r="O147" s="21">
        <v>65.180000000000007</v>
      </c>
      <c r="P147" s="15">
        <v>8</v>
      </c>
      <c r="Q147" s="21">
        <v>3.24</v>
      </c>
      <c r="R147" s="14">
        <v>1</v>
      </c>
      <c r="S147" s="21">
        <v>0.4</v>
      </c>
      <c r="T147" s="5" t="s">
        <v>63</v>
      </c>
      <c r="U147" s="5" t="s">
        <v>63</v>
      </c>
      <c r="V147" s="5" t="s">
        <v>63</v>
      </c>
      <c r="W147" s="5" t="s">
        <v>63</v>
      </c>
      <c r="X147" s="14">
        <v>0</v>
      </c>
      <c r="Y147" s="21">
        <v>0</v>
      </c>
      <c r="Z147" s="14">
        <v>1</v>
      </c>
      <c r="AA147" s="21">
        <v>0.4</v>
      </c>
      <c r="AB147" s="14">
        <v>0</v>
      </c>
      <c r="AC147" s="21">
        <v>0</v>
      </c>
      <c r="AD147" s="14">
        <v>18</v>
      </c>
      <c r="AE147" s="21">
        <v>7.29</v>
      </c>
      <c r="AF147" s="14">
        <v>0</v>
      </c>
      <c r="AG147" s="21">
        <v>0</v>
      </c>
      <c r="AH147" s="14">
        <v>1</v>
      </c>
      <c r="AI147" s="21">
        <v>0.4</v>
      </c>
      <c r="AJ147" s="14">
        <v>1</v>
      </c>
      <c r="AK147" s="21">
        <v>0.4</v>
      </c>
      <c r="AL147" s="14">
        <v>0</v>
      </c>
      <c r="AM147" s="21">
        <v>0</v>
      </c>
    </row>
    <row r="148" spans="1:39" s="14" customFormat="1" x14ac:dyDescent="0.15">
      <c r="A148" s="19"/>
      <c r="B148" s="20"/>
      <c r="C148" s="15"/>
      <c r="D148" s="15"/>
      <c r="F148" s="15"/>
      <c r="G148" s="15"/>
      <c r="H148" s="16"/>
      <c r="I148" s="15"/>
      <c r="K148" s="15"/>
      <c r="L148" s="15"/>
      <c r="M148" s="5"/>
      <c r="N148" s="15"/>
      <c r="O148" s="5"/>
      <c r="P148" s="15"/>
      <c r="Q148" s="5"/>
      <c r="S148" s="5"/>
      <c r="T148" s="5"/>
      <c r="U148" s="5"/>
      <c r="V148" s="5"/>
      <c r="W148" s="5"/>
      <c r="Y148" s="5"/>
      <c r="AA148" s="5"/>
      <c r="AC148" s="5"/>
      <c r="AE148" s="5"/>
      <c r="AG148" s="5"/>
      <c r="AI148" s="5"/>
      <c r="AK148" s="5"/>
      <c r="AM148" s="5"/>
    </row>
    <row r="149" spans="1:39" s="14" customFormat="1" x14ac:dyDescent="0.15">
      <c r="A149" s="19">
        <v>421</v>
      </c>
      <c r="B149" s="20" t="s">
        <v>140</v>
      </c>
      <c r="C149" s="15">
        <v>4446</v>
      </c>
      <c r="D149" s="14">
        <v>582</v>
      </c>
      <c r="E149" s="14">
        <v>0</v>
      </c>
      <c r="F149" s="15">
        <v>5028</v>
      </c>
      <c r="G149" s="15">
        <v>3225</v>
      </c>
      <c r="H149" s="16">
        <v>63.1</v>
      </c>
      <c r="I149" s="14">
        <v>546</v>
      </c>
      <c r="J149" s="14">
        <v>26</v>
      </c>
      <c r="K149" s="15">
        <v>3199</v>
      </c>
      <c r="L149" s="15">
        <v>1547</v>
      </c>
      <c r="M149" s="21">
        <v>48.358862144420137</v>
      </c>
      <c r="N149" s="14">
        <v>567</v>
      </c>
      <c r="O149" s="21">
        <v>17.724288840262581</v>
      </c>
      <c r="P149" s="14">
        <v>707</v>
      </c>
      <c r="Q149" s="21">
        <v>22.100656455142232</v>
      </c>
      <c r="R149" s="14">
        <v>35</v>
      </c>
      <c r="S149" s="21">
        <v>1.0940919037199124</v>
      </c>
      <c r="T149" s="5" t="s">
        <v>63</v>
      </c>
      <c r="U149" s="5" t="s">
        <v>63</v>
      </c>
      <c r="V149" s="5" t="s">
        <v>63</v>
      </c>
      <c r="W149" s="5" t="s">
        <v>63</v>
      </c>
      <c r="X149" s="14">
        <v>13</v>
      </c>
      <c r="Y149" s="21">
        <v>0.40637699281025325</v>
      </c>
      <c r="Z149" s="14">
        <v>25</v>
      </c>
      <c r="AA149" s="21">
        <v>0.78149421694279453</v>
      </c>
      <c r="AB149" s="14">
        <v>12</v>
      </c>
      <c r="AC149" s="21">
        <v>0.37511722413254139</v>
      </c>
      <c r="AD149" s="14">
        <v>81</v>
      </c>
      <c r="AE149" s="21">
        <v>2.5320412628946545</v>
      </c>
      <c r="AF149" s="14">
        <v>9</v>
      </c>
      <c r="AG149" s="21">
        <v>0.28133791809940606</v>
      </c>
      <c r="AH149" s="14">
        <v>88</v>
      </c>
      <c r="AI149" s="21">
        <v>2.7508596436386372</v>
      </c>
      <c r="AJ149" s="14">
        <v>103</v>
      </c>
      <c r="AK149" s="21">
        <v>3.2197561738043139</v>
      </c>
      <c r="AL149" s="14">
        <v>12</v>
      </c>
      <c r="AM149" s="21">
        <v>0.37511722413254139</v>
      </c>
    </row>
    <row r="150" spans="1:39" s="14" customFormat="1" x14ac:dyDescent="0.15">
      <c r="A150" s="19"/>
      <c r="B150" s="20"/>
      <c r="C150" s="15"/>
      <c r="F150" s="15"/>
      <c r="G150" s="15"/>
      <c r="H150" s="16"/>
      <c r="K150" s="15"/>
      <c r="L150" s="15"/>
      <c r="M150" s="5"/>
      <c r="O150" s="5"/>
      <c r="Q150" s="5"/>
      <c r="S150" s="5"/>
      <c r="T150" s="5"/>
      <c r="U150" s="5"/>
      <c r="V150" s="5"/>
      <c r="W150" s="5"/>
      <c r="Y150" s="5"/>
      <c r="AA150" s="5"/>
      <c r="AC150" s="5"/>
      <c r="AE150" s="5"/>
      <c r="AG150" s="5"/>
      <c r="AI150" s="5"/>
      <c r="AK150" s="5"/>
      <c r="AM150" s="5"/>
    </row>
    <row r="151" spans="1:39" s="14" customFormat="1" x14ac:dyDescent="0.15">
      <c r="A151" s="19">
        <v>422</v>
      </c>
      <c r="B151" s="20" t="s">
        <v>141</v>
      </c>
      <c r="C151" s="15">
        <v>4175</v>
      </c>
      <c r="D151" s="14">
        <v>649</v>
      </c>
      <c r="E151" s="14">
        <v>0</v>
      </c>
      <c r="F151" s="15">
        <v>4824</v>
      </c>
      <c r="G151" s="15">
        <v>3038</v>
      </c>
      <c r="H151" s="16">
        <v>62</v>
      </c>
      <c r="I151" s="14">
        <v>598</v>
      </c>
      <c r="J151" s="14">
        <v>35</v>
      </c>
      <c r="K151" s="15">
        <v>3003</v>
      </c>
      <c r="L151" s="15">
        <v>1416</v>
      </c>
      <c r="M151" s="21">
        <v>47.152847152847158</v>
      </c>
      <c r="N151" s="14">
        <v>509</v>
      </c>
      <c r="O151" s="21">
        <v>16.949716949716951</v>
      </c>
      <c r="P151" s="14">
        <v>710</v>
      </c>
      <c r="Q151" s="21">
        <v>23.643023643023643</v>
      </c>
      <c r="R151" s="14">
        <v>27</v>
      </c>
      <c r="S151" s="21">
        <v>0.89910089910089919</v>
      </c>
      <c r="T151" s="5" t="s">
        <v>63</v>
      </c>
      <c r="U151" s="5" t="s">
        <v>63</v>
      </c>
      <c r="V151" s="5" t="s">
        <v>63</v>
      </c>
      <c r="W151" s="5" t="s">
        <v>63</v>
      </c>
      <c r="X151" s="14">
        <v>15</v>
      </c>
      <c r="Y151" s="21">
        <v>0.49950049950049952</v>
      </c>
      <c r="Z151" s="14">
        <v>27</v>
      </c>
      <c r="AA151" s="21">
        <v>0.89910089910089919</v>
      </c>
      <c r="AB151" s="14">
        <v>28</v>
      </c>
      <c r="AC151" s="21">
        <v>0.93240093240093236</v>
      </c>
      <c r="AD151" s="14">
        <v>77</v>
      </c>
      <c r="AE151" s="21">
        <v>2.5641025641025639</v>
      </c>
      <c r="AF151" s="14">
        <v>6</v>
      </c>
      <c r="AG151" s="21">
        <v>0.19980019980019981</v>
      </c>
      <c r="AH151" s="14">
        <v>101</v>
      </c>
      <c r="AI151" s="21">
        <v>3.3633033633033631</v>
      </c>
      <c r="AJ151" s="14">
        <v>77</v>
      </c>
      <c r="AK151" s="21">
        <v>2.5641025641025639</v>
      </c>
      <c r="AL151" s="14">
        <v>10</v>
      </c>
      <c r="AM151" s="21">
        <v>0.33300033300033299</v>
      </c>
    </row>
    <row r="152" spans="1:39" s="14" customFormat="1" x14ac:dyDescent="0.15">
      <c r="A152" s="19"/>
      <c r="B152" s="20"/>
      <c r="C152" s="15"/>
      <c r="F152" s="15"/>
      <c r="G152" s="15"/>
      <c r="H152" s="16"/>
      <c r="K152" s="15"/>
      <c r="L152" s="15"/>
      <c r="M152" s="5"/>
      <c r="O152" s="5"/>
      <c r="Q152" s="5"/>
      <c r="S152" s="5"/>
      <c r="T152" s="5"/>
      <c r="U152" s="5"/>
      <c r="V152" s="5"/>
      <c r="W152" s="5"/>
      <c r="Y152" s="5"/>
      <c r="AA152" s="5"/>
      <c r="AC152" s="5"/>
      <c r="AE152" s="5"/>
      <c r="AG152" s="5"/>
      <c r="AI152" s="5"/>
      <c r="AK152" s="5"/>
      <c r="AM152" s="5"/>
    </row>
    <row r="153" spans="1:39" s="14" customFormat="1" x14ac:dyDescent="0.15">
      <c r="A153" s="19">
        <v>423</v>
      </c>
      <c r="B153" s="20" t="s">
        <v>142</v>
      </c>
      <c r="C153" s="15">
        <v>8039</v>
      </c>
      <c r="D153" s="15">
        <v>1557</v>
      </c>
      <c r="E153" s="14">
        <v>0</v>
      </c>
      <c r="F153" s="15">
        <v>9596</v>
      </c>
      <c r="G153" s="15">
        <v>6677</v>
      </c>
      <c r="H153" s="16">
        <v>68.2</v>
      </c>
      <c r="I153" s="15">
        <v>1460</v>
      </c>
      <c r="J153" s="14">
        <v>69</v>
      </c>
      <c r="K153" s="15">
        <v>6608</v>
      </c>
      <c r="L153" s="15">
        <v>2937</v>
      </c>
      <c r="M153" s="21">
        <v>44.446125907990314</v>
      </c>
      <c r="N153" s="15">
        <v>1797</v>
      </c>
      <c r="O153" s="21">
        <v>27.194309927360777</v>
      </c>
      <c r="P153" s="15">
        <v>1125</v>
      </c>
      <c r="Q153" s="21">
        <v>17.024818401937043</v>
      </c>
      <c r="R153" s="14">
        <v>63</v>
      </c>
      <c r="S153" s="21">
        <v>0.95338983050847459</v>
      </c>
      <c r="T153" s="5" t="s">
        <v>63</v>
      </c>
      <c r="U153" s="5" t="s">
        <v>63</v>
      </c>
      <c r="V153" s="5" t="s">
        <v>63</v>
      </c>
      <c r="W153" s="5" t="s">
        <v>63</v>
      </c>
      <c r="X153" s="14">
        <v>37</v>
      </c>
      <c r="Y153" s="21">
        <v>0.55992736077481842</v>
      </c>
      <c r="Z153" s="14">
        <v>47</v>
      </c>
      <c r="AA153" s="21">
        <v>0.71125907990314763</v>
      </c>
      <c r="AB153" s="14">
        <v>42</v>
      </c>
      <c r="AC153" s="21">
        <v>0.63559322033898313</v>
      </c>
      <c r="AD153" s="14">
        <v>214</v>
      </c>
      <c r="AE153" s="21">
        <v>3.2384987893462469</v>
      </c>
      <c r="AF153" s="14">
        <v>37</v>
      </c>
      <c r="AG153" s="21">
        <v>0.55992736077481842</v>
      </c>
      <c r="AH153" s="14">
        <v>114</v>
      </c>
      <c r="AI153" s="21">
        <v>1.7251815980629539</v>
      </c>
      <c r="AJ153" s="14">
        <v>187</v>
      </c>
      <c r="AK153" s="21">
        <v>2.829903147699758</v>
      </c>
      <c r="AL153" s="14">
        <v>8</v>
      </c>
      <c r="AM153" s="21">
        <v>0.12106537530266344</v>
      </c>
    </row>
    <row r="154" spans="1:39" s="14" customFormat="1" x14ac:dyDescent="0.15">
      <c r="A154" s="19"/>
      <c r="B154" s="20"/>
      <c r="C154" s="15"/>
      <c r="D154" s="15"/>
      <c r="F154" s="15"/>
      <c r="G154" s="15"/>
      <c r="H154" s="16"/>
      <c r="I154" s="15"/>
      <c r="K154" s="15"/>
      <c r="L154" s="15"/>
      <c r="M154" s="5"/>
      <c r="N154" s="15"/>
      <c r="O154" s="5"/>
      <c r="P154" s="15"/>
      <c r="Q154" s="5"/>
      <c r="S154" s="5"/>
      <c r="T154" s="5"/>
      <c r="U154" s="5"/>
      <c r="V154" s="5"/>
      <c r="W154" s="5"/>
      <c r="Y154" s="5"/>
      <c r="AA154" s="5"/>
      <c r="AC154" s="5"/>
      <c r="AE154" s="5"/>
      <c r="AG154" s="5"/>
      <c r="AI154" s="5"/>
      <c r="AK154" s="5"/>
      <c r="AM154" s="5"/>
    </row>
    <row r="155" spans="1:39" s="14" customFormat="1" x14ac:dyDescent="0.15">
      <c r="A155" s="19">
        <v>424</v>
      </c>
      <c r="B155" s="20" t="s">
        <v>143</v>
      </c>
      <c r="C155" s="14">
        <v>316</v>
      </c>
      <c r="D155" s="14">
        <v>25</v>
      </c>
      <c r="E155" s="14">
        <v>0</v>
      </c>
      <c r="F155" s="14">
        <v>341</v>
      </c>
      <c r="G155" s="14">
        <v>214</v>
      </c>
      <c r="H155" s="16">
        <v>62.8</v>
      </c>
      <c r="I155" s="14">
        <v>21</v>
      </c>
      <c r="J155" s="14">
        <v>2</v>
      </c>
      <c r="K155" s="14">
        <v>212</v>
      </c>
      <c r="L155" s="14">
        <v>104</v>
      </c>
      <c r="M155" s="21">
        <v>49.056603773584904</v>
      </c>
      <c r="N155" s="14">
        <v>47</v>
      </c>
      <c r="O155" s="21">
        <v>22.169811320754718</v>
      </c>
      <c r="P155" s="14">
        <v>20</v>
      </c>
      <c r="Q155" s="21">
        <v>9.433962264150944</v>
      </c>
      <c r="R155" s="14">
        <v>1</v>
      </c>
      <c r="S155" s="21">
        <v>0.47169811320754718</v>
      </c>
      <c r="T155" s="5" t="s">
        <v>63</v>
      </c>
      <c r="U155" s="5" t="s">
        <v>63</v>
      </c>
      <c r="V155" s="5" t="s">
        <v>63</v>
      </c>
      <c r="W155" s="5" t="s">
        <v>63</v>
      </c>
      <c r="X155" s="14">
        <v>0</v>
      </c>
      <c r="Y155" s="21">
        <v>0</v>
      </c>
      <c r="Z155" s="14">
        <v>2</v>
      </c>
      <c r="AA155" s="21">
        <v>0.94339622641509435</v>
      </c>
      <c r="AB155" s="14">
        <v>0</v>
      </c>
      <c r="AC155" s="21">
        <v>0</v>
      </c>
      <c r="AD155" s="14">
        <v>6</v>
      </c>
      <c r="AE155" s="21">
        <v>2.8301886792452833</v>
      </c>
      <c r="AF155" s="14">
        <v>1</v>
      </c>
      <c r="AG155" s="21">
        <v>0.47169811320754718</v>
      </c>
      <c r="AH155" s="14">
        <v>7</v>
      </c>
      <c r="AI155" s="21">
        <v>3.3018867924528301</v>
      </c>
      <c r="AJ155" s="14">
        <v>22</v>
      </c>
      <c r="AK155" s="21">
        <v>10.377358490566039</v>
      </c>
      <c r="AL155" s="14">
        <v>2</v>
      </c>
      <c r="AM155" s="21">
        <v>0.94339622641509435</v>
      </c>
    </row>
    <row r="156" spans="1:39" s="14" customFormat="1" x14ac:dyDescent="0.15">
      <c r="A156" s="19"/>
      <c r="B156" s="20"/>
      <c r="H156" s="16"/>
      <c r="M156" s="21"/>
      <c r="O156" s="21"/>
      <c r="Q156" s="21"/>
      <c r="S156" s="21"/>
      <c r="T156" s="5" t="s">
        <v>63</v>
      </c>
      <c r="U156" s="5" t="s">
        <v>63</v>
      </c>
      <c r="V156" s="5" t="s">
        <v>63</v>
      </c>
      <c r="W156" s="5" t="s">
        <v>63</v>
      </c>
      <c r="Y156" s="21"/>
      <c r="AA156" s="21"/>
      <c r="AC156" s="21"/>
      <c r="AE156" s="21"/>
      <c r="AG156" s="21"/>
      <c r="AI156" s="21"/>
      <c r="AK156" s="21"/>
      <c r="AM156" s="21"/>
    </row>
    <row r="157" spans="1:39" s="14" customFormat="1" x14ac:dyDescent="0.15">
      <c r="A157" s="19">
        <v>42</v>
      </c>
      <c r="B157" s="20" t="s">
        <v>144</v>
      </c>
      <c r="C157" s="15">
        <v>16976</v>
      </c>
      <c r="D157" s="15">
        <v>2813</v>
      </c>
      <c r="E157" s="14">
        <v>0</v>
      </c>
      <c r="F157" s="15">
        <v>19789</v>
      </c>
      <c r="G157" s="15">
        <v>13154</v>
      </c>
      <c r="H157" s="16">
        <v>65.3</v>
      </c>
      <c r="I157" s="15">
        <v>2625</v>
      </c>
      <c r="J157" s="14">
        <v>132</v>
      </c>
      <c r="K157" s="15">
        <v>13022</v>
      </c>
      <c r="L157" s="15">
        <v>6004</v>
      </c>
      <c r="M157" s="21">
        <v>46.106588849639074</v>
      </c>
      <c r="N157" s="15">
        <v>2920</v>
      </c>
      <c r="O157" s="21">
        <v>22.423590846260176</v>
      </c>
      <c r="P157" s="15">
        <v>2562</v>
      </c>
      <c r="Q157" s="21">
        <v>19.674397174013208</v>
      </c>
      <c r="R157" s="14">
        <v>126</v>
      </c>
      <c r="S157" s="21">
        <v>0.96759330363999385</v>
      </c>
      <c r="T157" s="5" t="s">
        <v>63</v>
      </c>
      <c r="U157" s="5" t="s">
        <v>63</v>
      </c>
      <c r="V157" s="5" t="s">
        <v>63</v>
      </c>
      <c r="W157" s="5" t="s">
        <v>63</v>
      </c>
      <c r="X157" s="14">
        <v>65</v>
      </c>
      <c r="Y157" s="21">
        <v>0.49915527568729845</v>
      </c>
      <c r="Z157" s="14">
        <v>101</v>
      </c>
      <c r="AA157" s="21">
        <v>0.77561050529872522</v>
      </c>
      <c r="AB157" s="14">
        <v>82</v>
      </c>
      <c r="AC157" s="21">
        <v>0.62970357855936099</v>
      </c>
      <c r="AD157" s="14">
        <v>378</v>
      </c>
      <c r="AE157" s="21">
        <v>2.9027799109199814</v>
      </c>
      <c r="AF157" s="14">
        <v>53</v>
      </c>
      <c r="AG157" s="21">
        <v>0.40700353248348947</v>
      </c>
      <c r="AH157" s="14">
        <v>310</v>
      </c>
      <c r="AI157" s="21">
        <v>2.3805866994317308</v>
      </c>
      <c r="AJ157" s="14">
        <v>389</v>
      </c>
      <c r="AK157" s="21">
        <v>2.9872523421901396</v>
      </c>
      <c r="AL157" s="14">
        <v>32</v>
      </c>
      <c r="AM157" s="21">
        <v>0.24573798187682386</v>
      </c>
    </row>
    <row r="158" spans="1:39" s="14" customFormat="1" x14ac:dyDescent="0.15">
      <c r="A158" s="19"/>
      <c r="B158" s="20"/>
      <c r="C158" s="15"/>
      <c r="D158" s="15"/>
      <c r="F158" s="15"/>
      <c r="G158" s="15"/>
      <c r="H158" s="16"/>
      <c r="I158" s="15"/>
      <c r="K158" s="15"/>
      <c r="L158" s="15"/>
      <c r="M158" s="5"/>
      <c r="N158" s="15"/>
      <c r="O158" s="5"/>
      <c r="P158" s="15"/>
      <c r="Q158" s="5"/>
      <c r="S158" s="5"/>
      <c r="T158" s="5"/>
      <c r="U158" s="5"/>
      <c r="V158" s="5"/>
      <c r="W158" s="5"/>
      <c r="Y158" s="5"/>
      <c r="AA158" s="5"/>
      <c r="AC158" s="5"/>
      <c r="AE158" s="5"/>
      <c r="AG158" s="5"/>
      <c r="AI158" s="5"/>
      <c r="AK158" s="5"/>
      <c r="AM158" s="5"/>
    </row>
    <row r="159" spans="1:39" s="14" customFormat="1" x14ac:dyDescent="0.15">
      <c r="A159" s="19">
        <v>431</v>
      </c>
      <c r="B159" s="20" t="s">
        <v>145</v>
      </c>
      <c r="C159" s="15">
        <v>2066</v>
      </c>
      <c r="D159" s="14">
        <v>192</v>
      </c>
      <c r="E159" s="14">
        <v>0</v>
      </c>
      <c r="F159" s="15">
        <v>2258</v>
      </c>
      <c r="G159" s="15">
        <v>1347</v>
      </c>
      <c r="H159" s="16">
        <v>59</v>
      </c>
      <c r="I159" s="14">
        <v>178</v>
      </c>
      <c r="J159" s="14">
        <v>19</v>
      </c>
      <c r="K159" s="15">
        <v>1328</v>
      </c>
      <c r="L159" s="14">
        <v>689</v>
      </c>
      <c r="M159" s="21">
        <v>51.882530120481931</v>
      </c>
      <c r="N159" s="14">
        <v>320</v>
      </c>
      <c r="O159" s="21">
        <v>24.096385542168676</v>
      </c>
      <c r="P159" s="14">
        <v>119</v>
      </c>
      <c r="Q159" s="21">
        <v>8.9608433734939759</v>
      </c>
      <c r="R159" s="14">
        <v>16</v>
      </c>
      <c r="S159" s="21">
        <v>1.2048192771084338</v>
      </c>
      <c r="T159" s="5" t="s">
        <v>63</v>
      </c>
      <c r="U159" s="5" t="s">
        <v>63</v>
      </c>
      <c r="V159" s="5" t="s">
        <v>63</v>
      </c>
      <c r="W159" s="5" t="s">
        <v>63</v>
      </c>
      <c r="X159" s="14">
        <v>5</v>
      </c>
      <c r="Y159" s="21">
        <v>0.37650602409638556</v>
      </c>
      <c r="Z159" s="14">
        <v>24</v>
      </c>
      <c r="AA159" s="21">
        <v>1.8072289156626504</v>
      </c>
      <c r="AB159" s="14">
        <v>9</v>
      </c>
      <c r="AC159" s="21">
        <v>0.67771084337349397</v>
      </c>
      <c r="AD159" s="14">
        <v>43</v>
      </c>
      <c r="AE159" s="21">
        <v>3.2379518072289155</v>
      </c>
      <c r="AF159" s="14">
        <v>7</v>
      </c>
      <c r="AG159" s="21">
        <v>0.52710843373493976</v>
      </c>
      <c r="AH159" s="14">
        <v>30</v>
      </c>
      <c r="AI159" s="21">
        <v>2.2590361445783134</v>
      </c>
      <c r="AJ159" s="14">
        <v>66</v>
      </c>
      <c r="AK159" s="21">
        <v>4.9698795180722888</v>
      </c>
      <c r="AL159" s="14">
        <v>0</v>
      </c>
      <c r="AM159" s="21">
        <v>0</v>
      </c>
    </row>
    <row r="160" spans="1:39" s="14" customFormat="1" x14ac:dyDescent="0.15">
      <c r="A160" s="19"/>
      <c r="B160" s="20"/>
      <c r="C160" s="15"/>
      <c r="F160" s="15"/>
      <c r="G160" s="15"/>
      <c r="H160" s="16"/>
      <c r="K160" s="15"/>
      <c r="M160" s="5"/>
      <c r="O160" s="5"/>
      <c r="Q160" s="5"/>
      <c r="S160" s="5"/>
      <c r="T160" s="5"/>
      <c r="U160" s="5"/>
      <c r="V160" s="5"/>
      <c r="W160" s="5"/>
      <c r="Y160" s="5"/>
      <c r="AA160" s="5"/>
      <c r="AC160" s="5"/>
      <c r="AE160" s="5"/>
      <c r="AG160" s="5"/>
      <c r="AI160" s="5"/>
      <c r="AK160" s="5"/>
      <c r="AM160" s="5"/>
    </row>
    <row r="161" spans="1:39" s="14" customFormat="1" x14ac:dyDescent="0.15">
      <c r="A161" s="19">
        <v>432</v>
      </c>
      <c r="B161" s="20" t="s">
        <v>146</v>
      </c>
      <c r="C161" s="15">
        <v>2919</v>
      </c>
      <c r="D161" s="14">
        <v>313</v>
      </c>
      <c r="E161" s="14">
        <v>0</v>
      </c>
      <c r="F161" s="15">
        <v>3232</v>
      </c>
      <c r="G161" s="15">
        <v>1843</v>
      </c>
      <c r="H161" s="16">
        <v>56.3</v>
      </c>
      <c r="I161" s="14">
        <v>288</v>
      </c>
      <c r="J161" s="14">
        <v>29</v>
      </c>
      <c r="K161" s="15">
        <v>1814</v>
      </c>
      <c r="L161" s="14">
        <v>917</v>
      </c>
      <c r="M161" s="21">
        <v>50.55126791620728</v>
      </c>
      <c r="N161" s="14">
        <v>424</v>
      </c>
      <c r="O161" s="21">
        <v>23.373759647188532</v>
      </c>
      <c r="P161" s="14">
        <v>211</v>
      </c>
      <c r="Q161" s="21">
        <v>11.63175303197354</v>
      </c>
      <c r="R161" s="14">
        <v>29</v>
      </c>
      <c r="S161" s="21">
        <v>1.5986769570011026</v>
      </c>
      <c r="T161" s="5" t="s">
        <v>63</v>
      </c>
      <c r="U161" s="5" t="s">
        <v>63</v>
      </c>
      <c r="V161" s="5" t="s">
        <v>63</v>
      </c>
      <c r="W161" s="5" t="s">
        <v>63</v>
      </c>
      <c r="X161" s="14">
        <v>20</v>
      </c>
      <c r="Y161" s="21">
        <v>1.1025358324145533</v>
      </c>
      <c r="Z161" s="14">
        <v>14</v>
      </c>
      <c r="AA161" s="21">
        <v>0.77177508269018735</v>
      </c>
      <c r="AB161" s="14">
        <v>11</v>
      </c>
      <c r="AC161" s="21">
        <v>0.60639470782800442</v>
      </c>
      <c r="AD161" s="14">
        <v>58</v>
      </c>
      <c r="AE161" s="21">
        <v>3.1973539140022051</v>
      </c>
      <c r="AF161" s="14">
        <v>4</v>
      </c>
      <c r="AG161" s="21">
        <v>0.22050716648291069</v>
      </c>
      <c r="AH161" s="14">
        <v>49</v>
      </c>
      <c r="AI161" s="21">
        <v>2.7012127894156563</v>
      </c>
      <c r="AJ161" s="14">
        <v>74</v>
      </c>
      <c r="AK161" s="21">
        <v>4.0793825799338475</v>
      </c>
      <c r="AL161" s="14">
        <v>3</v>
      </c>
      <c r="AM161" s="21">
        <v>0.16538037486218302</v>
      </c>
    </row>
    <row r="162" spans="1:39" s="14" customFormat="1" x14ac:dyDescent="0.15">
      <c r="A162" s="19"/>
      <c r="B162" s="20"/>
      <c r="C162" s="15"/>
      <c r="F162" s="15"/>
      <c r="G162" s="15"/>
      <c r="H162" s="16"/>
      <c r="K162" s="15"/>
      <c r="M162" s="5"/>
      <c r="O162" s="5"/>
      <c r="Q162" s="5"/>
      <c r="S162" s="5"/>
      <c r="T162" s="5"/>
      <c r="U162" s="5"/>
      <c r="V162" s="5"/>
      <c r="W162" s="5"/>
      <c r="Y162" s="5"/>
      <c r="AA162" s="5"/>
      <c r="AC162" s="5"/>
      <c r="AE162" s="5"/>
      <c r="AG162" s="5"/>
      <c r="AI162" s="5"/>
      <c r="AK162" s="5"/>
      <c r="AM162" s="5"/>
    </row>
    <row r="163" spans="1:39" s="14" customFormat="1" x14ac:dyDescent="0.15">
      <c r="A163" s="19">
        <v>433</v>
      </c>
      <c r="B163" s="20" t="s">
        <v>147</v>
      </c>
      <c r="C163" s="15">
        <v>4127</v>
      </c>
      <c r="D163" s="14">
        <v>425</v>
      </c>
      <c r="E163" s="14">
        <v>2</v>
      </c>
      <c r="F163" s="15">
        <v>4554</v>
      </c>
      <c r="G163" s="15">
        <v>2687</v>
      </c>
      <c r="H163" s="16">
        <v>58.5</v>
      </c>
      <c r="I163" s="14">
        <v>386</v>
      </c>
      <c r="J163" s="14">
        <v>32</v>
      </c>
      <c r="K163" s="15">
        <v>2655</v>
      </c>
      <c r="L163" s="15">
        <v>1275</v>
      </c>
      <c r="M163" s="21">
        <v>48.022598870056498</v>
      </c>
      <c r="N163" s="14">
        <v>502</v>
      </c>
      <c r="O163" s="21">
        <v>18.907721280602637</v>
      </c>
      <c r="P163" s="14">
        <v>468</v>
      </c>
      <c r="Q163" s="21">
        <v>17.627118644067796</v>
      </c>
      <c r="R163" s="14">
        <v>42</v>
      </c>
      <c r="S163" s="21">
        <v>1.5819209039548021</v>
      </c>
      <c r="T163" s="5" t="s">
        <v>63</v>
      </c>
      <c r="U163" s="5" t="s">
        <v>63</v>
      </c>
      <c r="V163" s="5" t="s">
        <v>63</v>
      </c>
      <c r="W163" s="5" t="s">
        <v>63</v>
      </c>
      <c r="X163" s="14">
        <v>25</v>
      </c>
      <c r="Y163" s="21">
        <v>0.94161958568738224</v>
      </c>
      <c r="Z163" s="14">
        <v>24</v>
      </c>
      <c r="AA163" s="21">
        <v>0.903954802259887</v>
      </c>
      <c r="AB163" s="14">
        <v>23</v>
      </c>
      <c r="AC163" s="21">
        <v>0.86629001883239165</v>
      </c>
      <c r="AD163" s="14">
        <v>101</v>
      </c>
      <c r="AE163" s="21">
        <v>3.8041431261770247</v>
      </c>
      <c r="AF163" s="14">
        <v>2</v>
      </c>
      <c r="AG163" s="21">
        <v>7.5329566854990579E-2</v>
      </c>
      <c r="AH163" s="14">
        <v>84</v>
      </c>
      <c r="AI163" s="21">
        <v>3.1638418079096042</v>
      </c>
      <c r="AJ163" s="14">
        <v>97</v>
      </c>
      <c r="AK163" s="21">
        <v>3.6534839924670428</v>
      </c>
      <c r="AL163" s="14">
        <v>12</v>
      </c>
      <c r="AM163" s="21">
        <v>0.4519774011299435</v>
      </c>
    </row>
    <row r="164" spans="1:39" s="14" customFormat="1" x14ac:dyDescent="0.15">
      <c r="A164" s="19"/>
      <c r="B164" s="20"/>
      <c r="C164" s="15"/>
      <c r="F164" s="15"/>
      <c r="G164" s="15"/>
      <c r="H164" s="16"/>
      <c r="K164" s="15"/>
      <c r="L164" s="15"/>
      <c r="M164" s="5"/>
      <c r="O164" s="5"/>
      <c r="Q164" s="5"/>
      <c r="S164" s="5"/>
      <c r="T164" s="5"/>
      <c r="U164" s="5"/>
      <c r="V164" s="5"/>
      <c r="W164" s="5"/>
      <c r="Y164" s="5"/>
      <c r="AA164" s="5"/>
      <c r="AC164" s="5"/>
      <c r="AE164" s="5"/>
      <c r="AG164" s="5"/>
      <c r="AI164" s="5"/>
      <c r="AK164" s="5"/>
      <c r="AM164" s="5"/>
    </row>
    <row r="165" spans="1:39" s="14" customFormat="1" x14ac:dyDescent="0.15">
      <c r="A165" s="19">
        <v>434</v>
      </c>
      <c r="B165" s="20" t="s">
        <v>148</v>
      </c>
      <c r="C165" s="15">
        <v>4739</v>
      </c>
      <c r="D165" s="14">
        <v>570</v>
      </c>
      <c r="E165" s="14">
        <v>0</v>
      </c>
      <c r="F165" s="15">
        <v>5309</v>
      </c>
      <c r="G165" s="15">
        <v>3050</v>
      </c>
      <c r="H165" s="16">
        <v>56.5</v>
      </c>
      <c r="I165" s="14">
        <v>537</v>
      </c>
      <c r="J165" s="14">
        <v>38</v>
      </c>
      <c r="K165" s="15">
        <v>3012</v>
      </c>
      <c r="L165" s="15">
        <v>1328</v>
      </c>
      <c r="M165" s="21">
        <v>44.090305444887115</v>
      </c>
      <c r="N165" s="14">
        <v>731</v>
      </c>
      <c r="O165" s="21">
        <v>24.269588313413017</v>
      </c>
      <c r="P165" s="14">
        <v>498</v>
      </c>
      <c r="Q165" s="21">
        <v>16.533864541832667</v>
      </c>
      <c r="R165" s="14">
        <v>62</v>
      </c>
      <c r="S165" s="21">
        <v>2.0584329349269588</v>
      </c>
      <c r="T165" s="5" t="s">
        <v>63</v>
      </c>
      <c r="U165" s="5" t="s">
        <v>63</v>
      </c>
      <c r="V165" s="5" t="s">
        <v>63</v>
      </c>
      <c r="W165" s="5" t="s">
        <v>63</v>
      </c>
      <c r="X165" s="14">
        <v>24</v>
      </c>
      <c r="Y165" s="21">
        <v>0.79681274900398402</v>
      </c>
      <c r="Z165" s="14">
        <v>30</v>
      </c>
      <c r="AA165" s="21">
        <v>0.99601593625498008</v>
      </c>
      <c r="AB165" s="14">
        <v>16</v>
      </c>
      <c r="AC165" s="21">
        <v>0.53120849933598935</v>
      </c>
      <c r="AD165" s="14">
        <v>91</v>
      </c>
      <c r="AE165" s="21">
        <v>3.0212483399734396</v>
      </c>
      <c r="AF165" s="14">
        <v>3</v>
      </c>
      <c r="AG165" s="21">
        <v>9.9601593625498003E-2</v>
      </c>
      <c r="AH165" s="14">
        <v>96</v>
      </c>
      <c r="AI165" s="21">
        <v>3.1872509960159361</v>
      </c>
      <c r="AJ165" s="14">
        <v>124</v>
      </c>
      <c r="AK165" s="21">
        <v>4.1168658698539176</v>
      </c>
      <c r="AL165" s="14">
        <v>9</v>
      </c>
      <c r="AM165" s="21">
        <v>0.29880478087649404</v>
      </c>
    </row>
    <row r="166" spans="1:39" s="14" customFormat="1" x14ac:dyDescent="0.15">
      <c r="A166" s="19"/>
      <c r="B166" s="20"/>
      <c r="C166" s="15"/>
      <c r="F166" s="15"/>
      <c r="G166" s="15"/>
      <c r="H166" s="16"/>
      <c r="K166" s="15"/>
      <c r="L166" s="15"/>
      <c r="M166" s="5"/>
      <c r="O166" s="5"/>
      <c r="Q166" s="5"/>
      <c r="S166" s="5"/>
      <c r="T166" s="5"/>
      <c r="U166" s="5"/>
      <c r="V166" s="5"/>
      <c r="W166" s="5"/>
      <c r="Y166" s="5"/>
      <c r="AA166" s="5"/>
      <c r="AC166" s="5"/>
      <c r="AE166" s="5"/>
      <c r="AG166" s="5"/>
      <c r="AI166" s="5"/>
      <c r="AK166" s="5"/>
      <c r="AM166" s="5"/>
    </row>
    <row r="167" spans="1:39" s="14" customFormat="1" x14ac:dyDescent="0.15">
      <c r="A167" s="19">
        <v>435</v>
      </c>
      <c r="B167" s="20" t="s">
        <v>149</v>
      </c>
      <c r="C167" s="15">
        <v>3323</v>
      </c>
      <c r="D167" s="14">
        <v>310</v>
      </c>
      <c r="E167" s="14">
        <v>0</v>
      </c>
      <c r="F167" s="15">
        <v>3633</v>
      </c>
      <c r="G167" s="15">
        <v>2111</v>
      </c>
      <c r="H167" s="16">
        <v>57.2</v>
      </c>
      <c r="I167" s="14">
        <v>296</v>
      </c>
      <c r="J167" s="14">
        <v>26</v>
      </c>
      <c r="K167" s="15">
        <v>2085</v>
      </c>
      <c r="L167" s="15">
        <v>1041</v>
      </c>
      <c r="M167" s="21">
        <v>49.928057553956833</v>
      </c>
      <c r="N167" s="14">
        <v>413</v>
      </c>
      <c r="O167" s="21">
        <v>19.808153477218227</v>
      </c>
      <c r="P167" s="14">
        <v>271</v>
      </c>
      <c r="Q167" s="21">
        <v>12.997601918465229</v>
      </c>
      <c r="R167" s="14">
        <v>58</v>
      </c>
      <c r="S167" s="21">
        <v>2.7817745803357314</v>
      </c>
      <c r="T167" s="5" t="s">
        <v>63</v>
      </c>
      <c r="U167" s="5" t="s">
        <v>63</v>
      </c>
      <c r="V167" s="5" t="s">
        <v>63</v>
      </c>
      <c r="W167" s="5" t="s">
        <v>63</v>
      </c>
      <c r="X167" s="14">
        <v>11</v>
      </c>
      <c r="Y167" s="21">
        <v>0.52757793764988015</v>
      </c>
      <c r="Z167" s="14">
        <v>16</v>
      </c>
      <c r="AA167" s="21">
        <v>0.76738609112709832</v>
      </c>
      <c r="AB167" s="14">
        <v>11</v>
      </c>
      <c r="AC167" s="21">
        <v>0.52757793764988015</v>
      </c>
      <c r="AD167" s="14">
        <v>78</v>
      </c>
      <c r="AE167" s="21">
        <v>3.7410071942446042</v>
      </c>
      <c r="AF167" s="14">
        <v>6</v>
      </c>
      <c r="AG167" s="21">
        <v>0.28776978417266186</v>
      </c>
      <c r="AH167" s="14">
        <v>70</v>
      </c>
      <c r="AI167" s="21">
        <v>3.3573141486810552</v>
      </c>
      <c r="AJ167" s="14">
        <v>103</v>
      </c>
      <c r="AK167" s="21">
        <v>4.9400479616306958</v>
      </c>
      <c r="AL167" s="14">
        <v>7</v>
      </c>
      <c r="AM167" s="21">
        <v>0.33573141486810548</v>
      </c>
    </row>
    <row r="168" spans="1:39" s="14" customFormat="1" x14ac:dyDescent="0.15">
      <c r="A168" s="19"/>
      <c r="B168" s="20"/>
      <c r="C168" s="15"/>
      <c r="F168" s="15"/>
      <c r="G168" s="15"/>
      <c r="H168" s="16"/>
      <c r="K168" s="15"/>
      <c r="L168" s="15"/>
      <c r="M168" s="5"/>
      <c r="O168" s="5"/>
      <c r="Q168" s="5"/>
      <c r="S168" s="5"/>
      <c r="T168" s="5"/>
      <c r="U168" s="5"/>
      <c r="V168" s="5"/>
      <c r="W168" s="5"/>
      <c r="Y168" s="5"/>
      <c r="AA168" s="5"/>
      <c r="AC168" s="5"/>
      <c r="AE168" s="5"/>
      <c r="AG168" s="5"/>
      <c r="AI168" s="5"/>
      <c r="AK168" s="5"/>
      <c r="AM168" s="5"/>
    </row>
    <row r="169" spans="1:39" s="14" customFormat="1" x14ac:dyDescent="0.15">
      <c r="A169" s="19">
        <v>436</v>
      </c>
      <c r="B169" s="20" t="s">
        <v>150</v>
      </c>
      <c r="C169" s="14">
        <v>536</v>
      </c>
      <c r="D169" s="14">
        <v>51</v>
      </c>
      <c r="E169" s="14">
        <v>0</v>
      </c>
      <c r="F169" s="14">
        <v>587</v>
      </c>
      <c r="G169" s="14">
        <v>305</v>
      </c>
      <c r="H169" s="16">
        <v>51.8</v>
      </c>
      <c r="I169" s="14">
        <v>44</v>
      </c>
      <c r="J169" s="14">
        <v>9</v>
      </c>
      <c r="K169" s="14">
        <v>296</v>
      </c>
      <c r="L169" s="14">
        <v>141</v>
      </c>
      <c r="M169" s="21">
        <v>47.635135135135137</v>
      </c>
      <c r="N169" s="14">
        <v>70</v>
      </c>
      <c r="O169" s="21">
        <v>23.648648648648649</v>
      </c>
      <c r="P169" s="14">
        <v>19</v>
      </c>
      <c r="Q169" s="21">
        <v>6.4189189189189184</v>
      </c>
      <c r="R169" s="14">
        <v>5</v>
      </c>
      <c r="S169" s="21">
        <v>1.6891891891891893</v>
      </c>
      <c r="T169" s="5" t="s">
        <v>63</v>
      </c>
      <c r="U169" s="5" t="s">
        <v>63</v>
      </c>
      <c r="V169" s="5" t="s">
        <v>63</v>
      </c>
      <c r="W169" s="5" t="s">
        <v>63</v>
      </c>
      <c r="X169" s="14">
        <v>3</v>
      </c>
      <c r="Y169" s="21">
        <v>1.0135135135135136</v>
      </c>
      <c r="Z169" s="14">
        <v>8</v>
      </c>
      <c r="AA169" s="21">
        <v>2.7027027027027026</v>
      </c>
      <c r="AB169" s="14">
        <v>1</v>
      </c>
      <c r="AC169" s="21">
        <v>0.33783783783783783</v>
      </c>
      <c r="AD169" s="14">
        <v>9</v>
      </c>
      <c r="AE169" s="21">
        <v>3.0405405405405408</v>
      </c>
      <c r="AF169" s="14">
        <v>2</v>
      </c>
      <c r="AG169" s="21">
        <v>0.67567567567567566</v>
      </c>
      <c r="AH169" s="14">
        <v>14</v>
      </c>
      <c r="AI169" s="21">
        <v>4.7297297297297298</v>
      </c>
      <c r="AJ169" s="14">
        <v>23</v>
      </c>
      <c r="AK169" s="21">
        <v>7.7702702702702702</v>
      </c>
      <c r="AL169" s="14">
        <v>1</v>
      </c>
      <c r="AM169" s="21">
        <v>0.33783783783783783</v>
      </c>
    </row>
    <row r="170" spans="1:39" s="14" customFormat="1" x14ac:dyDescent="0.15">
      <c r="A170" s="19"/>
      <c r="B170" s="20"/>
      <c r="H170" s="16"/>
      <c r="M170" s="21"/>
      <c r="O170" s="21"/>
      <c r="Q170" s="21"/>
      <c r="S170" s="21"/>
      <c r="T170" s="5"/>
      <c r="U170" s="5"/>
      <c r="V170" s="5"/>
      <c r="W170" s="5"/>
      <c r="Y170" s="21"/>
      <c r="AA170" s="21"/>
      <c r="AC170" s="21"/>
      <c r="AE170" s="21"/>
      <c r="AG170" s="21"/>
      <c r="AI170" s="21"/>
      <c r="AK170" s="21"/>
      <c r="AM170" s="21"/>
    </row>
    <row r="171" spans="1:39" s="14" customFormat="1" x14ac:dyDescent="0.15">
      <c r="A171" s="19">
        <v>43</v>
      </c>
      <c r="B171" s="20" t="s">
        <v>148</v>
      </c>
      <c r="C171" s="15">
        <v>17710</v>
      </c>
      <c r="D171" s="15">
        <v>1861</v>
      </c>
      <c r="E171" s="14">
        <v>2</v>
      </c>
      <c r="F171" s="15">
        <v>19573</v>
      </c>
      <c r="G171" s="15">
        <v>11343</v>
      </c>
      <c r="H171" s="16">
        <v>57.2</v>
      </c>
      <c r="I171" s="15">
        <v>1729</v>
      </c>
      <c r="J171" s="14">
        <v>153</v>
      </c>
      <c r="K171" s="15">
        <v>11190</v>
      </c>
      <c r="L171" s="15">
        <v>5391</v>
      </c>
      <c r="M171" s="21">
        <v>48.176943699731908</v>
      </c>
      <c r="N171" s="15">
        <v>2460</v>
      </c>
      <c r="O171" s="21">
        <v>21.983914209115284</v>
      </c>
      <c r="P171" s="15">
        <v>1586</v>
      </c>
      <c r="Q171" s="21">
        <v>14.1733690795353</v>
      </c>
      <c r="R171" s="14">
        <v>212</v>
      </c>
      <c r="S171" s="21">
        <v>1.8945487042001787</v>
      </c>
      <c r="T171" s="5" t="s">
        <v>63</v>
      </c>
      <c r="U171" s="5" t="s">
        <v>63</v>
      </c>
      <c r="V171" s="5" t="s">
        <v>63</v>
      </c>
      <c r="W171" s="5" t="s">
        <v>63</v>
      </c>
      <c r="X171" s="14">
        <v>88</v>
      </c>
      <c r="Y171" s="21">
        <v>0.78641644325290438</v>
      </c>
      <c r="Z171" s="14">
        <v>116</v>
      </c>
      <c r="AA171" s="21">
        <v>1.036639857015192</v>
      </c>
      <c r="AB171" s="14">
        <v>71</v>
      </c>
      <c r="AC171" s="21">
        <v>0.63449508489722961</v>
      </c>
      <c r="AD171" s="14">
        <v>380</v>
      </c>
      <c r="AE171" s="21">
        <v>3.3958891867739052</v>
      </c>
      <c r="AF171" s="14">
        <v>24</v>
      </c>
      <c r="AG171" s="21">
        <v>0.21447721179624668</v>
      </c>
      <c r="AH171" s="14">
        <v>343</v>
      </c>
      <c r="AI171" s="21">
        <v>3.065236818588025</v>
      </c>
      <c r="AJ171" s="14">
        <v>487</v>
      </c>
      <c r="AK171" s="21">
        <v>4.3521000893655053</v>
      </c>
      <c r="AL171" s="14">
        <v>32</v>
      </c>
      <c r="AM171" s="21">
        <v>0.28596961572832885</v>
      </c>
    </row>
    <row r="172" spans="1:39" s="14" customFormat="1" x14ac:dyDescent="0.15">
      <c r="A172" s="19"/>
      <c r="B172" s="20"/>
      <c r="C172" s="15"/>
      <c r="D172" s="15"/>
      <c r="F172" s="15"/>
      <c r="G172" s="15"/>
      <c r="H172" s="16"/>
      <c r="I172" s="15"/>
      <c r="K172" s="15"/>
      <c r="L172" s="15"/>
      <c r="M172" s="5"/>
      <c r="N172" s="15"/>
      <c r="O172" s="5"/>
      <c r="P172" s="15"/>
      <c r="Q172" s="5"/>
      <c r="S172" s="5"/>
      <c r="T172" s="5"/>
      <c r="U172" s="5"/>
      <c r="V172" s="5"/>
      <c r="W172" s="5"/>
      <c r="Y172" s="5"/>
      <c r="AA172" s="5"/>
      <c r="AC172" s="5"/>
      <c r="AE172" s="5"/>
      <c r="AG172" s="5"/>
      <c r="AI172" s="5"/>
      <c r="AK172" s="5"/>
      <c r="AM172" s="5"/>
    </row>
    <row r="173" spans="1:39" s="14" customFormat="1" x14ac:dyDescent="0.15">
      <c r="A173" s="19">
        <v>441</v>
      </c>
      <c r="B173" s="20" t="s">
        <v>151</v>
      </c>
      <c r="C173" s="15">
        <v>4439</v>
      </c>
      <c r="D173" s="14">
        <v>527</v>
      </c>
      <c r="E173" s="14">
        <v>0</v>
      </c>
      <c r="F173" s="15">
        <v>4966</v>
      </c>
      <c r="G173" s="15">
        <v>2713</v>
      </c>
      <c r="H173" s="16">
        <v>54.6</v>
      </c>
      <c r="I173" s="14">
        <v>451</v>
      </c>
      <c r="J173" s="14">
        <v>37</v>
      </c>
      <c r="K173" s="15">
        <v>2676</v>
      </c>
      <c r="L173" s="15">
        <v>1373</v>
      </c>
      <c r="M173" s="21">
        <v>51.307922272047833</v>
      </c>
      <c r="N173" s="14">
        <v>553</v>
      </c>
      <c r="O173" s="21">
        <v>20.665171898355755</v>
      </c>
      <c r="P173" s="14">
        <v>265</v>
      </c>
      <c r="Q173" s="21">
        <v>9.9028400597907318</v>
      </c>
      <c r="R173" s="14">
        <v>60</v>
      </c>
      <c r="S173" s="21">
        <v>2.2421524663677128</v>
      </c>
      <c r="T173" s="5" t="s">
        <v>63</v>
      </c>
      <c r="U173" s="5" t="s">
        <v>63</v>
      </c>
      <c r="V173" s="5" t="s">
        <v>63</v>
      </c>
      <c r="W173" s="5" t="s">
        <v>63</v>
      </c>
      <c r="X173" s="14">
        <v>17</v>
      </c>
      <c r="Y173" s="21">
        <v>0.63527653213751867</v>
      </c>
      <c r="Z173" s="14">
        <v>30</v>
      </c>
      <c r="AA173" s="21">
        <v>1.1210762331838564</v>
      </c>
      <c r="AB173" s="14">
        <v>17</v>
      </c>
      <c r="AC173" s="21">
        <v>0.63527653213751867</v>
      </c>
      <c r="AD173" s="14">
        <v>107</v>
      </c>
      <c r="AE173" s="21">
        <v>3.9985052316890881</v>
      </c>
      <c r="AF173" s="14">
        <v>7</v>
      </c>
      <c r="AG173" s="21">
        <v>0.26158445440956651</v>
      </c>
      <c r="AH173" s="14">
        <v>69</v>
      </c>
      <c r="AI173" s="21">
        <v>2.5784753363228701</v>
      </c>
      <c r="AJ173" s="14">
        <v>159</v>
      </c>
      <c r="AK173" s="21">
        <v>5.9417040358744391</v>
      </c>
      <c r="AL173" s="14">
        <v>19</v>
      </c>
      <c r="AM173" s="21">
        <v>0.71001494768310913</v>
      </c>
    </row>
    <row r="174" spans="1:39" s="14" customFormat="1" x14ac:dyDescent="0.15">
      <c r="A174" s="19"/>
      <c r="B174" s="20"/>
      <c r="C174" s="15"/>
      <c r="F174" s="15"/>
      <c r="G174" s="15"/>
      <c r="H174" s="16"/>
      <c r="K174" s="15"/>
      <c r="L174" s="15"/>
      <c r="M174" s="5"/>
      <c r="O174" s="5"/>
      <c r="Q174" s="5"/>
      <c r="S174" s="5"/>
      <c r="T174" s="5"/>
      <c r="U174" s="5"/>
      <c r="V174" s="5"/>
      <c r="W174" s="5"/>
      <c r="Y174" s="5"/>
      <c r="AA174" s="5"/>
      <c r="AC174" s="5"/>
      <c r="AE174" s="5"/>
      <c r="AG174" s="5"/>
      <c r="AI174" s="5"/>
      <c r="AK174" s="5"/>
      <c r="AM174" s="5"/>
    </row>
    <row r="175" spans="1:39" s="14" customFormat="1" x14ac:dyDescent="0.15">
      <c r="A175" s="19">
        <v>442</v>
      </c>
      <c r="B175" s="20" t="s">
        <v>152</v>
      </c>
      <c r="C175" s="15">
        <v>4994</v>
      </c>
      <c r="D175" s="14">
        <v>505</v>
      </c>
      <c r="E175" s="14">
        <v>0</v>
      </c>
      <c r="F175" s="15">
        <v>5499</v>
      </c>
      <c r="G175" s="15">
        <v>2715</v>
      </c>
      <c r="H175" s="16">
        <v>48.5</v>
      </c>
      <c r="I175" s="14">
        <v>477</v>
      </c>
      <c r="J175" s="14">
        <v>27</v>
      </c>
      <c r="K175" s="15">
        <v>2688</v>
      </c>
      <c r="L175" s="15">
        <v>1494</v>
      </c>
      <c r="M175" s="21">
        <v>55.580357142857139</v>
      </c>
      <c r="N175" s="14">
        <v>602</v>
      </c>
      <c r="O175" s="21">
        <v>22.395833333333336</v>
      </c>
      <c r="P175" s="14">
        <v>195</v>
      </c>
      <c r="Q175" s="21">
        <v>7.2544642857142865</v>
      </c>
      <c r="R175" s="14">
        <v>72</v>
      </c>
      <c r="S175" s="21">
        <v>2.6785714285714284</v>
      </c>
      <c r="T175" s="5" t="s">
        <v>63</v>
      </c>
      <c r="U175" s="5" t="s">
        <v>63</v>
      </c>
      <c r="V175" s="5" t="s">
        <v>63</v>
      </c>
      <c r="W175" s="5" t="s">
        <v>63</v>
      </c>
      <c r="X175" s="14">
        <v>17</v>
      </c>
      <c r="Y175" s="21">
        <v>0.63244047619047616</v>
      </c>
      <c r="Z175" s="14">
        <v>22</v>
      </c>
      <c r="AA175" s="21">
        <v>0.81845238095238104</v>
      </c>
      <c r="AB175" s="14">
        <v>14</v>
      </c>
      <c r="AC175" s="21">
        <v>0.52083333333333326</v>
      </c>
      <c r="AD175" s="14">
        <v>76</v>
      </c>
      <c r="AE175" s="21">
        <v>2.8273809523809526</v>
      </c>
      <c r="AF175" s="14">
        <v>10</v>
      </c>
      <c r="AG175" s="21">
        <v>0.37202380952380948</v>
      </c>
      <c r="AH175" s="14">
        <v>57</v>
      </c>
      <c r="AI175" s="21">
        <v>2.1205357142857144</v>
      </c>
      <c r="AJ175" s="14">
        <v>120</v>
      </c>
      <c r="AK175" s="21">
        <v>4.4642857142857144</v>
      </c>
      <c r="AL175" s="14">
        <v>9</v>
      </c>
      <c r="AM175" s="21">
        <v>0.33482142857142855</v>
      </c>
    </row>
    <row r="176" spans="1:39" s="14" customFormat="1" x14ac:dyDescent="0.15">
      <c r="A176" s="19"/>
      <c r="B176" s="20"/>
      <c r="C176" s="15"/>
      <c r="F176" s="15"/>
      <c r="G176" s="15"/>
      <c r="H176" s="16"/>
      <c r="K176" s="15"/>
      <c r="L176" s="15"/>
      <c r="M176" s="5"/>
      <c r="O176" s="5"/>
      <c r="Q176" s="5"/>
      <c r="S176" s="5"/>
      <c r="T176" s="5"/>
      <c r="U176" s="5"/>
      <c r="V176" s="5"/>
      <c r="W176" s="5"/>
      <c r="Y176" s="5"/>
      <c r="AA176" s="5"/>
      <c r="AC176" s="5"/>
      <c r="AE176" s="5"/>
      <c r="AG176" s="5"/>
      <c r="AI176" s="5"/>
      <c r="AK176" s="5"/>
      <c r="AM176" s="5"/>
    </row>
    <row r="177" spans="1:39" s="14" customFormat="1" x14ac:dyDescent="0.15">
      <c r="A177" s="19">
        <v>443</v>
      </c>
      <c r="B177" s="20" t="s">
        <v>153</v>
      </c>
      <c r="C177" s="15">
        <v>5159</v>
      </c>
      <c r="D177" s="14">
        <v>456</v>
      </c>
      <c r="E177" s="14">
        <v>0</v>
      </c>
      <c r="F177" s="15">
        <v>5615</v>
      </c>
      <c r="G177" s="15">
        <v>2699</v>
      </c>
      <c r="H177" s="16">
        <v>47.7</v>
      </c>
      <c r="I177" s="14">
        <v>408</v>
      </c>
      <c r="J177" s="14">
        <v>54</v>
      </c>
      <c r="K177" s="15">
        <v>2645</v>
      </c>
      <c r="L177" s="15">
        <v>1462</v>
      </c>
      <c r="M177" s="21">
        <v>55.274102079395085</v>
      </c>
      <c r="N177" s="14">
        <v>537</v>
      </c>
      <c r="O177" s="21">
        <v>20.302457466918714</v>
      </c>
      <c r="P177" s="14">
        <v>218</v>
      </c>
      <c r="Q177" s="21">
        <v>8.2419659735349722</v>
      </c>
      <c r="R177" s="14">
        <v>59</v>
      </c>
      <c r="S177" s="21">
        <v>2.2306238185255198</v>
      </c>
      <c r="T177" s="5" t="s">
        <v>63</v>
      </c>
      <c r="U177" s="5" t="s">
        <v>63</v>
      </c>
      <c r="V177" s="5" t="s">
        <v>63</v>
      </c>
      <c r="W177" s="5" t="s">
        <v>63</v>
      </c>
      <c r="X177" s="14">
        <v>12</v>
      </c>
      <c r="Y177" s="21">
        <v>0.45368620037807178</v>
      </c>
      <c r="Z177" s="14">
        <v>27</v>
      </c>
      <c r="AA177" s="21">
        <v>1.0207939508506616</v>
      </c>
      <c r="AB177" s="14">
        <v>4</v>
      </c>
      <c r="AC177" s="21">
        <v>0.15122873345935728</v>
      </c>
      <c r="AD177" s="14">
        <v>74</v>
      </c>
      <c r="AE177" s="21">
        <v>2.7977315689981097</v>
      </c>
      <c r="AF177" s="14">
        <v>21</v>
      </c>
      <c r="AG177" s="21">
        <v>0.79395085066162574</v>
      </c>
      <c r="AH177" s="14">
        <v>79</v>
      </c>
      <c r="AI177" s="21">
        <v>2.9867674858223063</v>
      </c>
      <c r="AJ177" s="14">
        <v>152</v>
      </c>
      <c r="AK177" s="21">
        <v>5.7466918714555764</v>
      </c>
      <c r="AL177" s="14">
        <v>0</v>
      </c>
      <c r="AM177" s="21">
        <v>0</v>
      </c>
    </row>
    <row r="178" spans="1:39" s="14" customFormat="1" x14ac:dyDescent="0.15">
      <c r="A178" s="19"/>
      <c r="B178" s="20"/>
      <c r="C178" s="15"/>
      <c r="F178" s="15"/>
      <c r="G178" s="15"/>
      <c r="H178" s="16"/>
      <c r="K178" s="15"/>
      <c r="L178" s="15"/>
      <c r="M178" s="5"/>
      <c r="O178" s="5"/>
      <c r="Q178" s="5"/>
      <c r="S178" s="5"/>
      <c r="T178" s="5"/>
      <c r="U178" s="5"/>
      <c r="V178" s="5"/>
      <c r="W178" s="5"/>
      <c r="Y178" s="5"/>
      <c r="AA178" s="5"/>
      <c r="AC178" s="5"/>
      <c r="AE178" s="5"/>
      <c r="AG178" s="5"/>
      <c r="AI178" s="5"/>
      <c r="AK178" s="5"/>
      <c r="AM178" s="5"/>
    </row>
    <row r="179" spans="1:39" s="14" customFormat="1" x14ac:dyDescent="0.15">
      <c r="A179" s="19">
        <v>445</v>
      </c>
      <c r="B179" s="20" t="s">
        <v>154</v>
      </c>
      <c r="C179" s="15">
        <v>5502</v>
      </c>
      <c r="D179" s="14">
        <v>453</v>
      </c>
      <c r="E179" s="14">
        <v>0</v>
      </c>
      <c r="F179" s="15">
        <v>5955</v>
      </c>
      <c r="G179" s="15">
        <v>3174</v>
      </c>
      <c r="H179" s="16">
        <v>52.5</v>
      </c>
      <c r="I179" s="14">
        <v>431</v>
      </c>
      <c r="J179" s="14">
        <v>41</v>
      </c>
      <c r="K179" s="15">
        <v>3133</v>
      </c>
      <c r="L179" s="15">
        <v>1667</v>
      </c>
      <c r="M179" s="21">
        <v>53.20778806255985</v>
      </c>
      <c r="N179" s="14">
        <v>704</v>
      </c>
      <c r="O179" s="21">
        <v>22.470475582508779</v>
      </c>
      <c r="P179" s="14">
        <v>202</v>
      </c>
      <c r="Q179" s="21">
        <v>6.4474944142993946</v>
      </c>
      <c r="R179" s="14">
        <v>68</v>
      </c>
      <c r="S179" s="21">
        <v>2.1704436642195977</v>
      </c>
      <c r="T179" s="5" t="s">
        <v>63</v>
      </c>
      <c r="U179" s="5" t="s">
        <v>63</v>
      </c>
      <c r="V179" s="5" t="s">
        <v>63</v>
      </c>
      <c r="W179" s="5" t="s">
        <v>63</v>
      </c>
      <c r="X179" s="14">
        <v>22</v>
      </c>
      <c r="Y179" s="21">
        <v>0.70220236195339936</v>
      </c>
      <c r="Z179" s="14">
        <v>35</v>
      </c>
      <c r="AA179" s="21">
        <v>1.1171401212894989</v>
      </c>
      <c r="AB179" s="14">
        <v>14</v>
      </c>
      <c r="AC179" s="21">
        <v>0.44685604851579952</v>
      </c>
      <c r="AD179" s="14">
        <v>111</v>
      </c>
      <c r="AE179" s="21">
        <v>3.5429300989466963</v>
      </c>
      <c r="AF179" s="14">
        <v>8</v>
      </c>
      <c r="AG179" s="21">
        <v>0.25534631343759973</v>
      </c>
      <c r="AH179" s="14">
        <v>58</v>
      </c>
      <c r="AI179" s="21">
        <v>1.8512607724225982</v>
      </c>
      <c r="AJ179" s="14">
        <v>237</v>
      </c>
      <c r="AK179" s="21">
        <v>7.5646345355888922</v>
      </c>
      <c r="AL179" s="14">
        <v>7</v>
      </c>
      <c r="AM179" s="21">
        <v>0.22342802425789976</v>
      </c>
    </row>
    <row r="180" spans="1:39" s="14" customFormat="1" x14ac:dyDescent="0.15">
      <c r="A180" s="19"/>
      <c r="B180" s="20"/>
      <c r="C180" s="15"/>
      <c r="F180" s="15"/>
      <c r="G180" s="15"/>
      <c r="H180" s="16"/>
      <c r="K180" s="15"/>
      <c r="L180" s="15"/>
      <c r="M180" s="5"/>
      <c r="O180" s="5"/>
      <c r="Q180" s="5"/>
      <c r="S180" s="5"/>
      <c r="T180" s="5"/>
      <c r="U180" s="5"/>
      <c r="V180" s="5"/>
      <c r="W180" s="5"/>
      <c r="Y180" s="5"/>
      <c r="AA180" s="5"/>
      <c r="AC180" s="5"/>
      <c r="AE180" s="5"/>
      <c r="AG180" s="5"/>
      <c r="AI180" s="5"/>
      <c r="AK180" s="5"/>
      <c r="AM180" s="5"/>
    </row>
    <row r="181" spans="1:39" s="14" customFormat="1" x14ac:dyDescent="0.15">
      <c r="A181" s="19">
        <v>44</v>
      </c>
      <c r="B181" s="20" t="s">
        <v>152</v>
      </c>
      <c r="C181" s="15">
        <v>20094</v>
      </c>
      <c r="D181" s="15">
        <v>1941</v>
      </c>
      <c r="E181" s="14">
        <v>0</v>
      </c>
      <c r="F181" s="15">
        <v>22035</v>
      </c>
      <c r="G181" s="15">
        <v>11301</v>
      </c>
      <c r="H181" s="16">
        <v>50.8</v>
      </c>
      <c r="I181" s="15">
        <v>1767</v>
      </c>
      <c r="J181" s="14">
        <v>159</v>
      </c>
      <c r="K181" s="15">
        <v>11142</v>
      </c>
      <c r="L181" s="15">
        <v>5996</v>
      </c>
      <c r="M181" s="21">
        <v>53.814395979177888</v>
      </c>
      <c r="N181" s="15">
        <v>2396</v>
      </c>
      <c r="O181" s="21">
        <v>21.504218273200504</v>
      </c>
      <c r="P181" s="14">
        <v>880</v>
      </c>
      <c r="Q181" s="21">
        <v>7.8980434392389167</v>
      </c>
      <c r="R181" s="14">
        <v>259</v>
      </c>
      <c r="S181" s="21">
        <v>2.3245377849578173</v>
      </c>
      <c r="T181" s="5" t="s">
        <v>63</v>
      </c>
      <c r="U181" s="5" t="s">
        <v>63</v>
      </c>
      <c r="V181" s="5" t="s">
        <v>63</v>
      </c>
      <c r="W181" s="5" t="s">
        <v>63</v>
      </c>
      <c r="X181" s="14">
        <v>68</v>
      </c>
      <c r="Y181" s="21">
        <v>0.61030335666846169</v>
      </c>
      <c r="Z181" s="14">
        <v>114</v>
      </c>
      <c r="AA181" s="21">
        <v>1.0231556273559503</v>
      </c>
      <c r="AB181" s="14">
        <v>49</v>
      </c>
      <c r="AC181" s="21">
        <v>0.43977741877580323</v>
      </c>
      <c r="AD181" s="14">
        <v>368</v>
      </c>
      <c r="AE181" s="21">
        <v>3.30281816549991</v>
      </c>
      <c r="AF181" s="14">
        <v>46</v>
      </c>
      <c r="AG181" s="21">
        <v>0.41285227068748875</v>
      </c>
      <c r="AH181" s="14">
        <v>263</v>
      </c>
      <c r="AI181" s="21">
        <v>2.3604379824089032</v>
      </c>
      <c r="AJ181" s="14">
        <v>668</v>
      </c>
      <c r="AK181" s="21">
        <v>5.995332974331359</v>
      </c>
      <c r="AL181" s="14">
        <v>35</v>
      </c>
      <c r="AM181" s="21">
        <v>0.31412672769700234</v>
      </c>
    </row>
    <row r="182" spans="1:39" s="14" customFormat="1" x14ac:dyDescent="0.15">
      <c r="A182" s="19"/>
      <c r="B182" s="20"/>
      <c r="C182" s="15"/>
      <c r="D182" s="15"/>
      <c r="F182" s="15"/>
      <c r="G182" s="15"/>
      <c r="H182" s="16"/>
      <c r="I182" s="15"/>
      <c r="K182" s="15"/>
      <c r="L182" s="15"/>
      <c r="M182" s="5"/>
      <c r="N182" s="15"/>
      <c r="O182" s="5"/>
      <c r="Q182" s="5"/>
      <c r="S182" s="5"/>
      <c r="T182" s="5"/>
      <c r="U182" s="5"/>
      <c r="V182" s="5"/>
      <c r="W182" s="5"/>
      <c r="Y182" s="5"/>
      <c r="AA182" s="5"/>
      <c r="AC182" s="5"/>
      <c r="AE182" s="5"/>
      <c r="AG182" s="5"/>
      <c r="AI182" s="5"/>
      <c r="AK182" s="5"/>
      <c r="AM182" s="5"/>
    </row>
    <row r="183" spans="1:39" s="14" customFormat="1" x14ac:dyDescent="0.15">
      <c r="A183" s="19">
        <v>511</v>
      </c>
      <c r="B183" s="20" t="s">
        <v>155</v>
      </c>
      <c r="C183" s="15">
        <v>4988</v>
      </c>
      <c r="D183" s="14">
        <v>587</v>
      </c>
      <c r="E183" s="14">
        <v>0</v>
      </c>
      <c r="F183" s="15">
        <v>5575</v>
      </c>
      <c r="G183" s="15">
        <v>3431</v>
      </c>
      <c r="H183" s="16">
        <v>60.9</v>
      </c>
      <c r="I183" s="14">
        <v>532</v>
      </c>
      <c r="J183" s="14">
        <v>51</v>
      </c>
      <c r="K183" s="15">
        <v>3380</v>
      </c>
      <c r="L183" s="15">
        <v>1604</v>
      </c>
      <c r="M183" s="21">
        <v>47.455621301775146</v>
      </c>
      <c r="N183" s="14">
        <v>930</v>
      </c>
      <c r="O183" s="21">
        <v>27.514792899408285</v>
      </c>
      <c r="P183" s="14">
        <v>292</v>
      </c>
      <c r="Q183" s="21">
        <v>8.6390532544378704</v>
      </c>
      <c r="R183" s="14">
        <v>55</v>
      </c>
      <c r="S183" s="21">
        <v>1.6272189349112427</v>
      </c>
      <c r="T183" s="5" t="s">
        <v>63</v>
      </c>
      <c r="U183" s="5" t="s">
        <v>63</v>
      </c>
      <c r="V183" s="5" t="s">
        <v>63</v>
      </c>
      <c r="W183" s="5" t="s">
        <v>63</v>
      </c>
      <c r="X183" s="14">
        <v>22</v>
      </c>
      <c r="Y183" s="21">
        <v>0.65088757396449703</v>
      </c>
      <c r="Z183" s="14">
        <v>34</v>
      </c>
      <c r="AA183" s="21">
        <v>1.0059171597633136</v>
      </c>
      <c r="AB183" s="14">
        <v>18</v>
      </c>
      <c r="AC183" s="21">
        <v>0.5325443786982248</v>
      </c>
      <c r="AD183" s="14">
        <v>146</v>
      </c>
      <c r="AE183" s="21">
        <v>4.3195266272189352</v>
      </c>
      <c r="AF183" s="14">
        <v>18</v>
      </c>
      <c r="AG183" s="21">
        <v>0.5325443786982248</v>
      </c>
      <c r="AH183" s="14">
        <v>54</v>
      </c>
      <c r="AI183" s="21">
        <v>1.5976331360946745</v>
      </c>
      <c r="AJ183" s="14">
        <v>200</v>
      </c>
      <c r="AK183" s="21">
        <v>5.9171597633136095</v>
      </c>
      <c r="AL183" s="14">
        <v>7</v>
      </c>
      <c r="AM183" s="21">
        <v>0.20710059171597633</v>
      </c>
    </row>
    <row r="184" spans="1:39" s="14" customFormat="1" x14ac:dyDescent="0.15">
      <c r="A184" s="19"/>
      <c r="B184" s="20"/>
      <c r="C184" s="15"/>
      <c r="F184" s="15"/>
      <c r="G184" s="15"/>
      <c r="H184" s="16"/>
      <c r="K184" s="15"/>
      <c r="L184" s="15"/>
      <c r="M184" s="5"/>
      <c r="O184" s="5"/>
      <c r="Q184" s="5"/>
      <c r="S184" s="5"/>
      <c r="T184" s="5"/>
      <c r="U184" s="5"/>
      <c r="V184" s="5"/>
      <c r="W184" s="5"/>
      <c r="Y184" s="5"/>
      <c r="AA184" s="5"/>
      <c r="AC184" s="5"/>
      <c r="AE184" s="5"/>
      <c r="AG184" s="5"/>
      <c r="AI184" s="5"/>
      <c r="AK184" s="5"/>
      <c r="AM184" s="5"/>
    </row>
    <row r="185" spans="1:39" s="14" customFormat="1" x14ac:dyDescent="0.15">
      <c r="A185" s="19">
        <v>513</v>
      </c>
      <c r="B185" s="20" t="s">
        <v>156</v>
      </c>
      <c r="C185" s="15">
        <v>7527</v>
      </c>
      <c r="D185" s="14">
        <v>554</v>
      </c>
      <c r="E185" s="14">
        <v>0</v>
      </c>
      <c r="F185" s="15">
        <v>8081</v>
      </c>
      <c r="G185" s="15">
        <v>4480</v>
      </c>
      <c r="H185" s="16">
        <v>54.9</v>
      </c>
      <c r="I185" s="14">
        <v>516</v>
      </c>
      <c r="J185" s="14">
        <v>84</v>
      </c>
      <c r="K185" s="15">
        <v>4396</v>
      </c>
      <c r="L185" s="15">
        <v>1951</v>
      </c>
      <c r="M185" s="21">
        <v>44.381255686988169</v>
      </c>
      <c r="N185" s="15">
        <v>1462</v>
      </c>
      <c r="O185" s="21">
        <v>33.257506824385807</v>
      </c>
      <c r="P185" s="14">
        <v>263</v>
      </c>
      <c r="Q185" s="21">
        <v>5.9827115559599635</v>
      </c>
      <c r="R185" s="14">
        <v>97</v>
      </c>
      <c r="S185" s="21">
        <v>2.2065514103730663</v>
      </c>
      <c r="T185" s="5" t="s">
        <v>63</v>
      </c>
      <c r="U185" s="5" t="s">
        <v>63</v>
      </c>
      <c r="V185" s="5" t="s">
        <v>63</v>
      </c>
      <c r="W185" s="5" t="s">
        <v>63</v>
      </c>
      <c r="X185" s="14">
        <v>37</v>
      </c>
      <c r="Y185" s="21">
        <v>0.84167424931756141</v>
      </c>
      <c r="Z185" s="14">
        <v>32</v>
      </c>
      <c r="AA185" s="21">
        <v>0.72793448589626941</v>
      </c>
      <c r="AB185" s="14">
        <v>12</v>
      </c>
      <c r="AC185" s="21">
        <v>0.27297543221110104</v>
      </c>
      <c r="AD185" s="14">
        <v>157</v>
      </c>
      <c r="AE185" s="21">
        <v>3.5714285714285712</v>
      </c>
      <c r="AF185" s="14">
        <v>27</v>
      </c>
      <c r="AG185" s="21">
        <v>0.61419472247497731</v>
      </c>
      <c r="AH185" s="14">
        <v>60</v>
      </c>
      <c r="AI185" s="21">
        <v>1.3648771610555051</v>
      </c>
      <c r="AJ185" s="14">
        <v>290</v>
      </c>
      <c r="AK185" s="21">
        <v>6.5969062784349415</v>
      </c>
      <c r="AL185" s="14">
        <v>8</v>
      </c>
      <c r="AM185" s="21">
        <v>0.18198362147406735</v>
      </c>
    </row>
    <row r="186" spans="1:39" s="14" customFormat="1" x14ac:dyDescent="0.15">
      <c r="A186" s="19"/>
      <c r="B186" s="20"/>
      <c r="C186" s="15"/>
      <c r="F186" s="15"/>
      <c r="G186" s="15"/>
      <c r="H186" s="16"/>
      <c r="K186" s="15"/>
      <c r="L186" s="15"/>
      <c r="M186" s="5"/>
      <c r="N186" s="15"/>
      <c r="O186" s="5"/>
      <c r="Q186" s="5"/>
      <c r="S186" s="5"/>
      <c r="T186" s="5"/>
      <c r="U186" s="5"/>
      <c r="V186" s="5"/>
      <c r="W186" s="5"/>
      <c r="Y186" s="5"/>
      <c r="AA186" s="5"/>
      <c r="AC186" s="5"/>
      <c r="AE186" s="5"/>
      <c r="AG186" s="5"/>
      <c r="AI186" s="5"/>
      <c r="AK186" s="5"/>
      <c r="AM186" s="5"/>
    </row>
    <row r="187" spans="1:39" s="14" customFormat="1" x14ac:dyDescent="0.15">
      <c r="A187" s="19">
        <v>514</v>
      </c>
      <c r="B187" s="20" t="s">
        <v>157</v>
      </c>
      <c r="C187" s="15">
        <v>5948</v>
      </c>
      <c r="D187" s="15">
        <v>1239</v>
      </c>
      <c r="E187" s="14">
        <v>1</v>
      </c>
      <c r="F187" s="15">
        <v>7188</v>
      </c>
      <c r="G187" s="15">
        <v>4715</v>
      </c>
      <c r="H187" s="16">
        <v>66.7</v>
      </c>
      <c r="I187" s="14">
        <v>973</v>
      </c>
      <c r="J187" s="14">
        <v>42</v>
      </c>
      <c r="K187" s="15">
        <v>4673</v>
      </c>
      <c r="L187" s="15">
        <v>2047</v>
      </c>
      <c r="M187" s="21">
        <v>43.804836293601539</v>
      </c>
      <c r="N187" s="15">
        <v>1484</v>
      </c>
      <c r="O187" s="21">
        <v>31.756901348170341</v>
      </c>
      <c r="P187" s="14">
        <v>474</v>
      </c>
      <c r="Q187" s="21">
        <v>10.143376845709394</v>
      </c>
      <c r="R187" s="14">
        <v>62</v>
      </c>
      <c r="S187" s="21">
        <v>1.326770811042157</v>
      </c>
      <c r="T187" s="5" t="s">
        <v>63</v>
      </c>
      <c r="U187" s="5" t="s">
        <v>63</v>
      </c>
      <c r="V187" s="5" t="s">
        <v>63</v>
      </c>
      <c r="W187" s="5" t="s">
        <v>63</v>
      </c>
      <c r="X187" s="14">
        <v>29</v>
      </c>
      <c r="Y187" s="21">
        <v>0.62058634710036376</v>
      </c>
      <c r="Z187" s="14">
        <v>30</v>
      </c>
      <c r="AA187" s="21">
        <v>0.64198587631072113</v>
      </c>
      <c r="AB187" s="14">
        <v>11</v>
      </c>
      <c r="AC187" s="21">
        <v>0.23539482131393111</v>
      </c>
      <c r="AD187" s="14">
        <v>273</v>
      </c>
      <c r="AE187" s="21">
        <v>5.8420714744275628</v>
      </c>
      <c r="AF187" s="14">
        <v>9</v>
      </c>
      <c r="AG187" s="21">
        <v>0.19259576289321637</v>
      </c>
      <c r="AH187" s="14">
        <v>49</v>
      </c>
      <c r="AI187" s="21">
        <v>1.0485769313075111</v>
      </c>
      <c r="AJ187" s="14">
        <v>193</v>
      </c>
      <c r="AK187" s="21">
        <v>4.1301091375989731</v>
      </c>
      <c r="AL187" s="14">
        <v>12</v>
      </c>
      <c r="AM187" s="21">
        <v>0.25679435052428845</v>
      </c>
    </row>
    <row r="188" spans="1:39" s="14" customFormat="1" x14ac:dyDescent="0.15">
      <c r="A188" s="19"/>
      <c r="B188" s="20"/>
      <c r="C188" s="15"/>
      <c r="D188" s="15"/>
      <c r="F188" s="15"/>
      <c r="G188" s="15"/>
      <c r="H188" s="16"/>
      <c r="K188" s="15"/>
      <c r="L188" s="15"/>
      <c r="M188" s="5"/>
      <c r="N188" s="15"/>
      <c r="O188" s="5"/>
      <c r="Q188" s="5"/>
      <c r="S188" s="5"/>
      <c r="T188" s="5"/>
      <c r="U188" s="5"/>
      <c r="V188" s="5"/>
      <c r="W188" s="5"/>
      <c r="Y188" s="5"/>
      <c r="AA188" s="5"/>
      <c r="AC188" s="5"/>
      <c r="AE188" s="5"/>
      <c r="AG188" s="5"/>
      <c r="AI188" s="5"/>
      <c r="AK188" s="5"/>
      <c r="AM188" s="5"/>
    </row>
    <row r="189" spans="1:39" s="14" customFormat="1" x14ac:dyDescent="0.15">
      <c r="A189" s="19">
        <v>515</v>
      </c>
      <c r="B189" s="20" t="s">
        <v>158</v>
      </c>
      <c r="C189" s="15">
        <v>3982</v>
      </c>
      <c r="D189" s="14">
        <v>777</v>
      </c>
      <c r="E189" s="14">
        <v>0</v>
      </c>
      <c r="F189" s="15">
        <v>4759</v>
      </c>
      <c r="G189" s="15">
        <v>3377</v>
      </c>
      <c r="H189" s="16">
        <v>69.5</v>
      </c>
      <c r="I189" s="14">
        <v>729</v>
      </c>
      <c r="J189" s="14">
        <v>41</v>
      </c>
      <c r="K189" s="15">
        <v>3336</v>
      </c>
      <c r="L189" s="15">
        <v>1258</v>
      </c>
      <c r="M189" s="21">
        <v>37.709832134292562</v>
      </c>
      <c r="N189" s="15">
        <v>1283</v>
      </c>
      <c r="O189" s="21">
        <v>38.459232613908874</v>
      </c>
      <c r="P189" s="14">
        <v>372</v>
      </c>
      <c r="Q189" s="21">
        <v>11.151079136690647</v>
      </c>
      <c r="R189" s="14">
        <v>12</v>
      </c>
      <c r="S189" s="21">
        <v>0.35971223021582738</v>
      </c>
      <c r="T189" s="5" t="s">
        <v>63</v>
      </c>
      <c r="U189" s="5" t="s">
        <v>63</v>
      </c>
      <c r="V189" s="5" t="s">
        <v>63</v>
      </c>
      <c r="W189" s="5" t="s">
        <v>63</v>
      </c>
      <c r="X189" s="14">
        <v>20</v>
      </c>
      <c r="Y189" s="21">
        <v>0.59952038369304561</v>
      </c>
      <c r="Z189" s="14">
        <v>11</v>
      </c>
      <c r="AA189" s="21">
        <v>0.32973621103117506</v>
      </c>
      <c r="AB189" s="14">
        <v>6</v>
      </c>
      <c r="AC189" s="21">
        <v>0.17985611510791369</v>
      </c>
      <c r="AD189" s="14">
        <v>202</v>
      </c>
      <c r="AE189" s="21">
        <v>6.0551558752997598</v>
      </c>
      <c r="AF189" s="14">
        <v>2</v>
      </c>
      <c r="AG189" s="21">
        <v>5.9952038369304551E-2</v>
      </c>
      <c r="AH189" s="14">
        <v>24</v>
      </c>
      <c r="AI189" s="21">
        <v>0.71942446043165476</v>
      </c>
      <c r="AJ189" s="14">
        <v>141</v>
      </c>
      <c r="AK189" s="21">
        <v>4.2266187050359711</v>
      </c>
      <c r="AL189" s="14">
        <v>5</v>
      </c>
      <c r="AM189" s="21">
        <v>0.1498800959232614</v>
      </c>
    </row>
    <row r="190" spans="1:39" s="14" customFormat="1" x14ac:dyDescent="0.15">
      <c r="A190" s="19"/>
      <c r="B190" s="20"/>
      <c r="C190" s="15"/>
      <c r="F190" s="15"/>
      <c r="G190" s="15"/>
      <c r="H190" s="16"/>
      <c r="K190" s="15"/>
      <c r="L190" s="15"/>
      <c r="M190" s="21"/>
      <c r="N190" s="15"/>
      <c r="O190" s="21"/>
      <c r="Q190" s="21"/>
      <c r="S190" s="21"/>
      <c r="T190" s="5"/>
      <c r="U190" s="5"/>
      <c r="V190" s="5"/>
      <c r="W190" s="5"/>
      <c r="Y190" s="21"/>
      <c r="AA190" s="21"/>
      <c r="AC190" s="21"/>
      <c r="AE190" s="21"/>
      <c r="AG190" s="21"/>
      <c r="AI190" s="21"/>
      <c r="AK190" s="21"/>
      <c r="AM190" s="21"/>
    </row>
    <row r="191" spans="1:39" s="14" customFormat="1" x14ac:dyDescent="0.15">
      <c r="A191" s="19">
        <v>51</v>
      </c>
      <c r="B191" s="20" t="s">
        <v>159</v>
      </c>
      <c r="C191" s="15">
        <v>22445</v>
      </c>
      <c r="D191" s="15">
        <v>3157</v>
      </c>
      <c r="E191" s="14">
        <v>1</v>
      </c>
      <c r="F191" s="15">
        <v>25603</v>
      </c>
      <c r="G191" s="15">
        <v>16003</v>
      </c>
      <c r="H191" s="16">
        <v>62.2</v>
      </c>
      <c r="I191" s="15">
        <v>2750</v>
      </c>
      <c r="J191" s="14">
        <v>218</v>
      </c>
      <c r="K191" s="15">
        <v>15785</v>
      </c>
      <c r="L191" s="15">
        <v>6860</v>
      </c>
      <c r="M191" s="21">
        <v>43.458980044345893</v>
      </c>
      <c r="N191" s="15">
        <v>5159</v>
      </c>
      <c r="O191" s="21">
        <v>32.682926829268297</v>
      </c>
      <c r="P191" s="15">
        <v>1401</v>
      </c>
      <c r="Q191" s="21">
        <v>8.8755147291732666</v>
      </c>
      <c r="R191" s="14">
        <v>226</v>
      </c>
      <c r="S191" s="21">
        <v>1.4317389927146025</v>
      </c>
      <c r="T191" s="5" t="s">
        <v>63</v>
      </c>
      <c r="U191" s="5" t="s">
        <v>63</v>
      </c>
      <c r="V191" s="5" t="s">
        <v>63</v>
      </c>
      <c r="W191" s="5" t="s">
        <v>63</v>
      </c>
      <c r="X191" s="14">
        <v>108</v>
      </c>
      <c r="Y191" s="21">
        <v>0.68419385492556228</v>
      </c>
      <c r="Z191" s="14">
        <v>107</v>
      </c>
      <c r="AA191" s="21">
        <v>0.67785872663921443</v>
      </c>
      <c r="AB191" s="14">
        <v>47</v>
      </c>
      <c r="AC191" s="21">
        <v>0.29775102945834653</v>
      </c>
      <c r="AD191" s="14">
        <v>778</v>
      </c>
      <c r="AE191" s="21">
        <v>4.9287298067785876</v>
      </c>
      <c r="AF191" s="14">
        <v>56</v>
      </c>
      <c r="AG191" s="21">
        <v>0.35476718403547669</v>
      </c>
      <c r="AH191" s="14">
        <v>187</v>
      </c>
      <c r="AI191" s="21">
        <v>1.1846689895470384</v>
      </c>
      <c r="AJ191" s="14">
        <v>824</v>
      </c>
      <c r="AK191" s="21">
        <v>5.2201457079505857</v>
      </c>
      <c r="AL191" s="14">
        <v>32</v>
      </c>
      <c r="AM191" s="21">
        <v>0.20272410516312955</v>
      </c>
    </row>
    <row r="192" spans="1:39" s="14" customFormat="1" x14ac:dyDescent="0.15">
      <c r="A192" s="19"/>
      <c r="B192" s="20"/>
      <c r="C192" s="15"/>
      <c r="D192" s="15"/>
      <c r="F192" s="15"/>
      <c r="G192" s="15"/>
      <c r="H192" s="16"/>
      <c r="I192" s="15"/>
      <c r="K192" s="15"/>
      <c r="L192" s="15"/>
      <c r="M192" s="5"/>
      <c r="N192" s="15"/>
      <c r="O192" s="5"/>
      <c r="P192" s="15"/>
      <c r="Q192" s="5"/>
      <c r="S192" s="5"/>
      <c r="T192" s="5"/>
      <c r="U192" s="5"/>
      <c r="V192" s="5"/>
      <c r="W192" s="5"/>
      <c r="Y192" s="5"/>
      <c r="AA192" s="5"/>
      <c r="AC192" s="5"/>
      <c r="AE192" s="5"/>
      <c r="AG192" s="5"/>
      <c r="AI192" s="5"/>
      <c r="AK192" s="5"/>
      <c r="AM192" s="5"/>
    </row>
    <row r="193" spans="1:39" s="14" customFormat="1" x14ac:dyDescent="0.15">
      <c r="A193" s="19">
        <v>521</v>
      </c>
      <c r="B193" s="20" t="s">
        <v>160</v>
      </c>
      <c r="C193" s="15">
        <v>4366</v>
      </c>
      <c r="D193" s="14">
        <v>574</v>
      </c>
      <c r="E193" s="14">
        <v>0</v>
      </c>
      <c r="F193" s="15">
        <v>4940</v>
      </c>
      <c r="G193" s="15">
        <v>3066</v>
      </c>
      <c r="H193" s="16">
        <v>60.9</v>
      </c>
      <c r="I193" s="14">
        <v>545</v>
      </c>
      <c r="J193" s="14">
        <v>34</v>
      </c>
      <c r="K193" s="15">
        <v>3032</v>
      </c>
      <c r="L193" s="15">
        <v>1270</v>
      </c>
      <c r="M193" s="21">
        <v>41.886543535620049</v>
      </c>
      <c r="N193" s="14">
        <v>963</v>
      </c>
      <c r="O193" s="21">
        <v>31.761213720316622</v>
      </c>
      <c r="P193" s="14">
        <v>336</v>
      </c>
      <c r="Q193" s="21">
        <v>11.081794195250659</v>
      </c>
      <c r="R193" s="14">
        <v>29</v>
      </c>
      <c r="S193" s="21">
        <v>0.95646437994722955</v>
      </c>
      <c r="T193" s="5" t="s">
        <v>63</v>
      </c>
      <c r="U193" s="5" t="s">
        <v>63</v>
      </c>
      <c r="V193" s="5" t="s">
        <v>63</v>
      </c>
      <c r="W193" s="5" t="s">
        <v>63</v>
      </c>
      <c r="X193" s="14">
        <v>17</v>
      </c>
      <c r="Y193" s="21">
        <v>0.56068601583113453</v>
      </c>
      <c r="Z193" s="14">
        <v>25</v>
      </c>
      <c r="AA193" s="21">
        <v>0.82453825857519791</v>
      </c>
      <c r="AB193" s="14">
        <v>15</v>
      </c>
      <c r="AC193" s="21">
        <v>0.49472295514511877</v>
      </c>
      <c r="AD193" s="14">
        <v>125</v>
      </c>
      <c r="AE193" s="21">
        <v>4.1226912928759889</v>
      </c>
      <c r="AF193" s="14">
        <v>11</v>
      </c>
      <c r="AG193" s="21">
        <v>0.36279683377308708</v>
      </c>
      <c r="AH193" s="14">
        <v>46</v>
      </c>
      <c r="AI193" s="21">
        <v>1.5171503957783641</v>
      </c>
      <c r="AJ193" s="14">
        <v>189</v>
      </c>
      <c r="AK193" s="21">
        <v>6.2335092348284959</v>
      </c>
      <c r="AL193" s="14">
        <v>6</v>
      </c>
      <c r="AM193" s="21">
        <v>0.19788918205804751</v>
      </c>
    </row>
    <row r="194" spans="1:39" s="14" customFormat="1" x14ac:dyDescent="0.15">
      <c r="A194" s="19"/>
      <c r="B194" s="20"/>
      <c r="C194" s="15"/>
      <c r="F194" s="15"/>
      <c r="G194" s="15"/>
      <c r="H194" s="16"/>
      <c r="K194" s="15"/>
      <c r="L194" s="15"/>
      <c r="M194" s="5"/>
      <c r="O194" s="5"/>
      <c r="Q194" s="5"/>
      <c r="S194" s="5"/>
      <c r="T194" s="5"/>
      <c r="U194" s="5"/>
      <c r="V194" s="5"/>
      <c r="W194" s="5"/>
      <c r="Y194" s="5"/>
      <c r="AA194" s="5"/>
      <c r="AC194" s="5"/>
      <c r="AE194" s="5"/>
      <c r="AG194" s="5"/>
      <c r="AI194" s="5"/>
      <c r="AK194" s="5"/>
      <c r="AM194" s="5"/>
    </row>
    <row r="195" spans="1:39" s="14" customFormat="1" x14ac:dyDescent="0.15">
      <c r="A195" s="19">
        <v>522</v>
      </c>
      <c r="B195" s="20" t="s">
        <v>161</v>
      </c>
      <c r="C195" s="15">
        <v>3283</v>
      </c>
      <c r="D195" s="14">
        <v>330</v>
      </c>
      <c r="E195" s="14">
        <v>0</v>
      </c>
      <c r="F195" s="15">
        <v>3613</v>
      </c>
      <c r="G195" s="15">
        <v>2178</v>
      </c>
      <c r="H195" s="16">
        <v>59.9</v>
      </c>
      <c r="I195" s="14">
        <v>296</v>
      </c>
      <c r="J195" s="14">
        <v>20</v>
      </c>
      <c r="K195" s="15">
        <v>2158</v>
      </c>
      <c r="L195" s="14">
        <v>961</v>
      </c>
      <c r="M195" s="21">
        <v>44.531974050046344</v>
      </c>
      <c r="N195" s="14">
        <v>641</v>
      </c>
      <c r="O195" s="21">
        <v>29.703429101019463</v>
      </c>
      <c r="P195" s="14">
        <v>249</v>
      </c>
      <c r="Q195" s="21">
        <v>11.538461538461538</v>
      </c>
      <c r="R195" s="14">
        <v>23</v>
      </c>
      <c r="S195" s="21">
        <v>1.065801668211307</v>
      </c>
      <c r="T195" s="5" t="s">
        <v>63</v>
      </c>
      <c r="U195" s="5" t="s">
        <v>63</v>
      </c>
      <c r="V195" s="5" t="s">
        <v>63</v>
      </c>
      <c r="W195" s="5" t="s">
        <v>63</v>
      </c>
      <c r="X195" s="14">
        <v>10</v>
      </c>
      <c r="Y195" s="21">
        <v>0.46339202965708987</v>
      </c>
      <c r="Z195" s="14">
        <v>15</v>
      </c>
      <c r="AA195" s="21">
        <v>0.69508804448563488</v>
      </c>
      <c r="AB195" s="14">
        <v>10</v>
      </c>
      <c r="AC195" s="21">
        <v>0.46339202965708987</v>
      </c>
      <c r="AD195" s="14">
        <v>78</v>
      </c>
      <c r="AE195" s="21">
        <v>3.6144578313253009</v>
      </c>
      <c r="AF195" s="14">
        <v>8</v>
      </c>
      <c r="AG195" s="21">
        <v>0.3707136237256719</v>
      </c>
      <c r="AH195" s="14">
        <v>13</v>
      </c>
      <c r="AI195" s="21">
        <v>0.60240963855421692</v>
      </c>
      <c r="AJ195" s="14">
        <v>141</v>
      </c>
      <c r="AK195" s="21">
        <v>6.5338276181649686</v>
      </c>
      <c r="AL195" s="14">
        <v>9</v>
      </c>
      <c r="AM195" s="21">
        <v>0.41705282669138094</v>
      </c>
    </row>
    <row r="196" spans="1:39" s="14" customFormat="1" x14ac:dyDescent="0.15">
      <c r="A196" s="19"/>
      <c r="B196" s="20"/>
      <c r="C196" s="15"/>
      <c r="F196" s="15"/>
      <c r="G196" s="15"/>
      <c r="H196" s="16"/>
      <c r="K196" s="15"/>
      <c r="M196" s="5"/>
      <c r="O196" s="5"/>
      <c r="Q196" s="5"/>
      <c r="S196" s="5"/>
      <c r="T196" s="5"/>
      <c r="U196" s="5"/>
      <c r="V196" s="5"/>
      <c r="W196" s="5"/>
      <c r="Y196" s="5"/>
      <c r="AA196" s="5"/>
      <c r="AC196" s="5"/>
      <c r="AE196" s="5"/>
      <c r="AG196" s="5"/>
      <c r="AI196" s="5"/>
      <c r="AK196" s="5"/>
      <c r="AM196" s="5"/>
    </row>
    <row r="197" spans="1:39" s="14" customFormat="1" x14ac:dyDescent="0.15">
      <c r="A197" s="19">
        <v>523</v>
      </c>
      <c r="B197" s="20" t="s">
        <v>162</v>
      </c>
      <c r="C197" s="15">
        <v>3832</v>
      </c>
      <c r="D197" s="14">
        <v>487</v>
      </c>
      <c r="E197" s="14">
        <v>0</v>
      </c>
      <c r="F197" s="15">
        <v>4319</v>
      </c>
      <c r="G197" s="15">
        <v>2928</v>
      </c>
      <c r="H197" s="16">
        <v>66.8</v>
      </c>
      <c r="I197" s="14">
        <v>459</v>
      </c>
      <c r="J197" s="14">
        <v>28</v>
      </c>
      <c r="K197" s="15">
        <v>2900</v>
      </c>
      <c r="L197" s="15">
        <v>1191</v>
      </c>
      <c r="M197" s="21">
        <v>41.068965517241381</v>
      </c>
      <c r="N197" s="14">
        <v>988</v>
      </c>
      <c r="O197" s="21">
        <v>34.068965517241381</v>
      </c>
      <c r="P197" s="14">
        <v>332</v>
      </c>
      <c r="Q197" s="21">
        <v>11.448275862068966</v>
      </c>
      <c r="R197" s="14">
        <v>20</v>
      </c>
      <c r="S197" s="21">
        <v>0.68965517241379315</v>
      </c>
      <c r="T197" s="5" t="s">
        <v>63</v>
      </c>
      <c r="U197" s="5" t="s">
        <v>63</v>
      </c>
      <c r="V197" s="5" t="s">
        <v>63</v>
      </c>
      <c r="W197" s="5" t="s">
        <v>63</v>
      </c>
      <c r="X197" s="14">
        <v>10</v>
      </c>
      <c r="Y197" s="21">
        <v>0.34482758620689657</v>
      </c>
      <c r="Z197" s="14">
        <v>17</v>
      </c>
      <c r="AA197" s="21">
        <v>0.5862068965517242</v>
      </c>
      <c r="AB197" s="14">
        <v>11</v>
      </c>
      <c r="AC197" s="21">
        <v>0.37931034482758619</v>
      </c>
      <c r="AD197" s="14">
        <v>137</v>
      </c>
      <c r="AE197" s="21">
        <v>4.7241379310344822</v>
      </c>
      <c r="AF197" s="14">
        <v>4</v>
      </c>
      <c r="AG197" s="21">
        <v>0.13793103448275862</v>
      </c>
      <c r="AH197" s="14">
        <v>44</v>
      </c>
      <c r="AI197" s="21">
        <v>1.5172413793103448</v>
      </c>
      <c r="AJ197" s="14">
        <v>145</v>
      </c>
      <c r="AK197" s="21">
        <v>5</v>
      </c>
      <c r="AL197" s="14">
        <v>1</v>
      </c>
      <c r="AM197" s="21">
        <v>3.4482758620689655E-2</v>
      </c>
    </row>
    <row r="198" spans="1:39" s="14" customFormat="1" x14ac:dyDescent="0.15">
      <c r="A198" s="19"/>
      <c r="B198" s="20"/>
      <c r="C198" s="15"/>
      <c r="F198" s="15"/>
      <c r="G198" s="15"/>
      <c r="H198" s="16"/>
      <c r="K198" s="15"/>
      <c r="L198" s="15"/>
      <c r="M198" s="5"/>
      <c r="O198" s="5"/>
      <c r="Q198" s="5"/>
      <c r="S198" s="5"/>
      <c r="T198" s="5"/>
      <c r="U198" s="5"/>
      <c r="V198" s="5"/>
      <c r="W198" s="5"/>
      <c r="Y198" s="5"/>
      <c r="AA198" s="5"/>
      <c r="AC198" s="5"/>
      <c r="AE198" s="5"/>
      <c r="AG198" s="5"/>
      <c r="AI198" s="5"/>
      <c r="AK198" s="5"/>
      <c r="AM198" s="5"/>
    </row>
    <row r="199" spans="1:39" s="14" customFormat="1" x14ac:dyDescent="0.15">
      <c r="A199" s="19">
        <v>524</v>
      </c>
      <c r="B199" s="20" t="s">
        <v>163</v>
      </c>
      <c r="C199" s="15">
        <v>5319</v>
      </c>
      <c r="D199" s="14">
        <v>378</v>
      </c>
      <c r="E199" s="14">
        <v>0</v>
      </c>
      <c r="F199" s="15">
        <v>5697</v>
      </c>
      <c r="G199" s="15">
        <v>3462</v>
      </c>
      <c r="H199" s="16">
        <v>60.2</v>
      </c>
      <c r="I199" s="14">
        <v>353</v>
      </c>
      <c r="J199" s="14">
        <v>44</v>
      </c>
      <c r="K199" s="15">
        <v>3418</v>
      </c>
      <c r="L199" s="15">
        <v>1693</v>
      </c>
      <c r="M199" s="21">
        <v>49.531889994148628</v>
      </c>
      <c r="N199" s="14">
        <v>967</v>
      </c>
      <c r="O199" s="21">
        <v>28.291398478642481</v>
      </c>
      <c r="P199" s="14">
        <v>253</v>
      </c>
      <c r="Q199" s="21">
        <v>7.4019894675248681</v>
      </c>
      <c r="R199" s="14">
        <v>53</v>
      </c>
      <c r="S199" s="21">
        <v>1.55061439438268</v>
      </c>
      <c r="T199" s="5" t="s">
        <v>63</v>
      </c>
      <c r="U199" s="5" t="s">
        <v>63</v>
      </c>
      <c r="V199" s="5" t="s">
        <v>63</v>
      </c>
      <c r="W199" s="5" t="s">
        <v>63</v>
      </c>
      <c r="X199" s="14">
        <v>19</v>
      </c>
      <c r="Y199" s="21">
        <v>0.5558806319485079</v>
      </c>
      <c r="Z199" s="14">
        <v>39</v>
      </c>
      <c r="AA199" s="21">
        <v>1.1410181392627268</v>
      </c>
      <c r="AB199" s="14">
        <v>22</v>
      </c>
      <c r="AC199" s="21">
        <v>0.64365125804564072</v>
      </c>
      <c r="AD199" s="14">
        <v>92</v>
      </c>
      <c r="AE199" s="21">
        <v>2.6916325336454068</v>
      </c>
      <c r="AF199" s="14">
        <v>8</v>
      </c>
      <c r="AG199" s="21">
        <v>0.23405500292568754</v>
      </c>
      <c r="AH199" s="14">
        <v>52</v>
      </c>
      <c r="AI199" s="21">
        <v>1.5213575190169688</v>
      </c>
      <c r="AJ199" s="14">
        <v>217</v>
      </c>
      <c r="AK199" s="21">
        <v>6.3487419543592747</v>
      </c>
      <c r="AL199" s="14">
        <v>3</v>
      </c>
      <c r="AM199" s="21">
        <v>8.777062609713282E-2</v>
      </c>
    </row>
    <row r="200" spans="1:39" s="14" customFormat="1" x14ac:dyDescent="0.15">
      <c r="A200" s="19"/>
      <c r="B200" s="20"/>
      <c r="C200" s="15"/>
      <c r="F200" s="15"/>
      <c r="G200" s="15"/>
      <c r="H200" s="16"/>
      <c r="K200" s="15"/>
      <c r="L200" s="15"/>
      <c r="M200" s="5"/>
      <c r="O200" s="5"/>
      <c r="Q200" s="5"/>
      <c r="S200" s="5"/>
      <c r="T200" s="5"/>
      <c r="U200" s="5"/>
      <c r="V200" s="5"/>
      <c r="W200" s="5"/>
      <c r="Y200" s="5"/>
      <c r="AA200" s="5"/>
      <c r="AC200" s="5"/>
      <c r="AE200" s="5"/>
      <c r="AG200" s="5"/>
      <c r="AI200" s="5"/>
      <c r="AK200" s="5"/>
      <c r="AM200" s="5"/>
    </row>
    <row r="201" spans="1:39" s="14" customFormat="1" x14ac:dyDescent="0.15">
      <c r="A201" s="19">
        <v>525</v>
      </c>
      <c r="B201" s="20" t="s">
        <v>164</v>
      </c>
      <c r="C201" s="15">
        <v>5687</v>
      </c>
      <c r="D201" s="14">
        <v>475</v>
      </c>
      <c r="E201" s="14">
        <v>0</v>
      </c>
      <c r="F201" s="15">
        <v>6162</v>
      </c>
      <c r="G201" s="15">
        <v>3557</v>
      </c>
      <c r="H201" s="16">
        <v>57.2</v>
      </c>
      <c r="I201" s="14">
        <v>434</v>
      </c>
      <c r="J201" s="14">
        <v>61</v>
      </c>
      <c r="K201" s="15">
        <v>3496</v>
      </c>
      <c r="L201" s="15">
        <v>1659</v>
      </c>
      <c r="M201" s="21">
        <v>47.454233409610985</v>
      </c>
      <c r="N201" s="14">
        <v>961</v>
      </c>
      <c r="O201" s="21">
        <v>27.488558352402748</v>
      </c>
      <c r="P201" s="14">
        <v>312</v>
      </c>
      <c r="Q201" s="21">
        <v>8.9244851258581246</v>
      </c>
      <c r="R201" s="14">
        <v>40</v>
      </c>
      <c r="S201" s="21">
        <v>1.1441647597254003</v>
      </c>
      <c r="T201" s="5" t="s">
        <v>63</v>
      </c>
      <c r="U201" s="5" t="s">
        <v>63</v>
      </c>
      <c r="V201" s="5" t="s">
        <v>63</v>
      </c>
      <c r="W201" s="5" t="s">
        <v>63</v>
      </c>
      <c r="X201" s="14">
        <v>13</v>
      </c>
      <c r="Y201" s="21">
        <v>0.37185354691075517</v>
      </c>
      <c r="Z201" s="14">
        <v>39</v>
      </c>
      <c r="AA201" s="21">
        <v>1.1155606407322656</v>
      </c>
      <c r="AB201" s="14">
        <v>20</v>
      </c>
      <c r="AC201" s="21">
        <v>0.57208237986270016</v>
      </c>
      <c r="AD201" s="14">
        <v>113</v>
      </c>
      <c r="AE201" s="21">
        <v>3.2322654462242562</v>
      </c>
      <c r="AF201" s="14">
        <v>12</v>
      </c>
      <c r="AG201" s="21">
        <v>0.34324942791762014</v>
      </c>
      <c r="AH201" s="14">
        <v>58</v>
      </c>
      <c r="AI201" s="21">
        <v>1.6590389016018305</v>
      </c>
      <c r="AJ201" s="14">
        <v>266</v>
      </c>
      <c r="AK201" s="21">
        <v>7.608695652173914</v>
      </c>
      <c r="AL201" s="14">
        <v>3</v>
      </c>
      <c r="AM201" s="21">
        <v>8.5812356979405036E-2</v>
      </c>
    </row>
    <row r="202" spans="1:39" s="14" customFormat="1" x14ac:dyDescent="0.15">
      <c r="A202" s="19"/>
      <c r="B202" s="20"/>
      <c r="C202" s="15"/>
      <c r="F202" s="15"/>
      <c r="G202" s="15"/>
      <c r="H202" s="16"/>
      <c r="K202" s="15"/>
      <c r="L202" s="15"/>
      <c r="M202" s="21"/>
      <c r="O202" s="21"/>
      <c r="Q202" s="21"/>
      <c r="S202" s="21"/>
      <c r="T202" s="5"/>
      <c r="U202" s="5"/>
      <c r="V202" s="5"/>
      <c r="W202" s="5"/>
      <c r="Y202" s="21"/>
      <c r="AA202" s="21"/>
      <c r="AC202" s="21"/>
      <c r="AE202" s="21"/>
      <c r="AG202" s="21"/>
      <c r="AI202" s="21"/>
      <c r="AK202" s="21"/>
      <c r="AM202" s="21"/>
    </row>
    <row r="203" spans="1:39" s="14" customFormat="1" x14ac:dyDescent="0.15">
      <c r="A203" s="19">
        <v>52</v>
      </c>
      <c r="B203" s="20" t="s">
        <v>160</v>
      </c>
      <c r="C203" s="15">
        <v>22487</v>
      </c>
      <c r="D203" s="15">
        <v>2244</v>
      </c>
      <c r="E203" s="14">
        <v>0</v>
      </c>
      <c r="F203" s="15">
        <v>24731</v>
      </c>
      <c r="G203" s="15">
        <v>15191</v>
      </c>
      <c r="H203" s="16">
        <v>60.7</v>
      </c>
      <c r="I203" s="15">
        <v>2087</v>
      </c>
      <c r="J203" s="14">
        <v>187</v>
      </c>
      <c r="K203" s="15">
        <v>15004</v>
      </c>
      <c r="L203" s="15">
        <v>6774</v>
      </c>
      <c r="M203" s="21">
        <v>45.147960543854971</v>
      </c>
      <c r="N203" s="15">
        <v>4520</v>
      </c>
      <c r="O203" s="21">
        <v>30.125299920021327</v>
      </c>
      <c r="P203" s="15">
        <v>1482</v>
      </c>
      <c r="Q203" s="21">
        <v>9.8773660357238064</v>
      </c>
      <c r="R203" s="14">
        <v>165</v>
      </c>
      <c r="S203" s="21">
        <v>1.0997067448680353</v>
      </c>
      <c r="T203" s="5" t="s">
        <v>63</v>
      </c>
      <c r="U203" s="5" t="s">
        <v>63</v>
      </c>
      <c r="V203" s="5" t="s">
        <v>63</v>
      </c>
      <c r="W203" s="5" t="s">
        <v>63</v>
      </c>
      <c r="X203" s="14">
        <v>69</v>
      </c>
      <c r="Y203" s="21">
        <v>0.45987736603572382</v>
      </c>
      <c r="Z203" s="14">
        <v>135</v>
      </c>
      <c r="AA203" s="21">
        <v>0.89976006398293784</v>
      </c>
      <c r="AB203" s="14">
        <v>78</v>
      </c>
      <c r="AC203" s="21">
        <v>0.51986137030125301</v>
      </c>
      <c r="AD203" s="14">
        <v>545</v>
      </c>
      <c r="AE203" s="21">
        <v>3.6323647027459343</v>
      </c>
      <c r="AF203" s="14">
        <v>43</v>
      </c>
      <c r="AG203" s="21">
        <v>0.2865902426019728</v>
      </c>
      <c r="AH203" s="14">
        <v>213</v>
      </c>
      <c r="AI203" s="21">
        <v>1.4196214342841909</v>
      </c>
      <c r="AJ203" s="14">
        <v>958</v>
      </c>
      <c r="AK203" s="21">
        <v>6.3849640095974411</v>
      </c>
      <c r="AL203" s="14">
        <v>22</v>
      </c>
      <c r="AM203" s="21">
        <v>0.1466275659824047</v>
      </c>
    </row>
    <row r="204" spans="1:39" s="14" customFormat="1" x14ac:dyDescent="0.15">
      <c r="A204" s="19"/>
      <c r="B204" s="20"/>
      <c r="C204" s="15"/>
      <c r="D204" s="15"/>
      <c r="F204" s="15"/>
      <c r="G204" s="15"/>
      <c r="H204" s="16"/>
      <c r="I204" s="15"/>
      <c r="K204" s="15"/>
      <c r="L204" s="15"/>
      <c r="M204" s="5"/>
      <c r="N204" s="15"/>
      <c r="O204" s="5"/>
      <c r="P204" s="15"/>
      <c r="Q204" s="5"/>
      <c r="S204" s="5"/>
      <c r="T204" s="5"/>
      <c r="U204" s="5"/>
      <c r="V204" s="5"/>
      <c r="W204" s="5"/>
      <c r="Y204" s="5"/>
      <c r="AA204" s="5"/>
      <c r="AC204" s="5"/>
      <c r="AE204" s="5"/>
      <c r="AG204" s="5"/>
      <c r="AI204" s="5"/>
      <c r="AK204" s="5"/>
      <c r="AM204" s="5"/>
    </row>
    <row r="205" spans="1:39" s="14" customFormat="1" x14ac:dyDescent="0.15">
      <c r="A205" s="19">
        <v>531</v>
      </c>
      <c r="B205" s="20" t="s">
        <v>165</v>
      </c>
      <c r="C205" s="15">
        <v>6254</v>
      </c>
      <c r="D205" s="14">
        <v>524</v>
      </c>
      <c r="E205" s="14">
        <v>1</v>
      </c>
      <c r="F205" s="15">
        <v>6779</v>
      </c>
      <c r="G205" s="15">
        <v>3775</v>
      </c>
      <c r="H205" s="16">
        <v>55.1</v>
      </c>
      <c r="I205" s="14">
        <v>488</v>
      </c>
      <c r="J205" s="14">
        <v>43</v>
      </c>
      <c r="K205" s="15">
        <v>3732</v>
      </c>
      <c r="L205" s="15">
        <v>1668</v>
      </c>
      <c r="M205" s="21">
        <v>44.694533762057873</v>
      </c>
      <c r="N205" s="15">
        <v>1196</v>
      </c>
      <c r="O205" s="21">
        <v>32.047159699892816</v>
      </c>
      <c r="P205" s="14">
        <v>219</v>
      </c>
      <c r="Q205" s="21">
        <v>5.8681672025723479</v>
      </c>
      <c r="R205" s="14">
        <v>48</v>
      </c>
      <c r="S205" s="21">
        <v>1.2861736334405145</v>
      </c>
      <c r="T205" s="5" t="s">
        <v>63</v>
      </c>
      <c r="U205" s="5" t="s">
        <v>63</v>
      </c>
      <c r="V205" s="5" t="s">
        <v>63</v>
      </c>
      <c r="W205" s="5" t="s">
        <v>63</v>
      </c>
      <c r="X205" s="14">
        <v>20</v>
      </c>
      <c r="Y205" s="21">
        <v>0.53590568060021437</v>
      </c>
      <c r="Z205" s="14">
        <v>19</v>
      </c>
      <c r="AA205" s="21">
        <v>0.50911039657020363</v>
      </c>
      <c r="AB205" s="14">
        <v>16</v>
      </c>
      <c r="AC205" s="21">
        <v>0.4287245444801715</v>
      </c>
      <c r="AD205" s="14">
        <v>134</v>
      </c>
      <c r="AE205" s="21">
        <v>3.590568060021436</v>
      </c>
      <c r="AF205" s="14">
        <v>6</v>
      </c>
      <c r="AG205" s="21">
        <v>0.16077170418006431</v>
      </c>
      <c r="AH205" s="14">
        <v>44</v>
      </c>
      <c r="AI205" s="21">
        <v>1.1789924973204717</v>
      </c>
      <c r="AJ205" s="14">
        <v>354</v>
      </c>
      <c r="AK205" s="21">
        <v>9.485530546623794</v>
      </c>
      <c r="AL205" s="14">
        <v>8</v>
      </c>
      <c r="AM205" s="21">
        <v>0.21436227224008575</v>
      </c>
    </row>
    <row r="206" spans="1:39" s="14" customFormat="1" x14ac:dyDescent="0.15">
      <c r="A206" s="19"/>
      <c r="B206" s="20"/>
      <c r="C206" s="15"/>
      <c r="F206" s="15"/>
      <c r="G206" s="15"/>
      <c r="H206" s="16"/>
      <c r="K206" s="15"/>
      <c r="L206" s="15"/>
      <c r="M206" s="5"/>
      <c r="N206" s="15"/>
      <c r="O206" s="5"/>
      <c r="Q206" s="5"/>
      <c r="S206" s="5"/>
      <c r="T206" s="5"/>
      <c r="U206" s="5"/>
      <c r="V206" s="5"/>
      <c r="W206" s="5"/>
      <c r="Y206" s="5"/>
      <c r="AA206" s="5"/>
      <c r="AC206" s="5"/>
      <c r="AE206" s="5"/>
      <c r="AG206" s="5"/>
      <c r="AI206" s="5"/>
      <c r="AK206" s="5"/>
      <c r="AM206" s="5"/>
    </row>
    <row r="207" spans="1:39" s="14" customFormat="1" x14ac:dyDescent="0.15">
      <c r="A207" s="19">
        <v>532</v>
      </c>
      <c r="B207" s="20" t="s">
        <v>166</v>
      </c>
      <c r="C207" s="15">
        <v>3290</v>
      </c>
      <c r="D207" s="14">
        <v>369</v>
      </c>
      <c r="E207" s="14">
        <v>2</v>
      </c>
      <c r="F207" s="15">
        <v>3661</v>
      </c>
      <c r="G207" s="15">
        <v>2241</v>
      </c>
      <c r="H207" s="16">
        <v>60.7</v>
      </c>
      <c r="I207" s="14">
        <v>334</v>
      </c>
      <c r="J207" s="14">
        <v>35</v>
      </c>
      <c r="K207" s="15">
        <v>2206</v>
      </c>
      <c r="L207" s="15">
        <v>1068</v>
      </c>
      <c r="M207" s="21">
        <v>48.413417951042611</v>
      </c>
      <c r="N207" s="14">
        <v>659</v>
      </c>
      <c r="O207" s="21">
        <v>29.873073436083409</v>
      </c>
      <c r="P207" s="14">
        <v>120</v>
      </c>
      <c r="Q207" s="21">
        <v>5.4397098821396188</v>
      </c>
      <c r="R207" s="14">
        <v>26</v>
      </c>
      <c r="S207" s="21">
        <v>1.1786038077969174</v>
      </c>
      <c r="T207" s="5" t="s">
        <v>63</v>
      </c>
      <c r="U207" s="5" t="s">
        <v>63</v>
      </c>
      <c r="V207" s="5" t="s">
        <v>63</v>
      </c>
      <c r="W207" s="5" t="s">
        <v>63</v>
      </c>
      <c r="X207" s="14">
        <v>10</v>
      </c>
      <c r="Y207" s="21">
        <v>0.45330915684496825</v>
      </c>
      <c r="Z207" s="14">
        <v>10</v>
      </c>
      <c r="AA207" s="21">
        <v>0.45330915684496825</v>
      </c>
      <c r="AB207" s="14">
        <v>11</v>
      </c>
      <c r="AC207" s="21">
        <v>0.49864007252946507</v>
      </c>
      <c r="AD207" s="14">
        <v>79</v>
      </c>
      <c r="AE207" s="21">
        <v>3.5811423390752495</v>
      </c>
      <c r="AF207" s="14">
        <v>12</v>
      </c>
      <c r="AG207" s="21">
        <v>0.54397098821396195</v>
      </c>
      <c r="AH207" s="14">
        <v>31</v>
      </c>
      <c r="AI207" s="21">
        <v>1.4052583862194017</v>
      </c>
      <c r="AJ207" s="14">
        <v>179</v>
      </c>
      <c r="AK207" s="21">
        <v>8.1142339075249321</v>
      </c>
      <c r="AL207" s="14">
        <v>1</v>
      </c>
      <c r="AM207" s="21">
        <v>4.5330915684496827E-2</v>
      </c>
    </row>
    <row r="208" spans="1:39" s="14" customFormat="1" x14ac:dyDescent="0.15">
      <c r="A208" s="19"/>
      <c r="B208" s="20"/>
      <c r="C208" s="15"/>
      <c r="F208" s="15"/>
      <c r="G208" s="15"/>
      <c r="H208" s="16"/>
      <c r="K208" s="15"/>
      <c r="L208" s="15"/>
      <c r="M208" s="5"/>
      <c r="O208" s="5"/>
      <c r="Q208" s="5"/>
      <c r="S208" s="5"/>
      <c r="T208" s="5"/>
      <c r="U208" s="5"/>
      <c r="V208" s="5"/>
      <c r="W208" s="5"/>
      <c r="Y208" s="5"/>
      <c r="AA208" s="5"/>
      <c r="AC208" s="5"/>
      <c r="AE208" s="5"/>
      <c r="AG208" s="5"/>
      <c r="AI208" s="5"/>
      <c r="AK208" s="5"/>
      <c r="AM208" s="5"/>
    </row>
    <row r="209" spans="1:51" s="14" customFormat="1" x14ac:dyDescent="0.15">
      <c r="A209" s="19">
        <v>533</v>
      </c>
      <c r="B209" s="20" t="s">
        <v>167</v>
      </c>
      <c r="C209" s="15">
        <v>8437</v>
      </c>
      <c r="D209" s="14">
        <v>607</v>
      </c>
      <c r="E209" s="14">
        <v>0</v>
      </c>
      <c r="F209" s="15">
        <v>9044</v>
      </c>
      <c r="G209" s="15">
        <v>4837</v>
      </c>
      <c r="H209" s="16">
        <v>53</v>
      </c>
      <c r="I209" s="14">
        <v>560</v>
      </c>
      <c r="J209" s="14">
        <v>73</v>
      </c>
      <c r="K209" s="15">
        <v>4764</v>
      </c>
      <c r="L209" s="15">
        <v>2338</v>
      </c>
      <c r="M209" s="21">
        <v>49.076406381192278</v>
      </c>
      <c r="N209" s="15">
        <v>1334</v>
      </c>
      <c r="O209" s="21">
        <v>28.001679261125105</v>
      </c>
      <c r="P209" s="14">
        <v>299</v>
      </c>
      <c r="Q209" s="21">
        <v>6.2762384550797652</v>
      </c>
      <c r="R209" s="14">
        <v>86</v>
      </c>
      <c r="S209" s="21">
        <v>1.8052057094878253</v>
      </c>
      <c r="T209" s="5" t="s">
        <v>63</v>
      </c>
      <c r="U209" s="5" t="s">
        <v>63</v>
      </c>
      <c r="V209" s="5" t="s">
        <v>63</v>
      </c>
      <c r="W209" s="5" t="s">
        <v>63</v>
      </c>
      <c r="X209" s="14">
        <v>19</v>
      </c>
      <c r="Y209" s="21">
        <v>0.39882451721242651</v>
      </c>
      <c r="Z209" s="14">
        <v>39</v>
      </c>
      <c r="AA209" s="21">
        <v>0.81863979848866497</v>
      </c>
      <c r="AB209" s="14">
        <v>25</v>
      </c>
      <c r="AC209" s="21">
        <v>0.5247691015952981</v>
      </c>
      <c r="AD209" s="14">
        <v>128</v>
      </c>
      <c r="AE209" s="21">
        <v>2.6868178001679262</v>
      </c>
      <c r="AF209" s="14">
        <v>14</v>
      </c>
      <c r="AG209" s="21">
        <v>0.29387069689336692</v>
      </c>
      <c r="AH209" s="14">
        <v>57</v>
      </c>
      <c r="AI209" s="21">
        <v>1.1964735516372795</v>
      </c>
      <c r="AJ209" s="14">
        <v>415</v>
      </c>
      <c r="AK209" s="21">
        <v>8.7111670864819484</v>
      </c>
      <c r="AL209" s="14">
        <v>10</v>
      </c>
      <c r="AM209" s="21">
        <v>0.20990764063811923</v>
      </c>
    </row>
    <row r="210" spans="1:51" s="14" customFormat="1" x14ac:dyDescent="0.15">
      <c r="A210" s="19"/>
      <c r="B210" s="20"/>
      <c r="C210" s="15"/>
      <c r="F210" s="15"/>
      <c r="G210" s="15"/>
      <c r="H210" s="16"/>
      <c r="K210" s="15"/>
      <c r="L210" s="15"/>
      <c r="M210" s="5"/>
      <c r="N210" s="15"/>
      <c r="O210" s="5"/>
      <c r="Q210" s="5"/>
      <c r="S210" s="5"/>
      <c r="T210" s="5"/>
      <c r="U210" s="5"/>
      <c r="V210" s="5"/>
      <c r="W210" s="5"/>
      <c r="Y210" s="5"/>
      <c r="AA210" s="5"/>
      <c r="AC210" s="5"/>
      <c r="AE210" s="5"/>
      <c r="AG210" s="5"/>
      <c r="AI210" s="5"/>
      <c r="AK210" s="5"/>
      <c r="AM210" s="5"/>
    </row>
    <row r="211" spans="1:51" s="14" customFormat="1" x14ac:dyDescent="0.15">
      <c r="A211" s="19">
        <v>534</v>
      </c>
      <c r="B211" s="20" t="s">
        <v>168</v>
      </c>
      <c r="C211" s="15">
        <v>2206</v>
      </c>
      <c r="D211" s="14">
        <v>179</v>
      </c>
      <c r="E211" s="14">
        <v>0</v>
      </c>
      <c r="F211" s="15">
        <v>2385</v>
      </c>
      <c r="G211" s="15">
        <v>1470</v>
      </c>
      <c r="H211" s="16">
        <v>60.9</v>
      </c>
      <c r="I211" s="14">
        <v>170</v>
      </c>
      <c r="J211" s="14">
        <v>23</v>
      </c>
      <c r="K211" s="15">
        <v>1447</v>
      </c>
      <c r="L211" s="14">
        <v>685</v>
      </c>
      <c r="M211" s="21">
        <v>47.339322736696616</v>
      </c>
      <c r="N211" s="14">
        <v>444</v>
      </c>
      <c r="O211" s="21">
        <v>30.684174153420873</v>
      </c>
      <c r="P211" s="14">
        <v>80</v>
      </c>
      <c r="Q211" s="21">
        <v>5.5286800276434001</v>
      </c>
      <c r="R211" s="14">
        <v>24</v>
      </c>
      <c r="S211" s="21">
        <v>1.65860400829302</v>
      </c>
      <c r="T211" s="5" t="s">
        <v>63</v>
      </c>
      <c r="U211" s="5" t="s">
        <v>63</v>
      </c>
      <c r="V211" s="5" t="s">
        <v>63</v>
      </c>
      <c r="W211" s="5" t="s">
        <v>63</v>
      </c>
      <c r="X211" s="14">
        <v>2</v>
      </c>
      <c r="Y211" s="21">
        <v>0.138217000691085</v>
      </c>
      <c r="Z211" s="14">
        <v>10</v>
      </c>
      <c r="AA211" s="21">
        <v>0.69108500345542501</v>
      </c>
      <c r="AB211" s="14">
        <v>6</v>
      </c>
      <c r="AC211" s="21">
        <v>0.414651002073255</v>
      </c>
      <c r="AD211" s="14">
        <v>58</v>
      </c>
      <c r="AE211" s="21">
        <v>4.0082930200414655</v>
      </c>
      <c r="AF211" s="14">
        <v>7</v>
      </c>
      <c r="AG211" s="21">
        <v>0.48375950241879756</v>
      </c>
      <c r="AH211" s="14">
        <v>9</v>
      </c>
      <c r="AI211" s="21">
        <v>0.62197650310988251</v>
      </c>
      <c r="AJ211" s="14">
        <v>119</v>
      </c>
      <c r="AK211" s="21">
        <v>8.2239115411195574</v>
      </c>
      <c r="AL211" s="14">
        <v>3</v>
      </c>
      <c r="AM211" s="21">
        <v>0.2073255010366275</v>
      </c>
    </row>
    <row r="212" spans="1:51" s="14" customFormat="1" x14ac:dyDescent="0.15">
      <c r="A212" s="19"/>
      <c r="B212" s="20"/>
      <c r="C212" s="15"/>
      <c r="F212" s="15"/>
      <c r="G212" s="15"/>
      <c r="H212" s="16"/>
      <c r="K212" s="15"/>
      <c r="M212" s="5"/>
      <c r="O212" s="5"/>
      <c r="Q212" s="5"/>
      <c r="S212" s="5"/>
      <c r="T212" s="5"/>
      <c r="U212" s="5"/>
      <c r="V212" s="5"/>
      <c r="W212" s="5"/>
      <c r="Y212" s="5"/>
      <c r="AA212" s="5"/>
      <c r="AC212" s="5"/>
      <c r="AE212" s="5"/>
      <c r="AG212" s="5"/>
      <c r="AI212" s="5"/>
      <c r="AK212" s="5"/>
      <c r="AM212" s="5"/>
    </row>
    <row r="213" spans="1:51" s="14" customFormat="1" x14ac:dyDescent="0.15">
      <c r="A213" s="19">
        <v>535</v>
      </c>
      <c r="B213" s="20" t="s">
        <v>169</v>
      </c>
      <c r="C213" s="15">
        <v>1701</v>
      </c>
      <c r="D213" s="14">
        <v>132</v>
      </c>
      <c r="E213" s="14">
        <v>0</v>
      </c>
      <c r="F213" s="15">
        <v>1833</v>
      </c>
      <c r="G213" s="15">
        <v>1159</v>
      </c>
      <c r="H213" s="16">
        <v>62.6</v>
      </c>
      <c r="I213" s="14">
        <v>123</v>
      </c>
      <c r="J213" s="14">
        <v>9</v>
      </c>
      <c r="K213" s="15">
        <v>1150</v>
      </c>
      <c r="L213" s="14">
        <v>549</v>
      </c>
      <c r="M213" s="21">
        <v>47.739130434782609</v>
      </c>
      <c r="N213" s="14">
        <v>391</v>
      </c>
      <c r="O213" s="21">
        <v>34</v>
      </c>
      <c r="P213" s="14">
        <v>62</v>
      </c>
      <c r="Q213" s="21">
        <v>5.3913043478260869</v>
      </c>
      <c r="R213" s="14">
        <v>24</v>
      </c>
      <c r="S213" s="21">
        <v>2.0869565217391308</v>
      </c>
      <c r="T213" s="5" t="s">
        <v>63</v>
      </c>
      <c r="U213" s="5" t="s">
        <v>63</v>
      </c>
      <c r="V213" s="5" t="s">
        <v>63</v>
      </c>
      <c r="W213" s="5" t="s">
        <v>63</v>
      </c>
      <c r="X213" s="14">
        <v>10</v>
      </c>
      <c r="Y213" s="21">
        <v>0.86956521739130432</v>
      </c>
      <c r="Z213" s="14">
        <v>3</v>
      </c>
      <c r="AA213" s="21">
        <v>0.26086956521739135</v>
      </c>
      <c r="AB213" s="14">
        <v>3</v>
      </c>
      <c r="AC213" s="21">
        <v>0.26086956521739135</v>
      </c>
      <c r="AD213" s="14">
        <v>41</v>
      </c>
      <c r="AE213" s="21">
        <v>3.5652173913043477</v>
      </c>
      <c r="AF213" s="14">
        <v>1</v>
      </c>
      <c r="AG213" s="21">
        <v>8.6956521739130432E-2</v>
      </c>
      <c r="AH213" s="14">
        <v>3</v>
      </c>
      <c r="AI213" s="21">
        <v>0.26086956521739135</v>
      </c>
      <c r="AJ213" s="14">
        <v>62</v>
      </c>
      <c r="AK213" s="21">
        <v>5.3913043478260869</v>
      </c>
      <c r="AL213" s="14">
        <v>1</v>
      </c>
      <c r="AM213" s="21">
        <v>8.6956521739130432E-2</v>
      </c>
    </row>
    <row r="214" spans="1:51" s="14" customFormat="1" x14ac:dyDescent="0.15">
      <c r="A214" s="19"/>
      <c r="B214" s="20"/>
      <c r="C214" s="15"/>
      <c r="F214" s="15"/>
      <c r="G214" s="15"/>
      <c r="H214" s="16"/>
      <c r="K214" s="15"/>
      <c r="M214" s="21"/>
      <c r="O214" s="21"/>
      <c r="Q214" s="21"/>
      <c r="S214" s="21"/>
      <c r="T214" s="5"/>
      <c r="U214" s="5"/>
      <c r="V214" s="5"/>
      <c r="W214" s="5"/>
      <c r="Y214" s="21"/>
      <c r="AA214" s="21"/>
      <c r="AC214" s="21"/>
      <c r="AE214" s="21"/>
      <c r="AG214" s="21"/>
      <c r="AI214" s="21"/>
      <c r="AK214" s="21"/>
      <c r="AM214" s="21"/>
    </row>
    <row r="215" spans="1:51" s="14" customFormat="1" x14ac:dyDescent="0.15">
      <c r="A215" s="19">
        <v>53</v>
      </c>
      <c r="B215" s="20" t="s">
        <v>165</v>
      </c>
      <c r="C215" s="15">
        <v>21888</v>
      </c>
      <c r="D215" s="15">
        <v>1811</v>
      </c>
      <c r="E215" s="14">
        <v>3</v>
      </c>
      <c r="F215" s="15">
        <v>23702</v>
      </c>
      <c r="G215" s="15">
        <v>13482</v>
      </c>
      <c r="H215" s="16">
        <v>56.3</v>
      </c>
      <c r="I215" s="15">
        <v>1675</v>
      </c>
      <c r="J215" s="14">
        <v>183</v>
      </c>
      <c r="K215" s="15">
        <v>13299</v>
      </c>
      <c r="L215" s="15">
        <v>6308</v>
      </c>
      <c r="M215" s="21">
        <v>47.432137754718404</v>
      </c>
      <c r="N215" s="15">
        <v>4024</v>
      </c>
      <c r="O215" s="21">
        <v>30.257914128881868</v>
      </c>
      <c r="P215" s="14">
        <v>780</v>
      </c>
      <c r="Q215" s="21">
        <v>5.8651026392961878</v>
      </c>
      <c r="R215" s="14">
        <v>208</v>
      </c>
      <c r="S215" s="21">
        <v>1.5640273704789833</v>
      </c>
      <c r="T215" s="5" t="s">
        <v>63</v>
      </c>
      <c r="U215" s="5" t="s">
        <v>63</v>
      </c>
      <c r="V215" s="5" t="s">
        <v>63</v>
      </c>
      <c r="W215" s="5" t="s">
        <v>63</v>
      </c>
      <c r="X215" s="14">
        <v>61</v>
      </c>
      <c r="Y215" s="21">
        <v>0.45868110384239419</v>
      </c>
      <c r="Z215" s="14">
        <v>81</v>
      </c>
      <c r="AA215" s="21">
        <v>0.60906835100383483</v>
      </c>
      <c r="AB215" s="14">
        <v>61</v>
      </c>
      <c r="AC215" s="21">
        <v>0.45868110384239419</v>
      </c>
      <c r="AD215" s="14">
        <v>440</v>
      </c>
      <c r="AE215" s="21">
        <v>3.3085194375516958</v>
      </c>
      <c r="AF215" s="14">
        <v>40</v>
      </c>
      <c r="AG215" s="21">
        <v>0.30077449432288139</v>
      </c>
      <c r="AH215" s="14">
        <v>144</v>
      </c>
      <c r="AI215" s="21">
        <v>1.0827881795623731</v>
      </c>
      <c r="AJ215" s="15">
        <v>1129</v>
      </c>
      <c r="AK215" s="21">
        <v>8.489360102263328</v>
      </c>
      <c r="AL215" s="14">
        <v>23</v>
      </c>
      <c r="AM215" s="21">
        <v>0.17294533423565681</v>
      </c>
    </row>
    <row r="216" spans="1:51" s="14" customFormat="1" x14ac:dyDescent="0.15">
      <c r="A216" s="19"/>
      <c r="B216" s="20"/>
      <c r="C216" s="15"/>
      <c r="D216" s="15"/>
      <c r="F216" s="15"/>
      <c r="G216" s="15"/>
      <c r="H216" s="16"/>
      <c r="I216" s="15"/>
      <c r="K216" s="15"/>
      <c r="L216" s="15"/>
      <c r="M216" s="5"/>
      <c r="N216" s="15"/>
      <c r="O216" s="5"/>
      <c r="Q216" s="5"/>
      <c r="S216" s="5"/>
      <c r="T216" s="5"/>
      <c r="U216" s="5"/>
      <c r="V216" s="5"/>
      <c r="W216" s="5"/>
      <c r="Y216" s="5"/>
      <c r="AA216" s="5"/>
      <c r="AC216" s="5"/>
      <c r="AE216" s="5"/>
      <c r="AG216" s="5"/>
      <c r="AI216" s="5"/>
      <c r="AJ216" s="15"/>
      <c r="AK216" s="5"/>
      <c r="AM216" s="5"/>
    </row>
    <row r="217" spans="1:51" s="14" customFormat="1" ht="12.75" customHeight="1" x14ac:dyDescent="0.15">
      <c r="A217" s="82" t="s">
        <v>6</v>
      </c>
      <c r="B217" s="82"/>
      <c r="C217" s="51">
        <v>347127</v>
      </c>
      <c r="D217" s="51">
        <v>48327</v>
      </c>
      <c r="E217" s="52">
        <v>15</v>
      </c>
      <c r="F217" s="51">
        <v>395469</v>
      </c>
      <c r="G217" s="51">
        <v>248559</v>
      </c>
      <c r="H217" s="53">
        <v>62.9</v>
      </c>
      <c r="I217" s="51">
        <v>44932</v>
      </c>
      <c r="J217" s="51">
        <v>2804</v>
      </c>
      <c r="K217" s="51">
        <v>245755</v>
      </c>
      <c r="L217" s="51">
        <v>106484</v>
      </c>
      <c r="M217" s="54">
        <v>43.329332058350793</v>
      </c>
      <c r="N217" s="51">
        <v>72196</v>
      </c>
      <c r="O217" s="54">
        <v>29.377225285345158</v>
      </c>
      <c r="P217" s="51">
        <v>33264</v>
      </c>
      <c r="Q217" s="54">
        <v>13.535431629061465</v>
      </c>
      <c r="R217" s="51">
        <v>3376</v>
      </c>
      <c r="S217" s="54">
        <v>1.3737258651909423</v>
      </c>
      <c r="T217" s="55" t="s">
        <v>63</v>
      </c>
      <c r="U217" s="55" t="s">
        <v>63</v>
      </c>
      <c r="V217" s="55" t="s">
        <v>63</v>
      </c>
      <c r="W217" s="55" t="s">
        <v>63</v>
      </c>
      <c r="X217" s="51">
        <v>1391</v>
      </c>
      <c r="Y217" s="54">
        <v>0.56601086447885085</v>
      </c>
      <c r="Z217" s="51">
        <v>1875</v>
      </c>
      <c r="AA217" s="54">
        <v>0.76295497548371349</v>
      </c>
      <c r="AB217" s="51">
        <v>1098</v>
      </c>
      <c r="AC217" s="54">
        <v>0.44678643364326259</v>
      </c>
      <c r="AD217" s="51">
        <v>9669</v>
      </c>
      <c r="AE217" s="54">
        <v>3.9344062175744132</v>
      </c>
      <c r="AF217" s="52">
        <v>813</v>
      </c>
      <c r="AG217" s="54">
        <v>0.33081727736973815</v>
      </c>
      <c r="AH217" s="51">
        <v>4386</v>
      </c>
      <c r="AI217" s="54">
        <v>1.7847042786515024</v>
      </c>
      <c r="AJ217" s="51">
        <v>10661</v>
      </c>
      <c r="AK217" s="54">
        <v>4.3380602632703305</v>
      </c>
      <c r="AL217" s="52">
        <v>542</v>
      </c>
      <c r="AM217" s="54">
        <v>0.22054485157982545</v>
      </c>
    </row>
    <row r="218" spans="1:51" s="14" customFormat="1" ht="9.75" customHeight="1" x14ac:dyDescent="0.15">
      <c r="A218" s="35"/>
      <c r="B218" s="35" t="s">
        <v>20</v>
      </c>
      <c r="C218" s="15"/>
      <c r="D218" s="15"/>
      <c r="F218" s="15"/>
      <c r="G218" s="15"/>
      <c r="H218" s="16"/>
      <c r="I218" s="15"/>
      <c r="K218" s="15"/>
      <c r="L218" s="15"/>
      <c r="M218" s="21"/>
      <c r="N218" s="15"/>
      <c r="O218" s="21"/>
      <c r="Q218" s="21"/>
      <c r="S218" s="21"/>
      <c r="T218" s="5"/>
      <c r="U218" s="5"/>
      <c r="V218" s="5"/>
      <c r="W218" s="5"/>
      <c r="Y218" s="21"/>
      <c r="AA218" s="21"/>
      <c r="AC218" s="21"/>
      <c r="AE218" s="21"/>
      <c r="AG218" s="21"/>
      <c r="AI218" s="21"/>
      <c r="AJ218" s="15"/>
      <c r="AK218" s="21"/>
      <c r="AM218" s="21"/>
    </row>
    <row r="219" spans="1:51" s="14" customFormat="1" x14ac:dyDescent="0.15">
      <c r="A219" s="35"/>
      <c r="B219" s="35" t="s">
        <v>23</v>
      </c>
      <c r="C219" s="15">
        <v>347127</v>
      </c>
      <c r="D219" s="15">
        <v>48327</v>
      </c>
      <c r="E219" s="14">
        <v>15</v>
      </c>
      <c r="F219" s="15">
        <v>395469</v>
      </c>
      <c r="G219" s="15">
        <v>205006</v>
      </c>
      <c r="H219" s="16">
        <v>51.8</v>
      </c>
      <c r="I219" s="15">
        <v>1379</v>
      </c>
      <c r="J219" s="15">
        <v>2535</v>
      </c>
      <c r="K219" s="15">
        <v>202471</v>
      </c>
      <c r="L219" s="15">
        <v>89698</v>
      </c>
      <c r="M219" s="21">
        <v>44.301653076243021</v>
      </c>
      <c r="N219" s="15">
        <v>56635</v>
      </c>
      <c r="O219" s="21">
        <v>27.971907087928642</v>
      </c>
      <c r="P219" s="15">
        <v>27270</v>
      </c>
      <c r="Q219" s="21">
        <v>13.468595502565799</v>
      </c>
      <c r="R219" s="15">
        <v>3041</v>
      </c>
      <c r="S219" s="21">
        <v>1.501943488203249</v>
      </c>
      <c r="T219" s="5" t="s">
        <v>63</v>
      </c>
      <c r="U219" s="5" t="s">
        <v>63</v>
      </c>
      <c r="V219" s="5" t="s">
        <v>63</v>
      </c>
      <c r="W219" s="5" t="s">
        <v>63</v>
      </c>
      <c r="X219" s="15">
        <v>1280</v>
      </c>
      <c r="Y219" s="21">
        <v>0.63218930118387329</v>
      </c>
      <c r="Z219" s="15">
        <v>1520</v>
      </c>
      <c r="AA219" s="21">
        <v>0.75072479515584956</v>
      </c>
      <c r="AB219" s="15">
        <v>920</v>
      </c>
      <c r="AC219" s="21">
        <v>0.45438606022590894</v>
      </c>
      <c r="AD219" s="15">
        <v>7728</v>
      </c>
      <c r="AE219" s="21">
        <v>3.816842905897635</v>
      </c>
      <c r="AF219" s="15">
        <v>709</v>
      </c>
      <c r="AG219" s="21">
        <v>0.35017360510887979</v>
      </c>
      <c r="AH219" s="15">
        <v>3728</v>
      </c>
      <c r="AI219" s="21">
        <v>1.8412513396980308</v>
      </c>
      <c r="AJ219" s="15">
        <v>9472</v>
      </c>
      <c r="AK219" s="21">
        <v>4.6782008287606622</v>
      </c>
      <c r="AL219" s="15">
        <v>470</v>
      </c>
      <c r="AM219" s="21">
        <v>0.23213200902845346</v>
      </c>
    </row>
    <row r="220" spans="1:51" s="14" customFormat="1" x14ac:dyDescent="0.15">
      <c r="A220" s="35"/>
      <c r="B220" s="35" t="s">
        <v>22</v>
      </c>
      <c r="C220" s="14">
        <v>0</v>
      </c>
      <c r="D220" s="14">
        <v>0</v>
      </c>
      <c r="E220" s="14">
        <v>0</v>
      </c>
      <c r="F220" s="14">
        <v>0</v>
      </c>
      <c r="G220" s="15">
        <v>43553</v>
      </c>
      <c r="H220" s="16" t="s">
        <v>21</v>
      </c>
      <c r="I220" s="15">
        <v>43553</v>
      </c>
      <c r="J220" s="14">
        <v>269</v>
      </c>
      <c r="K220" s="15">
        <v>43284</v>
      </c>
      <c r="L220" s="15">
        <v>16786</v>
      </c>
      <c r="M220" s="21">
        <v>38.781073837907769</v>
      </c>
      <c r="N220" s="15">
        <v>15561</v>
      </c>
      <c r="O220" s="21">
        <v>35.95092874965345</v>
      </c>
      <c r="P220" s="15">
        <v>5994</v>
      </c>
      <c r="Q220" s="21">
        <v>13.848073191017466</v>
      </c>
      <c r="R220" s="14">
        <v>335</v>
      </c>
      <c r="S220" s="21">
        <v>0.7739580445430182</v>
      </c>
      <c r="T220" s="5" t="s">
        <v>63</v>
      </c>
      <c r="U220" s="5" t="s">
        <v>63</v>
      </c>
      <c r="V220" s="5" t="s">
        <v>63</v>
      </c>
      <c r="W220" s="5" t="s">
        <v>63</v>
      </c>
      <c r="X220" s="14">
        <v>111</v>
      </c>
      <c r="Y220" s="21">
        <v>0.25644579983365678</v>
      </c>
      <c r="Z220" s="14">
        <v>355</v>
      </c>
      <c r="AA220" s="21">
        <v>0.82016449496349686</v>
      </c>
      <c r="AB220" s="14">
        <v>178</v>
      </c>
      <c r="AC220" s="21">
        <v>0.41123740874226039</v>
      </c>
      <c r="AD220" s="15">
        <v>1941</v>
      </c>
      <c r="AE220" s="21">
        <v>4.4843360133074581</v>
      </c>
      <c r="AF220" s="14">
        <v>104</v>
      </c>
      <c r="AG220" s="21">
        <v>0.24027354218648925</v>
      </c>
      <c r="AH220" s="14">
        <v>658</v>
      </c>
      <c r="AI220" s="21">
        <v>1.5201922188337491</v>
      </c>
      <c r="AJ220" s="15">
        <v>1189</v>
      </c>
      <c r="AK220" s="21">
        <v>2.7469734774974586</v>
      </c>
      <c r="AL220" s="14">
        <v>72</v>
      </c>
      <c r="AM220" s="21">
        <v>0.16634322151372333</v>
      </c>
    </row>
    <row r="221" spans="1:51" s="14" customFormat="1" x14ac:dyDescent="0.15">
      <c r="A221" s="35"/>
      <c r="B221" s="35"/>
      <c r="G221" s="15"/>
      <c r="H221" s="16"/>
      <c r="I221" s="15"/>
      <c r="K221" s="15"/>
      <c r="L221" s="15"/>
      <c r="M221" s="5"/>
      <c r="N221" s="15"/>
      <c r="O221" s="5"/>
      <c r="P221" s="15"/>
      <c r="Q221" s="5"/>
      <c r="S221" s="5"/>
      <c r="T221" s="5"/>
      <c r="U221" s="5"/>
      <c r="V221" s="5"/>
      <c r="W221" s="5"/>
      <c r="Y221" s="5"/>
      <c r="AA221" s="5"/>
      <c r="AC221" s="5"/>
      <c r="AD221" s="15"/>
      <c r="AE221" s="5"/>
      <c r="AG221" s="5"/>
      <c r="AI221" s="5"/>
      <c r="AJ221" s="15"/>
      <c r="AK221" s="5"/>
      <c r="AM221" s="5"/>
    </row>
    <row r="222" spans="1:51" x14ac:dyDescent="0.15">
      <c r="A222" s="83" t="s">
        <v>7</v>
      </c>
      <c r="B222" s="83"/>
      <c r="I222" s="37"/>
      <c r="T222" s="5"/>
      <c r="V222" s="5"/>
      <c r="AK222" s="5"/>
      <c r="AM222" s="5"/>
    </row>
    <row r="223" spans="1:51" s="14" customFormat="1" x14ac:dyDescent="0.15">
      <c r="A223" s="35"/>
      <c r="B223" s="35" t="s">
        <v>8</v>
      </c>
      <c r="C223" s="14">
        <v>6805</v>
      </c>
      <c r="D223" s="14">
        <v>304</v>
      </c>
      <c r="E223" s="35">
        <v>0</v>
      </c>
      <c r="F223" s="14">
        <v>7109</v>
      </c>
      <c r="G223" s="14">
        <v>1886</v>
      </c>
      <c r="H223" s="16">
        <v>26.5</v>
      </c>
      <c r="I223" s="38">
        <v>255</v>
      </c>
      <c r="J223" s="14">
        <v>32</v>
      </c>
      <c r="K223" s="14">
        <v>1854</v>
      </c>
      <c r="L223" s="14">
        <v>817</v>
      </c>
      <c r="M223" s="21">
        <f>L223/$K223*100</f>
        <v>44.066882416396979</v>
      </c>
      <c r="N223" s="14">
        <v>429</v>
      </c>
      <c r="O223" s="21">
        <f>N223/$K223*100</f>
        <v>23.139158576051781</v>
      </c>
      <c r="P223" s="14">
        <v>379</v>
      </c>
      <c r="Q223" s="21">
        <f>P223/$K223*100</f>
        <v>20.442286947141316</v>
      </c>
      <c r="R223" s="14">
        <v>8</v>
      </c>
      <c r="S223" s="21">
        <f>R223/$K223*100</f>
        <v>0.43149946062567418</v>
      </c>
      <c r="T223" s="5" t="s">
        <v>63</v>
      </c>
      <c r="U223" s="5" t="s">
        <v>63</v>
      </c>
      <c r="V223" s="5" t="s">
        <v>63</v>
      </c>
      <c r="W223" s="5" t="s">
        <v>63</v>
      </c>
      <c r="X223" s="14">
        <v>5</v>
      </c>
      <c r="Y223" s="21">
        <f>X223/$K223*100</f>
        <v>0.26968716289104638</v>
      </c>
      <c r="Z223" s="14">
        <v>13</v>
      </c>
      <c r="AA223" s="21">
        <f>Z223/$K223*100</f>
        <v>0.70118662351672068</v>
      </c>
      <c r="AB223" s="14">
        <v>14</v>
      </c>
      <c r="AC223" s="21">
        <f>AB223/$K223*100</f>
        <v>0.75512405609492994</v>
      </c>
      <c r="AD223" s="14">
        <v>89</v>
      </c>
      <c r="AE223" s="21">
        <f>AD223/$K223*100</f>
        <v>4.8004314994606254</v>
      </c>
      <c r="AF223" s="14">
        <v>4</v>
      </c>
      <c r="AG223" s="21">
        <f>AF223/$K223*100</f>
        <v>0.21574973031283709</v>
      </c>
      <c r="AH223" s="14">
        <v>57</v>
      </c>
      <c r="AI223" s="21">
        <f>AH223/$K223*100</f>
        <v>3.0744336569579289</v>
      </c>
      <c r="AJ223" s="14">
        <v>31</v>
      </c>
      <c r="AK223" s="21">
        <f>AJ223/$K223*100</f>
        <v>1.6720604099244876</v>
      </c>
      <c r="AL223" s="14">
        <v>8</v>
      </c>
      <c r="AM223" s="21">
        <f>AL223/$K223*100</f>
        <v>0.43149946062567418</v>
      </c>
      <c r="AO223" s="21"/>
      <c r="AQ223" s="21"/>
      <c r="AS223" s="21"/>
      <c r="AU223" s="21"/>
      <c r="AW223" s="21"/>
      <c r="AY223" s="21"/>
    </row>
    <row r="224" spans="1:51" ht="13" x14ac:dyDescent="0.15">
      <c r="A224" s="9"/>
      <c r="B224" s="9"/>
      <c r="C224"/>
      <c r="D224"/>
      <c r="E224" s="1"/>
      <c r="F224"/>
      <c r="G224"/>
      <c r="H224"/>
      <c r="I224" s="39"/>
      <c r="J224"/>
      <c r="K224"/>
      <c r="L224"/>
      <c r="M224" s="1"/>
      <c r="N224"/>
      <c r="O224" s="1"/>
      <c r="P224"/>
      <c r="Q224" s="1"/>
      <c r="R224"/>
      <c r="S224" s="1"/>
      <c r="T224" s="5"/>
      <c r="V224" s="5"/>
      <c r="X224"/>
      <c r="Y224" s="1"/>
      <c r="Z224"/>
      <c r="AA224" s="1"/>
      <c r="AB224"/>
      <c r="AC224" s="1"/>
      <c r="AD224"/>
      <c r="AE224" s="1"/>
      <c r="AF224"/>
      <c r="AG224" s="1"/>
      <c r="AH224"/>
      <c r="AI224" s="1"/>
      <c r="AJ224"/>
      <c r="AK224" s="1"/>
      <c r="AL224"/>
      <c r="AM224" s="1"/>
      <c r="AO224" s="5"/>
      <c r="AQ224" s="5"/>
      <c r="AS224" s="5"/>
      <c r="AU224" s="5"/>
      <c r="AW224" s="5"/>
      <c r="AY224" s="5"/>
    </row>
    <row r="225" spans="1:51" ht="13" x14ac:dyDescent="0.15">
      <c r="A225" s="9"/>
      <c r="B225" s="9"/>
      <c r="C225"/>
      <c r="D225"/>
      <c r="E225" s="1"/>
      <c r="F225"/>
      <c r="G225"/>
      <c r="H225"/>
      <c r="I225" s="39"/>
      <c r="J225"/>
      <c r="K225"/>
      <c r="L225"/>
      <c r="M225" s="1"/>
      <c r="N225"/>
      <c r="O225" s="1"/>
      <c r="P225"/>
      <c r="Q225" s="1"/>
      <c r="R225"/>
      <c r="S225" s="1"/>
      <c r="T225" s="5"/>
      <c r="V225" s="5"/>
      <c r="X225"/>
      <c r="Y225" s="1"/>
      <c r="Z225"/>
      <c r="AA225" s="1"/>
      <c r="AB225"/>
      <c r="AC225" s="1"/>
      <c r="AD225"/>
      <c r="AE225" s="1"/>
      <c r="AF225"/>
      <c r="AG225" s="1"/>
      <c r="AH225"/>
      <c r="AI225" s="1"/>
      <c r="AJ225"/>
      <c r="AK225" s="1"/>
      <c r="AL225"/>
      <c r="AM225" s="1"/>
      <c r="AO225" s="5"/>
      <c r="AQ225" s="5"/>
      <c r="AS225" s="5"/>
      <c r="AU225" s="5"/>
      <c r="AW225" s="5"/>
      <c r="AY225" s="5"/>
    </row>
    <row r="226" spans="1:51" s="14" customFormat="1" x14ac:dyDescent="0.15">
      <c r="A226" s="82" t="s">
        <v>9</v>
      </c>
      <c r="B226" s="82"/>
      <c r="C226" s="51">
        <f>C223+C217</f>
        <v>353932</v>
      </c>
      <c r="D226" s="51">
        <f>D223+D217</f>
        <v>48631</v>
      </c>
      <c r="E226" s="51">
        <v>15</v>
      </c>
      <c r="F226" s="51">
        <f>F223+F217</f>
        <v>402578</v>
      </c>
      <c r="G226" s="51">
        <f>G223+G217</f>
        <v>250445</v>
      </c>
      <c r="H226" s="56">
        <v>62.2</v>
      </c>
      <c r="I226" s="57">
        <v>45187</v>
      </c>
      <c r="J226" s="51">
        <v>2836</v>
      </c>
      <c r="K226" s="51">
        <v>247609</v>
      </c>
      <c r="L226" s="51">
        <v>107301</v>
      </c>
      <c r="M226" s="54">
        <v>43.334854548905732</v>
      </c>
      <c r="N226" s="51">
        <v>72625</v>
      </c>
      <c r="O226" s="54">
        <v>29.330517065211687</v>
      </c>
      <c r="P226" s="51">
        <v>33643</v>
      </c>
      <c r="Q226" s="54">
        <v>13.587147478484225</v>
      </c>
      <c r="R226" s="51">
        <v>3384</v>
      </c>
      <c r="S226" s="54">
        <v>1.3666708399129273</v>
      </c>
      <c r="T226" s="55" t="s">
        <v>63</v>
      </c>
      <c r="U226" s="55" t="s">
        <v>63</v>
      </c>
      <c r="V226" s="55" t="s">
        <v>63</v>
      </c>
      <c r="W226" s="55" t="s">
        <v>63</v>
      </c>
      <c r="X226" s="51">
        <v>1396</v>
      </c>
      <c r="Y226" s="54">
        <v>0.56379210771821697</v>
      </c>
      <c r="Z226" s="51">
        <v>1888</v>
      </c>
      <c r="AA226" s="54">
        <v>0.7624924780601674</v>
      </c>
      <c r="AB226" s="51">
        <v>1112</v>
      </c>
      <c r="AC226" s="54">
        <v>0.44909514597611555</v>
      </c>
      <c r="AD226" s="51">
        <v>9758</v>
      </c>
      <c r="AE226" s="54">
        <v>3.940890678448683</v>
      </c>
      <c r="AF226" s="51">
        <v>817</v>
      </c>
      <c r="AG226" s="54">
        <v>0.32995569627921439</v>
      </c>
      <c r="AH226" s="51">
        <v>4443</v>
      </c>
      <c r="AI226" s="54">
        <v>1.794361271197735</v>
      </c>
      <c r="AJ226" s="51">
        <v>10692</v>
      </c>
      <c r="AK226" s="54">
        <v>4.3180982920653133</v>
      </c>
      <c r="AL226" s="51">
        <v>550</v>
      </c>
      <c r="AM226" s="54">
        <v>0.22212439773998524</v>
      </c>
      <c r="AO226" s="21"/>
      <c r="AQ226" s="21"/>
      <c r="AS226" s="21"/>
      <c r="AU226" s="21"/>
      <c r="AW226" s="21"/>
      <c r="AY226" s="21"/>
    </row>
    <row r="227" spans="1:51" s="14" customFormat="1" x14ac:dyDescent="0.15">
      <c r="A227" s="59"/>
      <c r="B227" s="59"/>
      <c r="C227" s="60"/>
      <c r="D227" s="60"/>
      <c r="E227" s="60"/>
      <c r="F227" s="60"/>
      <c r="G227" s="60"/>
      <c r="H227" s="69"/>
      <c r="I227" s="70"/>
      <c r="J227" s="60"/>
      <c r="K227" s="60"/>
      <c r="L227" s="60"/>
      <c r="M227" s="63"/>
      <c r="N227" s="60"/>
      <c r="O227" s="63"/>
      <c r="P227" s="60"/>
      <c r="Q227" s="63"/>
      <c r="R227" s="60"/>
      <c r="S227" s="63"/>
      <c r="T227" s="71"/>
      <c r="U227" s="71"/>
      <c r="V227" s="71"/>
      <c r="W227" s="71"/>
      <c r="X227" s="60"/>
      <c r="Y227" s="63"/>
      <c r="Z227" s="60"/>
      <c r="AA227" s="63"/>
      <c r="AB227" s="60"/>
      <c r="AC227" s="63"/>
      <c r="AD227" s="60"/>
      <c r="AE227" s="63"/>
      <c r="AF227" s="60"/>
      <c r="AG227" s="63"/>
      <c r="AH227" s="60"/>
      <c r="AI227" s="63"/>
      <c r="AJ227" s="60"/>
      <c r="AK227" s="63"/>
      <c r="AL227" s="60"/>
      <c r="AM227" s="63"/>
      <c r="AO227" s="21"/>
      <c r="AQ227" s="21"/>
      <c r="AS227" s="21"/>
      <c r="AU227" s="21"/>
      <c r="AW227" s="21"/>
      <c r="AY227" s="21"/>
    </row>
    <row r="228" spans="1:51" s="58" customFormat="1" ht="16.5" customHeight="1" x14ac:dyDescent="0.15">
      <c r="A228" s="64" t="s">
        <v>69</v>
      </c>
      <c r="B228" s="65"/>
      <c r="G228" s="66"/>
      <c r="H228" s="66"/>
      <c r="O228" s="67"/>
      <c r="Q228" s="67"/>
      <c r="S228" s="67"/>
      <c r="U228" s="67"/>
      <c r="W228" s="67"/>
      <c r="Y228" s="67"/>
      <c r="AA228" s="67"/>
      <c r="AC228" s="67"/>
      <c r="AD228" s="65"/>
      <c r="AE228" s="68"/>
    </row>
    <row r="229" spans="1:51" ht="7.5" customHeight="1" x14ac:dyDescent="0.15">
      <c r="C229"/>
      <c r="D229"/>
      <c r="E229" s="1"/>
      <c r="F229"/>
      <c r="G229"/>
      <c r="H229"/>
      <c r="I229" s="39"/>
      <c r="J229"/>
      <c r="K229"/>
      <c r="L229"/>
      <c r="M229" s="1"/>
      <c r="N229"/>
      <c r="O229" s="1"/>
      <c r="P229"/>
      <c r="Q229" s="1"/>
      <c r="R229"/>
      <c r="S229" s="1"/>
      <c r="T229" s="1"/>
      <c r="U229" s="1"/>
      <c r="V229" s="1"/>
      <c r="W229" s="1"/>
      <c r="X229"/>
      <c r="Y229" s="1"/>
      <c r="Z229"/>
      <c r="AA229" s="1"/>
      <c r="AB229"/>
      <c r="AC229" s="1"/>
      <c r="AD229"/>
      <c r="AE229" s="1"/>
      <c r="AF229"/>
      <c r="AG229" s="1"/>
      <c r="AH229"/>
      <c r="AI229" s="1"/>
      <c r="AJ229"/>
      <c r="AK229" s="1"/>
      <c r="AL229"/>
      <c r="AM229" s="1"/>
      <c r="AO229" s="5"/>
      <c r="AQ229" s="5"/>
      <c r="AS229" s="5"/>
      <c r="AU229" s="5"/>
      <c r="AW229" s="5"/>
      <c r="AY229" s="5"/>
    </row>
    <row r="230" spans="1:51" s="38" customFormat="1" x14ac:dyDescent="0.15">
      <c r="A230" s="46">
        <v>121</v>
      </c>
      <c r="B230" s="47" t="s">
        <v>170</v>
      </c>
      <c r="C230" s="40">
        <v>4113</v>
      </c>
      <c r="D230" s="40">
        <v>380</v>
      </c>
      <c r="E230" s="40">
        <v>0</v>
      </c>
      <c r="F230" s="40">
        <v>4493</v>
      </c>
      <c r="G230" s="40">
        <v>2958</v>
      </c>
      <c r="H230" s="48">
        <v>66.012050881499661</v>
      </c>
      <c r="I230" s="40">
        <v>368</v>
      </c>
      <c r="J230" s="40">
        <v>34</v>
      </c>
      <c r="K230" s="40">
        <v>2924</v>
      </c>
      <c r="L230" s="40">
        <v>1049</v>
      </c>
      <c r="M230" s="49">
        <v>35.4631507775524</v>
      </c>
      <c r="N230" s="40">
        <v>1013</v>
      </c>
      <c r="O230" s="49">
        <v>34.246112237998652</v>
      </c>
      <c r="P230" s="40">
        <v>274</v>
      </c>
      <c r="Q230" s="49">
        <v>9.2630155510480048</v>
      </c>
      <c r="R230" s="40">
        <v>152</v>
      </c>
      <c r="S230" s="49">
        <v>5.1386071670047331</v>
      </c>
      <c r="T230" s="40">
        <v>35</v>
      </c>
      <c r="U230" s="49">
        <v>1.1832319134550371</v>
      </c>
      <c r="V230" s="40">
        <v>6</v>
      </c>
      <c r="W230" s="49">
        <v>0.20283975659229209</v>
      </c>
      <c r="X230" s="45" t="s">
        <v>63</v>
      </c>
      <c r="Y230" s="45" t="s">
        <v>63</v>
      </c>
      <c r="Z230" s="40">
        <v>33</v>
      </c>
      <c r="AA230" s="49">
        <v>1.1156186612576064</v>
      </c>
      <c r="AB230" s="45" t="s">
        <v>63</v>
      </c>
      <c r="AC230" s="45" t="s">
        <v>63</v>
      </c>
      <c r="AD230" s="40">
        <v>192</v>
      </c>
      <c r="AE230" s="49">
        <v>6.4908722109533468</v>
      </c>
      <c r="AF230" s="40">
        <v>9</v>
      </c>
      <c r="AG230" s="49">
        <v>0.3042596348884381</v>
      </c>
      <c r="AH230" s="40">
        <v>28</v>
      </c>
      <c r="AI230" s="49">
        <v>0.94658553076402974</v>
      </c>
      <c r="AJ230" s="40">
        <v>133</v>
      </c>
      <c r="AK230" s="49">
        <v>4.4962812711291411</v>
      </c>
      <c r="AL230" s="45" t="s">
        <v>63</v>
      </c>
      <c r="AM230" s="45" t="s">
        <v>63</v>
      </c>
    </row>
    <row r="231" spans="1:51" s="38" customFormat="1" x14ac:dyDescent="0.15">
      <c r="A231" s="46"/>
      <c r="B231" s="47"/>
      <c r="C231" s="40"/>
      <c r="D231" s="40"/>
      <c r="E231" s="40"/>
      <c r="F231" s="40"/>
      <c r="G231" s="40"/>
      <c r="H231" s="48"/>
      <c r="I231" s="40"/>
      <c r="J231" s="40"/>
      <c r="K231" s="40"/>
      <c r="L231" s="40"/>
      <c r="M231" s="49"/>
      <c r="N231" s="40"/>
      <c r="O231" s="49"/>
      <c r="P231" s="40"/>
      <c r="Q231" s="49"/>
      <c r="R231" s="40"/>
      <c r="S231" s="49"/>
      <c r="T231" s="40"/>
      <c r="U231" s="49"/>
      <c r="V231" s="40"/>
      <c r="W231" s="49"/>
      <c r="X231" s="45"/>
      <c r="Y231" s="45"/>
      <c r="Z231" s="40"/>
      <c r="AA231" s="49"/>
      <c r="AB231" s="45"/>
      <c r="AC231" s="45"/>
      <c r="AD231" s="40"/>
      <c r="AE231" s="49"/>
      <c r="AF231" s="40"/>
      <c r="AG231" s="49"/>
      <c r="AH231" s="40"/>
      <c r="AI231" s="49"/>
      <c r="AJ231" s="40"/>
      <c r="AK231" s="49"/>
      <c r="AL231" s="45"/>
      <c r="AM231" s="45"/>
    </row>
    <row r="232" spans="1:51" s="38" customFormat="1" x14ac:dyDescent="0.15">
      <c r="A232" s="46">
        <v>122</v>
      </c>
      <c r="B232" s="47" t="s">
        <v>171</v>
      </c>
      <c r="C232" s="40">
        <v>2107</v>
      </c>
      <c r="D232" s="40">
        <v>135</v>
      </c>
      <c r="E232" s="40">
        <v>0</v>
      </c>
      <c r="F232" s="40">
        <v>2242</v>
      </c>
      <c r="G232" s="40">
        <v>1352</v>
      </c>
      <c r="H232" s="48">
        <v>60.600627521290903</v>
      </c>
      <c r="I232" s="40">
        <v>124</v>
      </c>
      <c r="J232" s="40">
        <v>27</v>
      </c>
      <c r="K232" s="40">
        <v>1325</v>
      </c>
      <c r="L232" s="40">
        <v>519</v>
      </c>
      <c r="M232" s="49">
        <v>38.387573964497044</v>
      </c>
      <c r="N232" s="40">
        <v>411</v>
      </c>
      <c r="O232" s="49">
        <v>30.399408284023671</v>
      </c>
      <c r="P232" s="40">
        <v>130</v>
      </c>
      <c r="Q232" s="49">
        <v>9.6153846153846168</v>
      </c>
      <c r="R232" s="40">
        <v>59</v>
      </c>
      <c r="S232" s="49">
        <v>4.3639053254437874</v>
      </c>
      <c r="T232" s="40">
        <v>19</v>
      </c>
      <c r="U232" s="49">
        <v>1.4053254437869822</v>
      </c>
      <c r="V232" s="40">
        <v>3</v>
      </c>
      <c r="W232" s="49">
        <v>0.22189349112426035</v>
      </c>
      <c r="X232" s="45" t="s">
        <v>63</v>
      </c>
      <c r="Y232" s="45" t="s">
        <v>63</v>
      </c>
      <c r="Z232" s="40">
        <v>17</v>
      </c>
      <c r="AA232" s="49">
        <v>1.2573964497041421</v>
      </c>
      <c r="AB232" s="45" t="s">
        <v>63</v>
      </c>
      <c r="AC232" s="45" t="s">
        <v>63</v>
      </c>
      <c r="AD232" s="40">
        <v>73</v>
      </c>
      <c r="AE232" s="49">
        <v>5.3994082840236688</v>
      </c>
      <c r="AF232" s="40">
        <v>3</v>
      </c>
      <c r="AG232" s="49">
        <v>0.22189349112426035</v>
      </c>
      <c r="AH232" s="40">
        <v>12</v>
      </c>
      <c r="AI232" s="49">
        <v>0.8875739644970414</v>
      </c>
      <c r="AJ232" s="40">
        <v>79</v>
      </c>
      <c r="AK232" s="49">
        <v>5.8431952662721898</v>
      </c>
      <c r="AL232" s="45" t="s">
        <v>63</v>
      </c>
      <c r="AM232" s="45" t="s">
        <v>63</v>
      </c>
    </row>
    <row r="233" spans="1:51" s="38" customFormat="1" x14ac:dyDescent="0.15">
      <c r="A233" s="46"/>
      <c r="B233" s="47"/>
      <c r="C233" s="40"/>
      <c r="D233" s="40"/>
      <c r="E233" s="40"/>
      <c r="F233" s="40"/>
      <c r="G233" s="40"/>
      <c r="H233" s="48"/>
      <c r="I233" s="40"/>
      <c r="J233" s="40"/>
      <c r="K233" s="40"/>
      <c r="L233" s="40"/>
      <c r="M233" s="49"/>
      <c r="N233" s="40"/>
      <c r="O233" s="49"/>
      <c r="P233" s="40"/>
      <c r="Q233" s="49"/>
      <c r="R233" s="40"/>
      <c r="S233" s="49"/>
      <c r="T233" s="40"/>
      <c r="U233" s="49"/>
      <c r="V233" s="40"/>
      <c r="W233" s="49"/>
      <c r="X233" s="45"/>
      <c r="Y233" s="45"/>
      <c r="Z233" s="40"/>
      <c r="AA233" s="49"/>
      <c r="AB233" s="45"/>
      <c r="AC233" s="45"/>
      <c r="AD233" s="40"/>
      <c r="AE233" s="49"/>
      <c r="AF233" s="40"/>
      <c r="AG233" s="49"/>
      <c r="AH233" s="40"/>
      <c r="AI233" s="49"/>
      <c r="AJ233" s="40"/>
      <c r="AK233" s="49"/>
      <c r="AL233" s="45"/>
      <c r="AM233" s="45"/>
    </row>
    <row r="234" spans="1:51" s="38" customFormat="1" x14ac:dyDescent="0.15">
      <c r="A234" s="46">
        <v>123</v>
      </c>
      <c r="B234" s="47" t="s">
        <v>172</v>
      </c>
      <c r="C234" s="40">
        <v>6060</v>
      </c>
      <c r="D234" s="40">
        <v>187</v>
      </c>
      <c r="E234" s="40">
        <v>0</v>
      </c>
      <c r="F234" s="40">
        <v>6247</v>
      </c>
      <c r="G234" s="40">
        <v>2693</v>
      </c>
      <c r="H234" s="48">
        <v>42.98483639265762</v>
      </c>
      <c r="I234" s="40">
        <v>205</v>
      </c>
      <c r="J234" s="40">
        <v>66</v>
      </c>
      <c r="K234" s="40">
        <v>2627</v>
      </c>
      <c r="L234" s="40">
        <v>757</v>
      </c>
      <c r="M234" s="49">
        <v>28.109914593390272</v>
      </c>
      <c r="N234" s="40">
        <v>1264</v>
      </c>
      <c r="O234" s="49">
        <v>46.936502042331973</v>
      </c>
      <c r="P234" s="40">
        <v>96</v>
      </c>
      <c r="Q234" s="49">
        <v>3.5647976234682508</v>
      </c>
      <c r="R234" s="40">
        <v>221</v>
      </c>
      <c r="S234" s="49">
        <v>8.2064611956925368</v>
      </c>
      <c r="T234" s="40">
        <v>34</v>
      </c>
      <c r="U234" s="49">
        <v>1.2625324916450056</v>
      </c>
      <c r="V234" s="40">
        <v>4</v>
      </c>
      <c r="W234" s="49">
        <v>0.14853323431117713</v>
      </c>
      <c r="X234" s="45" t="s">
        <v>63</v>
      </c>
      <c r="Y234" s="45" t="s">
        <v>63</v>
      </c>
      <c r="Z234" s="40">
        <v>25</v>
      </c>
      <c r="AA234" s="49">
        <v>0.92833271444485699</v>
      </c>
      <c r="AB234" s="45" t="s">
        <v>63</v>
      </c>
      <c r="AC234" s="45" t="s">
        <v>63</v>
      </c>
      <c r="AD234" s="40">
        <v>68</v>
      </c>
      <c r="AE234" s="49">
        <v>2.5250649832900112</v>
      </c>
      <c r="AF234" s="40">
        <v>13</v>
      </c>
      <c r="AG234" s="49">
        <v>0.48273301151132569</v>
      </c>
      <c r="AH234" s="40">
        <v>26</v>
      </c>
      <c r="AI234" s="49">
        <v>0.96546602302265139</v>
      </c>
      <c r="AJ234" s="40">
        <v>119</v>
      </c>
      <c r="AK234" s="49">
        <v>4.4188637207575194</v>
      </c>
      <c r="AL234" s="45" t="s">
        <v>63</v>
      </c>
      <c r="AM234" s="45" t="s">
        <v>63</v>
      </c>
    </row>
    <row r="235" spans="1:51" s="38" customFormat="1" x14ac:dyDescent="0.15">
      <c r="A235" s="46"/>
      <c r="B235" s="47"/>
      <c r="C235" s="40"/>
      <c r="D235" s="40"/>
      <c r="E235" s="40"/>
      <c r="F235" s="40"/>
      <c r="G235" s="40"/>
      <c r="H235" s="48"/>
      <c r="I235" s="40"/>
      <c r="J235" s="40"/>
      <c r="K235" s="40"/>
      <c r="L235" s="40"/>
      <c r="M235" s="49"/>
      <c r="N235" s="40"/>
      <c r="O235" s="49"/>
      <c r="P235" s="40"/>
      <c r="Q235" s="49"/>
      <c r="R235" s="40"/>
      <c r="S235" s="49"/>
      <c r="T235" s="40"/>
      <c r="U235" s="49"/>
      <c r="V235" s="40"/>
      <c r="W235" s="49"/>
      <c r="X235" s="45"/>
      <c r="Y235" s="45"/>
      <c r="Z235" s="40"/>
      <c r="AA235" s="49"/>
      <c r="AB235" s="45"/>
      <c r="AC235" s="45"/>
      <c r="AD235" s="40"/>
      <c r="AE235" s="49"/>
      <c r="AF235" s="40"/>
      <c r="AG235" s="49"/>
      <c r="AH235" s="40"/>
      <c r="AI235" s="49"/>
      <c r="AJ235" s="40"/>
      <c r="AK235" s="49"/>
      <c r="AL235" s="45"/>
      <c r="AM235" s="45"/>
    </row>
    <row r="236" spans="1:51" s="38" customFormat="1" x14ac:dyDescent="0.15">
      <c r="A236" s="46">
        <v>12</v>
      </c>
      <c r="B236" s="47" t="s">
        <v>173</v>
      </c>
      <c r="C236" s="40">
        <v>12280</v>
      </c>
      <c r="D236" s="40">
        <v>702</v>
      </c>
      <c r="E236" s="40">
        <v>0</v>
      </c>
      <c r="F236" s="40">
        <v>12982</v>
      </c>
      <c r="G236" s="40">
        <v>7003</v>
      </c>
      <c r="H236" s="48">
        <v>53.964706788934272</v>
      </c>
      <c r="I236" s="40">
        <v>697</v>
      </c>
      <c r="J236" s="40">
        <v>127</v>
      </c>
      <c r="K236" s="40">
        <v>6876</v>
      </c>
      <c r="L236" s="40">
        <v>2325</v>
      </c>
      <c r="M236" s="49">
        <v>33.200057118377842</v>
      </c>
      <c r="N236" s="40">
        <v>2688</v>
      </c>
      <c r="O236" s="49">
        <v>38.383549907182633</v>
      </c>
      <c r="P236" s="40">
        <v>500</v>
      </c>
      <c r="Q236" s="49">
        <v>7.1397972297586749</v>
      </c>
      <c r="R236" s="40">
        <v>432</v>
      </c>
      <c r="S236" s="49">
        <v>6.1687848065114954</v>
      </c>
      <c r="T236" s="40">
        <v>88</v>
      </c>
      <c r="U236" s="49">
        <v>1.2566043124375268</v>
      </c>
      <c r="V236" s="40">
        <v>13</v>
      </c>
      <c r="W236" s="49">
        <v>0.18563472797372554</v>
      </c>
      <c r="X236" s="45" t="s">
        <v>63</v>
      </c>
      <c r="Y236" s="45" t="s">
        <v>63</v>
      </c>
      <c r="Z236" s="40">
        <v>75</v>
      </c>
      <c r="AA236" s="49">
        <v>1.0709695844638012</v>
      </c>
      <c r="AB236" s="45" t="s">
        <v>63</v>
      </c>
      <c r="AC236" s="45" t="s">
        <v>63</v>
      </c>
      <c r="AD236" s="40">
        <v>333</v>
      </c>
      <c r="AE236" s="49">
        <v>4.7551049550192772</v>
      </c>
      <c r="AF236" s="40">
        <v>25</v>
      </c>
      <c r="AG236" s="49">
        <v>0.35698986148793371</v>
      </c>
      <c r="AH236" s="40">
        <v>66</v>
      </c>
      <c r="AI236" s="49">
        <v>0.9424532343281451</v>
      </c>
      <c r="AJ236" s="40">
        <v>331</v>
      </c>
      <c r="AK236" s="49">
        <v>4.7265457661002426</v>
      </c>
      <c r="AL236" s="45" t="s">
        <v>63</v>
      </c>
      <c r="AM236" s="45" t="s">
        <v>63</v>
      </c>
    </row>
    <row r="237" spans="1:51" s="38" customFormat="1" x14ac:dyDescent="0.15">
      <c r="A237" s="46"/>
      <c r="B237" s="47"/>
      <c r="C237" s="40"/>
      <c r="D237" s="40"/>
      <c r="E237" s="40"/>
      <c r="F237" s="40"/>
      <c r="G237" s="40"/>
      <c r="H237" s="48"/>
      <c r="I237" s="40"/>
      <c r="J237" s="40"/>
      <c r="K237" s="40"/>
      <c r="L237" s="40"/>
      <c r="M237" s="49"/>
      <c r="N237" s="40"/>
      <c r="O237" s="49"/>
      <c r="P237" s="40"/>
      <c r="Q237" s="49"/>
      <c r="R237" s="40"/>
      <c r="S237" s="49"/>
      <c r="T237" s="40"/>
      <c r="U237" s="49"/>
      <c r="V237" s="40"/>
      <c r="W237" s="49"/>
      <c r="X237" s="45"/>
      <c r="Y237" s="45"/>
      <c r="Z237" s="40"/>
      <c r="AA237" s="49"/>
      <c r="AB237" s="45"/>
      <c r="AC237" s="45"/>
      <c r="AD237" s="40"/>
      <c r="AE237" s="49"/>
      <c r="AF237" s="40"/>
      <c r="AG237" s="49"/>
      <c r="AH237" s="40"/>
      <c r="AI237" s="49"/>
      <c r="AJ237" s="40"/>
      <c r="AK237" s="49"/>
      <c r="AL237" s="45"/>
      <c r="AM237" s="45"/>
    </row>
    <row r="238" spans="1:51" s="38" customFormat="1" x14ac:dyDescent="0.15">
      <c r="A238" s="46">
        <v>131</v>
      </c>
      <c r="B238" s="47" t="s">
        <v>174</v>
      </c>
      <c r="C238" s="40">
        <v>2716</v>
      </c>
      <c r="D238" s="40">
        <v>398</v>
      </c>
      <c r="E238" s="40">
        <v>0</v>
      </c>
      <c r="F238" s="40">
        <v>3114</v>
      </c>
      <c r="G238" s="40">
        <v>2222</v>
      </c>
      <c r="H238" s="48">
        <v>71.608121173058322</v>
      </c>
      <c r="I238" s="40">
        <v>387</v>
      </c>
      <c r="J238" s="40">
        <v>26</v>
      </c>
      <c r="K238" s="40">
        <v>2196</v>
      </c>
      <c r="L238" s="40">
        <v>637</v>
      </c>
      <c r="M238" s="49">
        <v>28.667866786678669</v>
      </c>
      <c r="N238" s="40">
        <v>786</v>
      </c>
      <c r="O238" s="49">
        <v>35.373537353735372</v>
      </c>
      <c r="P238" s="40">
        <v>336</v>
      </c>
      <c r="Q238" s="49">
        <v>15.121512151215121</v>
      </c>
      <c r="R238" s="40">
        <v>81</v>
      </c>
      <c r="S238" s="49">
        <v>3.6453645364536458</v>
      </c>
      <c r="T238" s="40">
        <v>38</v>
      </c>
      <c r="U238" s="49">
        <v>1.7101710171017102</v>
      </c>
      <c r="V238" s="40">
        <v>4</v>
      </c>
      <c r="W238" s="49">
        <v>0.18001800180018002</v>
      </c>
      <c r="X238" s="45" t="s">
        <v>63</v>
      </c>
      <c r="Y238" s="45" t="s">
        <v>63</v>
      </c>
      <c r="Z238" s="40">
        <v>14</v>
      </c>
      <c r="AA238" s="49">
        <v>0.63006300630063006</v>
      </c>
      <c r="AB238" s="45" t="s">
        <v>63</v>
      </c>
      <c r="AC238" s="45" t="s">
        <v>63</v>
      </c>
      <c r="AD238" s="40">
        <v>205</v>
      </c>
      <c r="AE238" s="49">
        <v>9.2259225922592254</v>
      </c>
      <c r="AF238" s="40">
        <v>4</v>
      </c>
      <c r="AG238" s="49">
        <v>0.18001800180018002</v>
      </c>
      <c r="AH238" s="40">
        <v>12</v>
      </c>
      <c r="AI238" s="49">
        <v>0.54005400540054005</v>
      </c>
      <c r="AJ238" s="40">
        <v>79</v>
      </c>
      <c r="AK238" s="49">
        <v>3.5553555355535553</v>
      </c>
      <c r="AL238" s="45" t="s">
        <v>63</v>
      </c>
      <c r="AM238" s="45" t="s">
        <v>63</v>
      </c>
    </row>
    <row r="239" spans="1:51" s="38" customFormat="1" x14ac:dyDescent="0.15">
      <c r="A239" s="46"/>
      <c r="B239" s="47"/>
      <c r="C239" s="40"/>
      <c r="D239" s="40"/>
      <c r="E239" s="40"/>
      <c r="F239" s="40"/>
      <c r="G239" s="40"/>
      <c r="H239" s="48"/>
      <c r="I239" s="40"/>
      <c r="J239" s="40"/>
      <c r="K239" s="40"/>
      <c r="L239" s="40"/>
      <c r="M239" s="49"/>
      <c r="N239" s="40"/>
      <c r="O239" s="49"/>
      <c r="P239" s="40"/>
      <c r="Q239" s="49"/>
      <c r="R239" s="40"/>
      <c r="S239" s="49"/>
      <c r="T239" s="40"/>
      <c r="U239" s="49"/>
      <c r="V239" s="40"/>
      <c r="W239" s="49"/>
      <c r="X239" s="45"/>
      <c r="Y239" s="45"/>
      <c r="Z239" s="40"/>
      <c r="AA239" s="49"/>
      <c r="AB239" s="45"/>
      <c r="AC239" s="45"/>
      <c r="AD239" s="40"/>
      <c r="AE239" s="49"/>
      <c r="AF239" s="40"/>
      <c r="AG239" s="49"/>
      <c r="AH239" s="40"/>
      <c r="AI239" s="49"/>
      <c r="AJ239" s="40"/>
      <c r="AK239" s="49"/>
      <c r="AL239" s="45"/>
      <c r="AM239" s="45"/>
    </row>
    <row r="240" spans="1:51" s="38" customFormat="1" x14ac:dyDescent="0.15">
      <c r="A240" s="46">
        <v>132</v>
      </c>
      <c r="B240" s="47" t="s">
        <v>175</v>
      </c>
      <c r="C240" s="40">
        <v>3922</v>
      </c>
      <c r="D240" s="40">
        <v>330</v>
      </c>
      <c r="E240" s="40">
        <v>0</v>
      </c>
      <c r="F240" s="40">
        <v>4252</v>
      </c>
      <c r="G240" s="40">
        <v>2398</v>
      </c>
      <c r="H240" s="48">
        <v>56.784276580629886</v>
      </c>
      <c r="I240" s="40">
        <v>301</v>
      </c>
      <c r="J240" s="40">
        <v>37</v>
      </c>
      <c r="K240" s="40">
        <v>2361</v>
      </c>
      <c r="L240" s="40">
        <v>925</v>
      </c>
      <c r="M240" s="49">
        <v>38.57381150959133</v>
      </c>
      <c r="N240" s="40">
        <v>695</v>
      </c>
      <c r="O240" s="49">
        <v>28.982485404503755</v>
      </c>
      <c r="P240" s="40">
        <v>242</v>
      </c>
      <c r="Q240" s="49">
        <v>10.091743119266056</v>
      </c>
      <c r="R240" s="40">
        <v>160</v>
      </c>
      <c r="S240" s="49">
        <v>6.6722268557130944</v>
      </c>
      <c r="T240" s="40">
        <v>35</v>
      </c>
      <c r="U240" s="49">
        <v>1.4595496246872393</v>
      </c>
      <c r="V240" s="40">
        <v>4</v>
      </c>
      <c r="W240" s="49">
        <v>0.16680567139282734</v>
      </c>
      <c r="X240" s="45" t="s">
        <v>63</v>
      </c>
      <c r="Y240" s="45" t="s">
        <v>63</v>
      </c>
      <c r="Z240" s="40">
        <v>27</v>
      </c>
      <c r="AA240" s="49">
        <v>1.1259382819015846</v>
      </c>
      <c r="AB240" s="45" t="s">
        <v>63</v>
      </c>
      <c r="AC240" s="45" t="s">
        <v>63</v>
      </c>
      <c r="AD240" s="40">
        <v>138</v>
      </c>
      <c r="AE240" s="49">
        <v>5.7547956630525432</v>
      </c>
      <c r="AF240" s="40">
        <v>11</v>
      </c>
      <c r="AG240" s="49">
        <v>0.45871559633027525</v>
      </c>
      <c r="AH240" s="40">
        <v>20</v>
      </c>
      <c r="AI240" s="49">
        <v>0.8340283569641368</v>
      </c>
      <c r="AJ240" s="40">
        <v>104</v>
      </c>
      <c r="AK240" s="49">
        <v>4.3369474562135117</v>
      </c>
      <c r="AL240" s="45" t="s">
        <v>63</v>
      </c>
      <c r="AM240" s="45" t="s">
        <v>63</v>
      </c>
    </row>
    <row r="241" spans="1:39" s="38" customFormat="1" x14ac:dyDescent="0.15">
      <c r="A241" s="46"/>
      <c r="B241" s="47"/>
      <c r="C241" s="40"/>
      <c r="D241" s="40"/>
      <c r="E241" s="40"/>
      <c r="F241" s="40"/>
      <c r="G241" s="40"/>
      <c r="H241" s="48"/>
      <c r="I241" s="40"/>
      <c r="J241" s="40"/>
      <c r="K241" s="40"/>
      <c r="L241" s="40"/>
      <c r="M241" s="49"/>
      <c r="N241" s="40"/>
      <c r="O241" s="49"/>
      <c r="P241" s="40"/>
      <c r="Q241" s="49"/>
      <c r="R241" s="40"/>
      <c r="S241" s="49"/>
      <c r="T241" s="40"/>
      <c r="U241" s="49"/>
      <c r="V241" s="40"/>
      <c r="W241" s="49"/>
      <c r="X241" s="45"/>
      <c r="Y241" s="45"/>
      <c r="Z241" s="40"/>
      <c r="AA241" s="49"/>
      <c r="AB241" s="45"/>
      <c r="AC241" s="45"/>
      <c r="AD241" s="40"/>
      <c r="AE241" s="49"/>
      <c r="AF241" s="40"/>
      <c r="AG241" s="49"/>
      <c r="AH241" s="40"/>
      <c r="AI241" s="49"/>
      <c r="AJ241" s="40"/>
      <c r="AK241" s="49"/>
      <c r="AL241" s="45"/>
      <c r="AM241" s="45"/>
    </row>
    <row r="242" spans="1:39" s="38" customFormat="1" x14ac:dyDescent="0.15">
      <c r="A242" s="46">
        <v>133</v>
      </c>
      <c r="B242" s="47" t="s">
        <v>176</v>
      </c>
      <c r="C242" s="40">
        <v>3238</v>
      </c>
      <c r="D242" s="40">
        <v>169</v>
      </c>
      <c r="E242" s="40">
        <v>0</v>
      </c>
      <c r="F242" s="40">
        <v>3407</v>
      </c>
      <c r="G242" s="40">
        <v>1550</v>
      </c>
      <c r="H242" s="48">
        <v>45.65537555228277</v>
      </c>
      <c r="I242" s="40">
        <v>157</v>
      </c>
      <c r="J242" s="40">
        <v>28</v>
      </c>
      <c r="K242" s="40">
        <v>1522</v>
      </c>
      <c r="L242" s="40">
        <v>631</v>
      </c>
      <c r="M242" s="49">
        <v>40.70967741935484</v>
      </c>
      <c r="N242" s="40">
        <v>395</v>
      </c>
      <c r="O242" s="49">
        <v>25.483870967741932</v>
      </c>
      <c r="P242" s="40">
        <v>112</v>
      </c>
      <c r="Q242" s="49">
        <v>7.2258064516129039</v>
      </c>
      <c r="R242" s="40">
        <v>158</v>
      </c>
      <c r="S242" s="49">
        <v>10.193548387096774</v>
      </c>
      <c r="T242" s="40">
        <v>20</v>
      </c>
      <c r="U242" s="49">
        <v>1.2903225806451613</v>
      </c>
      <c r="V242" s="40">
        <v>3</v>
      </c>
      <c r="W242" s="49">
        <v>0.19354838709677419</v>
      </c>
      <c r="X242" s="45" t="s">
        <v>63</v>
      </c>
      <c r="Y242" s="45" t="s">
        <v>63</v>
      </c>
      <c r="Z242" s="40">
        <v>35</v>
      </c>
      <c r="AA242" s="49">
        <v>2.258064516129032</v>
      </c>
      <c r="AB242" s="45" t="s">
        <v>63</v>
      </c>
      <c r="AC242" s="45" t="s">
        <v>63</v>
      </c>
      <c r="AD242" s="40">
        <v>59</v>
      </c>
      <c r="AE242" s="49">
        <v>3.8064516129032255</v>
      </c>
      <c r="AF242" s="40">
        <v>9</v>
      </c>
      <c r="AG242" s="49">
        <v>0.58064516129032262</v>
      </c>
      <c r="AH242" s="40">
        <v>18</v>
      </c>
      <c r="AI242" s="49">
        <v>1.1612903225806452</v>
      </c>
      <c r="AJ242" s="40">
        <v>82</v>
      </c>
      <c r="AK242" s="49">
        <v>5.290322580645161</v>
      </c>
      <c r="AL242" s="45" t="s">
        <v>63</v>
      </c>
      <c r="AM242" s="45" t="s">
        <v>63</v>
      </c>
    </row>
    <row r="243" spans="1:39" s="38" customFormat="1" x14ac:dyDescent="0.15">
      <c r="A243" s="46"/>
      <c r="B243" s="47"/>
      <c r="C243" s="40"/>
      <c r="D243" s="40"/>
      <c r="E243" s="40"/>
      <c r="F243" s="40"/>
      <c r="G243" s="40"/>
      <c r="H243" s="48"/>
      <c r="I243" s="40"/>
      <c r="J243" s="40"/>
      <c r="K243" s="40"/>
      <c r="L243" s="40"/>
      <c r="M243" s="49"/>
      <c r="N243" s="40"/>
      <c r="O243" s="49"/>
      <c r="P243" s="40"/>
      <c r="Q243" s="49"/>
      <c r="R243" s="40"/>
      <c r="S243" s="49"/>
      <c r="T243" s="40"/>
      <c r="U243" s="49"/>
      <c r="V243" s="40"/>
      <c r="W243" s="49"/>
      <c r="X243" s="45"/>
      <c r="Y243" s="45"/>
      <c r="Z243" s="40"/>
      <c r="AA243" s="49"/>
      <c r="AB243" s="45"/>
      <c r="AC243" s="45"/>
      <c r="AD243" s="40"/>
      <c r="AE243" s="49"/>
      <c r="AF243" s="40"/>
      <c r="AG243" s="49"/>
      <c r="AH243" s="40"/>
      <c r="AI243" s="49"/>
      <c r="AJ243" s="40"/>
      <c r="AK243" s="49"/>
      <c r="AL243" s="45"/>
      <c r="AM243" s="45"/>
    </row>
    <row r="244" spans="1:39" s="38" customFormat="1" x14ac:dyDescent="0.15">
      <c r="A244" s="46">
        <v>134</v>
      </c>
      <c r="B244" s="47" t="s">
        <v>177</v>
      </c>
      <c r="C244" s="40">
        <v>4608</v>
      </c>
      <c r="D244" s="40">
        <v>201</v>
      </c>
      <c r="E244" s="40">
        <v>0</v>
      </c>
      <c r="F244" s="40">
        <v>4809</v>
      </c>
      <c r="G244" s="40">
        <v>1987</v>
      </c>
      <c r="H244" s="49">
        <v>41.490916684067649</v>
      </c>
      <c r="I244" s="40">
        <v>181</v>
      </c>
      <c r="J244" s="40">
        <v>35</v>
      </c>
      <c r="K244" s="40">
        <v>1952</v>
      </c>
      <c r="L244" s="40">
        <v>771</v>
      </c>
      <c r="M244" s="49">
        <v>38.802214393558124</v>
      </c>
      <c r="N244" s="40">
        <v>471</v>
      </c>
      <c r="O244" s="49">
        <v>23.704076497232009</v>
      </c>
      <c r="P244" s="40">
        <v>212</v>
      </c>
      <c r="Q244" s="49">
        <v>10.669350780070458</v>
      </c>
      <c r="R244" s="40">
        <v>211</v>
      </c>
      <c r="S244" s="49">
        <v>10.619023653749371</v>
      </c>
      <c r="T244" s="40">
        <v>32</v>
      </c>
      <c r="U244" s="49">
        <v>1.6104680422747861</v>
      </c>
      <c r="V244" s="40">
        <v>11</v>
      </c>
      <c r="W244" s="49">
        <v>0.55359838953195772</v>
      </c>
      <c r="X244" s="45" t="s">
        <v>63</v>
      </c>
      <c r="Y244" s="45" t="s">
        <v>63</v>
      </c>
      <c r="Z244" s="40">
        <v>39</v>
      </c>
      <c r="AA244" s="49">
        <v>1.9627579265223956</v>
      </c>
      <c r="AB244" s="45" t="s">
        <v>63</v>
      </c>
      <c r="AC244" s="45" t="s">
        <v>63</v>
      </c>
      <c r="AD244" s="40">
        <v>72</v>
      </c>
      <c r="AE244" s="49">
        <v>3.6235530951182691</v>
      </c>
      <c r="AF244" s="40">
        <v>8</v>
      </c>
      <c r="AG244" s="49">
        <v>0.40261701056869653</v>
      </c>
      <c r="AH244" s="40">
        <v>42</v>
      </c>
      <c r="AI244" s="49">
        <v>2.113739305485657</v>
      </c>
      <c r="AJ244" s="40">
        <v>83</v>
      </c>
      <c r="AK244" s="49">
        <v>4.1771514846502269</v>
      </c>
      <c r="AL244" s="45" t="s">
        <v>63</v>
      </c>
      <c r="AM244" s="45" t="s">
        <v>63</v>
      </c>
    </row>
    <row r="245" spans="1:39" s="38" customFormat="1" x14ac:dyDescent="0.15">
      <c r="A245" s="46"/>
      <c r="B245" s="47"/>
      <c r="C245" s="40"/>
      <c r="D245" s="40"/>
      <c r="E245" s="40"/>
      <c r="F245" s="40"/>
      <c r="G245" s="40"/>
      <c r="H245" s="48"/>
      <c r="I245" s="40"/>
      <c r="J245" s="40"/>
      <c r="K245" s="40"/>
      <c r="L245" s="40"/>
      <c r="M245" s="49"/>
      <c r="N245" s="40"/>
      <c r="O245" s="49"/>
      <c r="P245" s="40"/>
      <c r="Q245" s="49"/>
      <c r="R245" s="40"/>
      <c r="S245" s="49"/>
      <c r="T245" s="40"/>
      <c r="U245" s="49"/>
      <c r="V245" s="40"/>
      <c r="W245" s="49"/>
      <c r="X245" s="45"/>
      <c r="Y245" s="45"/>
      <c r="Z245" s="40"/>
      <c r="AA245" s="49"/>
      <c r="AB245" s="45"/>
      <c r="AC245" s="45"/>
      <c r="AD245" s="40"/>
      <c r="AE245" s="49"/>
      <c r="AF245" s="40"/>
      <c r="AG245" s="49"/>
      <c r="AH245" s="40"/>
      <c r="AI245" s="49"/>
      <c r="AJ245" s="40"/>
      <c r="AK245" s="49"/>
      <c r="AL245" s="45"/>
      <c r="AM245" s="45"/>
    </row>
    <row r="246" spans="1:39" s="38" customFormat="1" x14ac:dyDescent="0.15">
      <c r="A246" s="46">
        <v>135</v>
      </c>
      <c r="B246" s="47" t="s">
        <v>178</v>
      </c>
      <c r="C246" s="40">
        <v>6824</v>
      </c>
      <c r="D246" s="40">
        <v>413</v>
      </c>
      <c r="E246" s="40">
        <v>0</v>
      </c>
      <c r="F246" s="40">
        <v>7237</v>
      </c>
      <c r="G246" s="40">
        <v>3370</v>
      </c>
      <c r="H246" s="48">
        <v>46.734156150325887</v>
      </c>
      <c r="I246" s="40">
        <v>387</v>
      </c>
      <c r="J246" s="40">
        <v>73</v>
      </c>
      <c r="K246" s="40">
        <v>3297</v>
      </c>
      <c r="L246" s="40">
        <v>1211</v>
      </c>
      <c r="M246" s="49">
        <v>35.934718100890208</v>
      </c>
      <c r="N246" s="40">
        <v>959</v>
      </c>
      <c r="O246" s="49">
        <v>28.456973293768545</v>
      </c>
      <c r="P246" s="40">
        <v>271</v>
      </c>
      <c r="Q246" s="49">
        <v>8.0415430267062309</v>
      </c>
      <c r="R246" s="40">
        <v>307</v>
      </c>
      <c r="S246" s="49">
        <v>9.1097922848664687</v>
      </c>
      <c r="T246" s="40">
        <v>62</v>
      </c>
      <c r="U246" s="49">
        <v>1.8397626112759646</v>
      </c>
      <c r="V246" s="40">
        <v>16</v>
      </c>
      <c r="W246" s="49">
        <v>0.47477744807121658</v>
      </c>
      <c r="X246" s="45" t="s">
        <v>63</v>
      </c>
      <c r="Y246" s="45" t="s">
        <v>63</v>
      </c>
      <c r="Z246" s="40">
        <v>58</v>
      </c>
      <c r="AA246" s="49">
        <v>1.7210682492581602</v>
      </c>
      <c r="AB246" s="45" t="s">
        <v>63</v>
      </c>
      <c r="AC246" s="45" t="s">
        <v>63</v>
      </c>
      <c r="AD246" s="40">
        <v>166</v>
      </c>
      <c r="AE246" s="49">
        <v>4.9258160237388724</v>
      </c>
      <c r="AF246" s="40">
        <v>21</v>
      </c>
      <c r="AG246" s="49">
        <v>0.62314540059347179</v>
      </c>
      <c r="AH246" s="40">
        <v>68</v>
      </c>
      <c r="AI246" s="49">
        <v>2.0178041543026706</v>
      </c>
      <c r="AJ246" s="40">
        <v>158</v>
      </c>
      <c r="AK246" s="49">
        <v>4.6884272997032639</v>
      </c>
      <c r="AL246" s="45" t="s">
        <v>63</v>
      </c>
      <c r="AM246" s="45" t="s">
        <v>63</v>
      </c>
    </row>
    <row r="247" spans="1:39" s="38" customFormat="1" x14ac:dyDescent="0.15">
      <c r="A247" s="46"/>
      <c r="B247" s="47"/>
      <c r="C247" s="40"/>
      <c r="D247" s="40"/>
      <c r="E247" s="40"/>
      <c r="F247" s="40"/>
      <c r="G247" s="40"/>
      <c r="H247" s="48"/>
      <c r="I247" s="40"/>
      <c r="J247" s="40"/>
      <c r="K247" s="40"/>
      <c r="L247" s="40"/>
      <c r="M247" s="49"/>
      <c r="N247" s="40"/>
      <c r="O247" s="49"/>
      <c r="P247" s="40"/>
      <c r="Q247" s="49"/>
      <c r="R247" s="40"/>
      <c r="S247" s="49"/>
      <c r="T247" s="40"/>
      <c r="U247" s="49"/>
      <c r="V247" s="40"/>
      <c r="W247" s="49"/>
      <c r="X247" s="45"/>
      <c r="Y247" s="45"/>
      <c r="Z247" s="40"/>
      <c r="AA247" s="49"/>
      <c r="AB247" s="45"/>
      <c r="AC247" s="45"/>
      <c r="AD247" s="40"/>
      <c r="AE247" s="49"/>
      <c r="AF247" s="40"/>
      <c r="AG247" s="49"/>
      <c r="AH247" s="40"/>
      <c r="AI247" s="49"/>
      <c r="AJ247" s="40"/>
      <c r="AK247" s="49"/>
      <c r="AL247" s="45"/>
      <c r="AM247" s="45"/>
    </row>
    <row r="248" spans="1:39" s="38" customFormat="1" x14ac:dyDescent="0.15">
      <c r="A248" s="46">
        <v>136</v>
      </c>
      <c r="B248" s="47" t="s">
        <v>179</v>
      </c>
      <c r="C248" s="40">
        <v>4402</v>
      </c>
      <c r="D248" s="40">
        <v>344</v>
      </c>
      <c r="E248" s="40">
        <v>0</v>
      </c>
      <c r="F248" s="40">
        <v>4746</v>
      </c>
      <c r="G248" s="40">
        <v>2875</v>
      </c>
      <c r="H248" s="48">
        <v>60.730882974228983</v>
      </c>
      <c r="I248" s="40">
        <v>332</v>
      </c>
      <c r="J248" s="40">
        <v>51</v>
      </c>
      <c r="K248" s="40">
        <v>2824</v>
      </c>
      <c r="L248" s="40">
        <v>855</v>
      </c>
      <c r="M248" s="49">
        <v>29.739130434782606</v>
      </c>
      <c r="N248" s="40">
        <v>1034</v>
      </c>
      <c r="O248" s="49">
        <v>35.96521739130435</v>
      </c>
      <c r="P248" s="40">
        <v>250</v>
      </c>
      <c r="Q248" s="49">
        <v>8.695652173913043</v>
      </c>
      <c r="R248" s="40">
        <v>178</v>
      </c>
      <c r="S248" s="49">
        <v>6.1913043478260867</v>
      </c>
      <c r="T248" s="40">
        <v>81</v>
      </c>
      <c r="U248" s="49">
        <v>2.8173913043478263</v>
      </c>
      <c r="V248" s="40">
        <v>7</v>
      </c>
      <c r="W248" s="49">
        <v>0.2434782608695652</v>
      </c>
      <c r="X248" s="45" t="s">
        <v>63</v>
      </c>
      <c r="Y248" s="45" t="s">
        <v>63</v>
      </c>
      <c r="Z248" s="40">
        <v>30</v>
      </c>
      <c r="AA248" s="49">
        <v>1.0434782608695654</v>
      </c>
      <c r="AB248" s="45" t="s">
        <v>63</v>
      </c>
      <c r="AC248" s="45" t="s">
        <v>63</v>
      </c>
      <c r="AD248" s="40">
        <v>181</v>
      </c>
      <c r="AE248" s="49">
        <v>6.2956521739130435</v>
      </c>
      <c r="AF248" s="40">
        <v>19</v>
      </c>
      <c r="AG248" s="49">
        <v>0.66086956521739137</v>
      </c>
      <c r="AH248" s="40">
        <v>22</v>
      </c>
      <c r="AI248" s="49">
        <v>0.76521739130434785</v>
      </c>
      <c r="AJ248" s="40">
        <v>167</v>
      </c>
      <c r="AK248" s="49">
        <v>5.8086956521739133</v>
      </c>
      <c r="AL248" s="45" t="s">
        <v>63</v>
      </c>
      <c r="AM248" s="45" t="s">
        <v>63</v>
      </c>
    </row>
    <row r="249" spans="1:39" s="38" customFormat="1" x14ac:dyDescent="0.15">
      <c r="A249" s="46"/>
      <c r="B249" s="47"/>
      <c r="C249" s="40"/>
      <c r="D249" s="40"/>
      <c r="E249" s="40"/>
      <c r="F249" s="40"/>
      <c r="G249" s="40"/>
      <c r="H249" s="48"/>
      <c r="I249" s="40"/>
      <c r="J249" s="40"/>
      <c r="K249" s="40"/>
      <c r="L249" s="40"/>
      <c r="M249" s="49"/>
      <c r="N249" s="40"/>
      <c r="O249" s="49"/>
      <c r="P249" s="40"/>
      <c r="Q249" s="49"/>
      <c r="R249" s="40"/>
      <c r="S249" s="49"/>
      <c r="T249" s="40"/>
      <c r="U249" s="49"/>
      <c r="V249" s="40"/>
      <c r="W249" s="49"/>
      <c r="X249" s="45" t="s">
        <v>63</v>
      </c>
      <c r="Y249" s="45" t="s">
        <v>63</v>
      </c>
      <c r="Z249" s="40"/>
      <c r="AA249" s="49"/>
      <c r="AB249" s="45" t="s">
        <v>63</v>
      </c>
      <c r="AC249" s="45" t="s">
        <v>63</v>
      </c>
      <c r="AD249" s="40"/>
      <c r="AE249" s="49"/>
      <c r="AF249" s="40"/>
      <c r="AG249" s="49"/>
      <c r="AH249" s="40"/>
      <c r="AI249" s="49"/>
      <c r="AJ249" s="40"/>
      <c r="AK249" s="49"/>
      <c r="AL249" s="45" t="s">
        <v>63</v>
      </c>
      <c r="AM249" s="45" t="s">
        <v>63</v>
      </c>
    </row>
    <row r="250" spans="1:39" s="38" customFormat="1" x14ac:dyDescent="0.15">
      <c r="A250" s="46">
        <v>13</v>
      </c>
      <c r="B250" s="47" t="s">
        <v>179</v>
      </c>
      <c r="C250" s="40">
        <v>25710</v>
      </c>
      <c r="D250" s="40">
        <v>1855</v>
      </c>
      <c r="E250" s="40">
        <v>0</v>
      </c>
      <c r="F250" s="40">
        <v>27565</v>
      </c>
      <c r="G250" s="40">
        <v>14402</v>
      </c>
      <c r="H250" s="48">
        <v>52.456747404844293</v>
      </c>
      <c r="I250" s="40">
        <v>1745</v>
      </c>
      <c r="J250" s="40">
        <v>250</v>
      </c>
      <c r="K250" s="40">
        <v>14152</v>
      </c>
      <c r="L250" s="40">
        <v>5030</v>
      </c>
      <c r="M250" s="49">
        <v>34.92570476322733</v>
      </c>
      <c r="N250" s="40">
        <v>4340</v>
      </c>
      <c r="O250" s="49">
        <v>30.134703513400918</v>
      </c>
      <c r="P250" s="40">
        <v>1423</v>
      </c>
      <c r="Q250" s="49">
        <v>9.8805721427579503</v>
      </c>
      <c r="R250" s="40">
        <v>1095</v>
      </c>
      <c r="S250" s="49">
        <v>7.6031106790723513</v>
      </c>
      <c r="T250" s="40">
        <v>268</v>
      </c>
      <c r="U250" s="49">
        <v>1.8608526593528678</v>
      </c>
      <c r="V250" s="40">
        <v>45</v>
      </c>
      <c r="W250" s="49">
        <v>0.31245660324954866</v>
      </c>
      <c r="X250" s="45" t="s">
        <v>63</v>
      </c>
      <c r="Y250" s="45" t="s">
        <v>63</v>
      </c>
      <c r="Z250" s="40">
        <v>203</v>
      </c>
      <c r="AA250" s="49">
        <v>1.4095264546590751</v>
      </c>
      <c r="AB250" s="45" t="s">
        <v>63</v>
      </c>
      <c r="AC250" s="45" t="s">
        <v>63</v>
      </c>
      <c r="AD250" s="40">
        <v>821</v>
      </c>
      <c r="AE250" s="49">
        <v>5.7005971392862103</v>
      </c>
      <c r="AF250" s="40">
        <v>72</v>
      </c>
      <c r="AG250" s="49">
        <v>0.49993056519927792</v>
      </c>
      <c r="AH250" s="40">
        <v>182</v>
      </c>
      <c r="AI250" s="49">
        <v>1.2637133731426191</v>
      </c>
      <c r="AJ250" s="40">
        <v>673</v>
      </c>
      <c r="AK250" s="49">
        <v>4.6729620885988057</v>
      </c>
      <c r="AL250" s="45" t="s">
        <v>63</v>
      </c>
      <c r="AM250" s="45" t="s">
        <v>63</v>
      </c>
    </row>
    <row r="251" spans="1:39" s="38" customFormat="1" x14ac:dyDescent="0.15">
      <c r="A251" s="46"/>
      <c r="B251" s="47"/>
      <c r="C251" s="40"/>
      <c r="D251" s="40"/>
      <c r="E251" s="40"/>
      <c r="F251" s="40"/>
      <c r="G251" s="40"/>
      <c r="H251" s="48"/>
      <c r="I251" s="40"/>
      <c r="J251" s="40"/>
      <c r="K251" s="40"/>
      <c r="L251" s="40"/>
      <c r="M251" s="49"/>
      <c r="N251" s="40"/>
      <c r="O251" s="49"/>
      <c r="P251" s="40"/>
      <c r="Q251" s="49"/>
      <c r="R251" s="40"/>
      <c r="S251" s="49"/>
      <c r="T251" s="40"/>
      <c r="U251" s="49"/>
      <c r="V251" s="40"/>
      <c r="W251" s="49"/>
      <c r="X251" s="45"/>
      <c r="Y251" s="45"/>
      <c r="Z251" s="40"/>
      <c r="AA251" s="49"/>
      <c r="AB251" s="45"/>
      <c r="AC251" s="45"/>
      <c r="AD251" s="40"/>
      <c r="AE251" s="49"/>
      <c r="AF251" s="40"/>
      <c r="AG251" s="49"/>
      <c r="AH251" s="40"/>
      <c r="AI251" s="49"/>
      <c r="AJ251" s="40"/>
      <c r="AK251" s="49"/>
      <c r="AL251" s="45"/>
      <c r="AM251" s="45"/>
    </row>
    <row r="252" spans="1:39" s="38" customFormat="1" x14ac:dyDescent="0.15">
      <c r="A252" s="46">
        <v>141</v>
      </c>
      <c r="B252" s="47" t="s">
        <v>180</v>
      </c>
      <c r="C252" s="40">
        <v>3556</v>
      </c>
      <c r="D252" s="40">
        <v>313</v>
      </c>
      <c r="E252" s="40">
        <v>0</v>
      </c>
      <c r="F252" s="40">
        <v>3869</v>
      </c>
      <c r="G252" s="40">
        <v>2176</v>
      </c>
      <c r="H252" s="48">
        <v>56.329277763396327</v>
      </c>
      <c r="I252" s="40">
        <v>307</v>
      </c>
      <c r="J252" s="40">
        <v>36</v>
      </c>
      <c r="K252" s="40">
        <v>2140</v>
      </c>
      <c r="L252" s="40">
        <v>799</v>
      </c>
      <c r="M252" s="49">
        <v>36.71875</v>
      </c>
      <c r="N252" s="40">
        <v>728</v>
      </c>
      <c r="O252" s="49">
        <v>33.455882352941174</v>
      </c>
      <c r="P252" s="40">
        <v>148</v>
      </c>
      <c r="Q252" s="49">
        <v>6.8014705882352935</v>
      </c>
      <c r="R252" s="40">
        <v>121</v>
      </c>
      <c r="S252" s="49">
        <v>5.5606617647058822</v>
      </c>
      <c r="T252" s="40">
        <v>41</v>
      </c>
      <c r="U252" s="49">
        <v>1.8841911764705881</v>
      </c>
      <c r="V252" s="40">
        <v>6</v>
      </c>
      <c r="W252" s="49">
        <v>0.27573529411764708</v>
      </c>
      <c r="X252" s="45" t="s">
        <v>63</v>
      </c>
      <c r="Y252" s="45" t="s">
        <v>63</v>
      </c>
      <c r="Z252" s="40">
        <v>25</v>
      </c>
      <c r="AA252" s="49">
        <v>1.1488970588235294</v>
      </c>
      <c r="AB252" s="45" t="s">
        <v>63</v>
      </c>
      <c r="AC252" s="45" t="s">
        <v>63</v>
      </c>
      <c r="AD252" s="40">
        <v>153</v>
      </c>
      <c r="AE252" s="49">
        <v>7.03125</v>
      </c>
      <c r="AF252" s="40">
        <v>7</v>
      </c>
      <c r="AG252" s="49">
        <v>0.3216911764705882</v>
      </c>
      <c r="AH252" s="40">
        <v>25</v>
      </c>
      <c r="AI252" s="49">
        <v>1.1488970588235294</v>
      </c>
      <c r="AJ252" s="40">
        <v>87</v>
      </c>
      <c r="AK252" s="49">
        <v>3.9981617647058822</v>
      </c>
      <c r="AL252" s="45" t="s">
        <v>63</v>
      </c>
      <c r="AM252" s="45" t="s">
        <v>63</v>
      </c>
    </row>
    <row r="253" spans="1:39" s="38" customFormat="1" x14ac:dyDescent="0.15">
      <c r="A253" s="46"/>
      <c r="B253" s="47"/>
      <c r="C253" s="40"/>
      <c r="D253" s="40"/>
      <c r="E253" s="40"/>
      <c r="F253" s="40"/>
      <c r="G253" s="40"/>
      <c r="H253" s="48"/>
      <c r="I253" s="40"/>
      <c r="J253" s="40"/>
      <c r="K253" s="40"/>
      <c r="L253" s="40"/>
      <c r="M253" s="49"/>
      <c r="N253" s="40"/>
      <c r="O253" s="49"/>
      <c r="P253" s="40"/>
      <c r="Q253" s="49"/>
      <c r="R253" s="40"/>
      <c r="S253" s="49"/>
      <c r="T253" s="40"/>
      <c r="U253" s="49"/>
      <c r="V253" s="40"/>
      <c r="W253" s="49"/>
      <c r="X253" s="45"/>
      <c r="Y253" s="45"/>
      <c r="Z253" s="40"/>
      <c r="AA253" s="49"/>
      <c r="AB253" s="45"/>
      <c r="AC253" s="45"/>
      <c r="AD253" s="40"/>
      <c r="AE253" s="49"/>
      <c r="AF253" s="40"/>
      <c r="AG253" s="49"/>
      <c r="AH253" s="40"/>
      <c r="AI253" s="49"/>
      <c r="AJ253" s="40"/>
      <c r="AK253" s="49"/>
      <c r="AL253" s="45"/>
      <c r="AM253" s="45"/>
    </row>
    <row r="254" spans="1:39" s="38" customFormat="1" x14ac:dyDescent="0.15">
      <c r="A254" s="46">
        <v>142</v>
      </c>
      <c r="B254" s="47" t="s">
        <v>181</v>
      </c>
      <c r="C254" s="40">
        <v>4879</v>
      </c>
      <c r="D254" s="40">
        <v>402</v>
      </c>
      <c r="E254" s="40">
        <v>0</v>
      </c>
      <c r="F254" s="40">
        <v>5281</v>
      </c>
      <c r="G254" s="40">
        <v>2816</v>
      </c>
      <c r="H254" s="48">
        <v>53.576864535768642</v>
      </c>
      <c r="I254" s="40">
        <v>377</v>
      </c>
      <c r="J254" s="40">
        <v>56</v>
      </c>
      <c r="K254" s="40">
        <v>2760</v>
      </c>
      <c r="L254" s="40">
        <v>1066</v>
      </c>
      <c r="M254" s="49">
        <v>37.855113636363633</v>
      </c>
      <c r="N254" s="40">
        <v>760</v>
      </c>
      <c r="O254" s="49">
        <v>26.988636363636363</v>
      </c>
      <c r="P254" s="40">
        <v>365</v>
      </c>
      <c r="Q254" s="49">
        <v>12.961647727272727</v>
      </c>
      <c r="R254" s="40">
        <v>160</v>
      </c>
      <c r="S254" s="49">
        <v>5.6818181818181817</v>
      </c>
      <c r="T254" s="40">
        <v>47</v>
      </c>
      <c r="U254" s="49">
        <v>1.6690340909090908</v>
      </c>
      <c r="V254" s="40">
        <v>11</v>
      </c>
      <c r="W254" s="49">
        <v>0.390625</v>
      </c>
      <c r="X254" s="45" t="s">
        <v>63</v>
      </c>
      <c r="Y254" s="45" t="s">
        <v>63</v>
      </c>
      <c r="Z254" s="40">
        <v>44</v>
      </c>
      <c r="AA254" s="49">
        <v>1.5625</v>
      </c>
      <c r="AB254" s="45" t="s">
        <v>63</v>
      </c>
      <c r="AC254" s="45" t="s">
        <v>63</v>
      </c>
      <c r="AD254" s="40">
        <v>148</v>
      </c>
      <c r="AE254" s="49">
        <v>5.2556818181818183</v>
      </c>
      <c r="AF254" s="40">
        <v>10</v>
      </c>
      <c r="AG254" s="49">
        <v>0.35511363636363635</v>
      </c>
      <c r="AH254" s="40">
        <v>41</v>
      </c>
      <c r="AI254" s="49">
        <v>1.4559659090909089</v>
      </c>
      <c r="AJ254" s="40">
        <v>108</v>
      </c>
      <c r="AK254" s="49">
        <v>3.8352272727272729</v>
      </c>
      <c r="AL254" s="45" t="s">
        <v>63</v>
      </c>
      <c r="AM254" s="45" t="s">
        <v>63</v>
      </c>
    </row>
    <row r="255" spans="1:39" s="38" customFormat="1" x14ac:dyDescent="0.15">
      <c r="A255" s="46"/>
      <c r="B255" s="47"/>
      <c r="C255" s="40"/>
      <c r="D255" s="40"/>
      <c r="E255" s="40"/>
      <c r="F255" s="40"/>
      <c r="G255" s="40"/>
      <c r="H255" s="48"/>
      <c r="I255" s="40"/>
      <c r="J255" s="40"/>
      <c r="K255" s="40"/>
      <c r="L255" s="40"/>
      <c r="M255" s="49"/>
      <c r="N255" s="40"/>
      <c r="O255" s="49"/>
      <c r="P255" s="40"/>
      <c r="Q255" s="49"/>
      <c r="R255" s="40"/>
      <c r="S255" s="49"/>
      <c r="T255" s="40"/>
      <c r="U255" s="49"/>
      <c r="V255" s="40"/>
      <c r="W255" s="49"/>
      <c r="X255" s="45"/>
      <c r="Y255" s="45"/>
      <c r="Z255" s="40"/>
      <c r="AA255" s="49"/>
      <c r="AB255" s="45"/>
      <c r="AC255" s="45"/>
      <c r="AD255" s="40"/>
      <c r="AE255" s="49"/>
      <c r="AF255" s="40"/>
      <c r="AG255" s="49"/>
      <c r="AH255" s="40"/>
      <c r="AI255" s="49"/>
      <c r="AJ255" s="40"/>
      <c r="AK255" s="49"/>
      <c r="AL255" s="45"/>
      <c r="AM255" s="45"/>
    </row>
    <row r="256" spans="1:39" s="38" customFormat="1" x14ac:dyDescent="0.15">
      <c r="A256" s="46">
        <v>14</v>
      </c>
      <c r="B256" s="47" t="s">
        <v>182</v>
      </c>
      <c r="C256" s="40">
        <v>8435</v>
      </c>
      <c r="D256" s="40">
        <v>715</v>
      </c>
      <c r="E256" s="40">
        <v>0</v>
      </c>
      <c r="F256" s="40">
        <v>9150</v>
      </c>
      <c r="G256" s="40">
        <v>4992</v>
      </c>
      <c r="H256" s="48">
        <v>54.74284461015462</v>
      </c>
      <c r="I256" s="40">
        <v>684</v>
      </c>
      <c r="J256" s="40">
        <v>92</v>
      </c>
      <c r="K256" s="40">
        <v>4900</v>
      </c>
      <c r="L256" s="40">
        <v>1865</v>
      </c>
      <c r="M256" s="49">
        <v>37.359775641025635</v>
      </c>
      <c r="N256" s="40">
        <v>1488</v>
      </c>
      <c r="O256" s="49">
        <v>29.807692307692307</v>
      </c>
      <c r="P256" s="40">
        <v>513</v>
      </c>
      <c r="Q256" s="49">
        <v>10.276442307692307</v>
      </c>
      <c r="R256" s="40">
        <v>281</v>
      </c>
      <c r="S256" s="49">
        <v>5.6290064102564106</v>
      </c>
      <c r="T256" s="40">
        <v>88</v>
      </c>
      <c r="U256" s="49">
        <v>1.7628205128205128</v>
      </c>
      <c r="V256" s="40">
        <v>17</v>
      </c>
      <c r="W256" s="49">
        <v>0.34054487179487181</v>
      </c>
      <c r="X256" s="45" t="s">
        <v>63</v>
      </c>
      <c r="Y256" s="45" t="s">
        <v>63</v>
      </c>
      <c r="Z256" s="40">
        <v>69</v>
      </c>
      <c r="AA256" s="49">
        <v>1.3822115384615383</v>
      </c>
      <c r="AB256" s="45" t="s">
        <v>63</v>
      </c>
      <c r="AC256" s="45" t="s">
        <v>63</v>
      </c>
      <c r="AD256" s="40">
        <v>301</v>
      </c>
      <c r="AE256" s="49">
        <v>6.0296474358974361</v>
      </c>
      <c r="AF256" s="40">
        <v>17</v>
      </c>
      <c r="AG256" s="49">
        <v>0.34054487179487181</v>
      </c>
      <c r="AH256" s="40">
        <v>66</v>
      </c>
      <c r="AI256" s="49">
        <v>1.3221153846153846</v>
      </c>
      <c r="AJ256" s="40">
        <v>195</v>
      </c>
      <c r="AK256" s="49">
        <v>3.90625</v>
      </c>
      <c r="AL256" s="45" t="s">
        <v>63</v>
      </c>
      <c r="AM256" s="45" t="s">
        <v>63</v>
      </c>
    </row>
    <row r="257" spans="1:39" s="38" customFormat="1" x14ac:dyDescent="0.15">
      <c r="A257" s="46"/>
      <c r="B257" s="47"/>
      <c r="C257" s="40"/>
      <c r="D257" s="40"/>
      <c r="E257" s="40"/>
      <c r="F257" s="40"/>
      <c r="G257" s="40"/>
      <c r="H257" s="48"/>
      <c r="I257" s="40"/>
      <c r="J257" s="40"/>
      <c r="K257" s="40"/>
      <c r="L257" s="40"/>
      <c r="M257" s="49"/>
      <c r="N257" s="40"/>
      <c r="O257" s="49"/>
      <c r="P257" s="40"/>
      <c r="Q257" s="49"/>
      <c r="R257" s="40"/>
      <c r="S257" s="49"/>
      <c r="T257" s="40"/>
      <c r="U257" s="49"/>
      <c r="V257" s="40"/>
      <c r="W257" s="49"/>
      <c r="X257" s="45"/>
      <c r="Y257" s="45"/>
      <c r="Z257" s="40"/>
      <c r="AA257" s="49"/>
      <c r="AB257" s="45"/>
      <c r="AC257" s="45"/>
      <c r="AD257" s="40"/>
      <c r="AE257" s="49"/>
      <c r="AF257" s="40"/>
      <c r="AG257" s="49"/>
      <c r="AH257" s="40"/>
      <c r="AI257" s="49"/>
      <c r="AJ257" s="40"/>
      <c r="AK257" s="49"/>
      <c r="AL257" s="45"/>
      <c r="AM257" s="45"/>
    </row>
    <row r="258" spans="1:39" s="38" customFormat="1" x14ac:dyDescent="0.15">
      <c r="A258" s="46">
        <v>211</v>
      </c>
      <c r="B258" s="47" t="s">
        <v>183</v>
      </c>
      <c r="C258" s="40">
        <v>4648</v>
      </c>
      <c r="D258" s="40">
        <v>472</v>
      </c>
      <c r="E258" s="40">
        <v>0</v>
      </c>
      <c r="F258" s="40">
        <v>5120</v>
      </c>
      <c r="G258" s="40">
        <v>2938</v>
      </c>
      <c r="H258" s="48">
        <v>57.675696898311735</v>
      </c>
      <c r="I258" s="40">
        <v>446</v>
      </c>
      <c r="J258" s="40">
        <v>47</v>
      </c>
      <c r="K258" s="40">
        <v>2891</v>
      </c>
      <c r="L258" s="40">
        <v>1074</v>
      </c>
      <c r="M258" s="49">
        <v>36.555479918311775</v>
      </c>
      <c r="N258" s="40">
        <v>914</v>
      </c>
      <c r="O258" s="49">
        <v>31.109598366235534</v>
      </c>
      <c r="P258" s="40">
        <v>235</v>
      </c>
      <c r="Q258" s="49">
        <v>7.9986385296119815</v>
      </c>
      <c r="R258" s="40">
        <v>186</v>
      </c>
      <c r="S258" s="49">
        <v>6.3308373042886323</v>
      </c>
      <c r="T258" s="40">
        <v>49</v>
      </c>
      <c r="U258" s="49">
        <v>1.6678012253233492</v>
      </c>
      <c r="V258" s="40">
        <v>9</v>
      </c>
      <c r="W258" s="49">
        <v>0.30633083730428862</v>
      </c>
      <c r="X258" s="45" t="s">
        <v>63</v>
      </c>
      <c r="Y258" s="45" t="s">
        <v>63</v>
      </c>
      <c r="Z258" s="40">
        <v>40</v>
      </c>
      <c r="AA258" s="49">
        <v>1.3614703880190604</v>
      </c>
      <c r="AB258" s="45" t="s">
        <v>63</v>
      </c>
      <c r="AC258" s="45" t="s">
        <v>63</v>
      </c>
      <c r="AD258" s="40">
        <v>188</v>
      </c>
      <c r="AE258" s="49">
        <v>6.3989108236895849</v>
      </c>
      <c r="AF258" s="40">
        <v>16</v>
      </c>
      <c r="AG258" s="49">
        <v>0.54458815520762416</v>
      </c>
      <c r="AH258" s="40">
        <v>21</v>
      </c>
      <c r="AI258" s="49">
        <v>0.71477195371000679</v>
      </c>
      <c r="AJ258" s="40">
        <v>159</v>
      </c>
      <c r="AK258" s="49">
        <v>5.4118447923757662</v>
      </c>
      <c r="AL258" s="45" t="s">
        <v>63</v>
      </c>
      <c r="AM258" s="45" t="s">
        <v>63</v>
      </c>
    </row>
    <row r="259" spans="1:39" s="38" customFormat="1" x14ac:dyDescent="0.15">
      <c r="A259" s="46"/>
      <c r="B259" s="47"/>
      <c r="C259" s="40"/>
      <c r="D259" s="40"/>
      <c r="E259" s="40"/>
      <c r="F259" s="40"/>
      <c r="G259" s="40"/>
      <c r="H259" s="48"/>
      <c r="I259" s="40"/>
      <c r="J259" s="40"/>
      <c r="K259" s="40"/>
      <c r="L259" s="40"/>
      <c r="M259" s="49"/>
      <c r="N259" s="40"/>
      <c r="O259" s="49"/>
      <c r="P259" s="40"/>
      <c r="Q259" s="49"/>
      <c r="R259" s="40"/>
      <c r="S259" s="49"/>
      <c r="T259" s="40"/>
      <c r="U259" s="49"/>
      <c r="V259" s="40"/>
      <c r="W259" s="49"/>
      <c r="X259" s="45"/>
      <c r="Y259" s="45"/>
      <c r="Z259" s="40"/>
      <c r="AA259" s="49"/>
      <c r="AB259" s="45"/>
      <c r="AC259" s="45"/>
      <c r="AD259" s="40"/>
      <c r="AE259" s="49"/>
      <c r="AF259" s="40"/>
      <c r="AG259" s="49"/>
      <c r="AH259" s="40"/>
      <c r="AI259" s="49"/>
      <c r="AJ259" s="40"/>
      <c r="AK259" s="49"/>
      <c r="AL259" s="45"/>
      <c r="AM259" s="45"/>
    </row>
    <row r="260" spans="1:39" s="38" customFormat="1" x14ac:dyDescent="0.15">
      <c r="A260" s="46">
        <v>212</v>
      </c>
      <c r="B260" s="47" t="s">
        <v>184</v>
      </c>
      <c r="C260" s="40">
        <v>7989</v>
      </c>
      <c r="D260" s="40">
        <v>511</v>
      </c>
      <c r="E260" s="40">
        <v>0</v>
      </c>
      <c r="F260" s="40">
        <v>8500</v>
      </c>
      <c r="G260" s="40">
        <v>4291</v>
      </c>
      <c r="H260" s="48">
        <v>50.66115702479339</v>
      </c>
      <c r="I260" s="40">
        <v>481</v>
      </c>
      <c r="J260" s="40">
        <v>89</v>
      </c>
      <c r="K260" s="40">
        <v>4202</v>
      </c>
      <c r="L260" s="40">
        <v>1599</v>
      </c>
      <c r="M260" s="49">
        <v>37.264041016080171</v>
      </c>
      <c r="N260" s="40">
        <v>1235</v>
      </c>
      <c r="O260" s="49">
        <v>28.781169890468423</v>
      </c>
      <c r="P260" s="40">
        <v>361</v>
      </c>
      <c r="Q260" s="49">
        <v>8.4129573525984611</v>
      </c>
      <c r="R260" s="40">
        <v>368</v>
      </c>
      <c r="S260" s="49">
        <v>8.5760894896294566</v>
      </c>
      <c r="T260" s="40">
        <v>75</v>
      </c>
      <c r="U260" s="49">
        <v>1.7478443253320906</v>
      </c>
      <c r="V260" s="40">
        <v>6</v>
      </c>
      <c r="W260" s="49">
        <v>0.13982754602656725</v>
      </c>
      <c r="X260" s="45" t="s">
        <v>63</v>
      </c>
      <c r="Y260" s="45" t="s">
        <v>63</v>
      </c>
      <c r="Z260" s="40">
        <v>60</v>
      </c>
      <c r="AA260" s="49">
        <v>1.3982754602656724</v>
      </c>
      <c r="AB260" s="45" t="s">
        <v>63</v>
      </c>
      <c r="AC260" s="45" t="s">
        <v>63</v>
      </c>
      <c r="AD260" s="40">
        <v>218</v>
      </c>
      <c r="AE260" s="49">
        <v>5.0804008389652759</v>
      </c>
      <c r="AF260" s="40">
        <v>15</v>
      </c>
      <c r="AG260" s="49">
        <v>0.3495688650664181</v>
      </c>
      <c r="AH260" s="40">
        <v>45</v>
      </c>
      <c r="AI260" s="49">
        <v>1.0487065951992542</v>
      </c>
      <c r="AJ260" s="40">
        <v>220</v>
      </c>
      <c r="AK260" s="49">
        <v>5.1270100209741321</v>
      </c>
      <c r="AL260" s="45" t="s">
        <v>63</v>
      </c>
      <c r="AM260" s="45" t="s">
        <v>63</v>
      </c>
    </row>
    <row r="261" spans="1:39" s="38" customFormat="1" x14ac:dyDescent="0.15">
      <c r="A261" s="46"/>
      <c r="B261" s="47"/>
      <c r="C261" s="40"/>
      <c r="D261" s="40"/>
      <c r="E261" s="40"/>
      <c r="F261" s="40"/>
      <c r="G261" s="40"/>
      <c r="H261" s="48"/>
      <c r="I261" s="40"/>
      <c r="J261" s="40"/>
      <c r="K261" s="40"/>
      <c r="L261" s="40"/>
      <c r="M261" s="49"/>
      <c r="N261" s="40"/>
      <c r="O261" s="49"/>
      <c r="P261" s="40"/>
      <c r="Q261" s="49"/>
      <c r="R261" s="40"/>
      <c r="S261" s="49"/>
      <c r="T261" s="40"/>
      <c r="U261" s="49"/>
      <c r="V261" s="40"/>
      <c r="W261" s="49"/>
      <c r="X261" s="45"/>
      <c r="Y261" s="45"/>
      <c r="Z261" s="40"/>
      <c r="AA261" s="49"/>
      <c r="AB261" s="45"/>
      <c r="AC261" s="45"/>
      <c r="AD261" s="40"/>
      <c r="AE261" s="49"/>
      <c r="AF261" s="40"/>
      <c r="AG261" s="49"/>
      <c r="AH261" s="40"/>
      <c r="AI261" s="49"/>
      <c r="AJ261" s="40"/>
      <c r="AK261" s="49"/>
      <c r="AL261" s="45"/>
      <c r="AM261" s="45"/>
    </row>
    <row r="262" spans="1:39" s="38" customFormat="1" x14ac:dyDescent="0.15">
      <c r="A262" s="46">
        <v>213</v>
      </c>
      <c r="B262" s="47" t="s">
        <v>185</v>
      </c>
      <c r="C262" s="40">
        <v>2306</v>
      </c>
      <c r="D262" s="40">
        <v>128</v>
      </c>
      <c r="E262" s="40">
        <v>0</v>
      </c>
      <c r="F262" s="40">
        <v>2434</v>
      </c>
      <c r="G262" s="40">
        <v>1341</v>
      </c>
      <c r="H262" s="48">
        <v>55.367464905037153</v>
      </c>
      <c r="I262" s="40">
        <v>116</v>
      </c>
      <c r="J262" s="40">
        <v>24</v>
      </c>
      <c r="K262" s="40">
        <v>1317</v>
      </c>
      <c r="L262" s="40">
        <v>623</v>
      </c>
      <c r="M262" s="49">
        <v>46.457867263236388</v>
      </c>
      <c r="N262" s="40">
        <v>305</v>
      </c>
      <c r="O262" s="49">
        <v>22.744220730797913</v>
      </c>
      <c r="P262" s="40">
        <v>95</v>
      </c>
      <c r="Q262" s="49">
        <v>7.0842654735272177</v>
      </c>
      <c r="R262" s="40">
        <v>108</v>
      </c>
      <c r="S262" s="49">
        <v>8.0536912751677843</v>
      </c>
      <c r="T262" s="40">
        <v>19</v>
      </c>
      <c r="U262" s="49">
        <v>1.4168530947054436</v>
      </c>
      <c r="V262" s="40">
        <v>7</v>
      </c>
      <c r="W262" s="49">
        <v>0.52199850857568975</v>
      </c>
      <c r="X262" s="45" t="s">
        <v>63</v>
      </c>
      <c r="Y262" s="45" t="s">
        <v>63</v>
      </c>
      <c r="Z262" s="40">
        <v>18</v>
      </c>
      <c r="AA262" s="49">
        <v>1.3422818791946309</v>
      </c>
      <c r="AB262" s="45" t="s">
        <v>63</v>
      </c>
      <c r="AC262" s="45" t="s">
        <v>63</v>
      </c>
      <c r="AD262" s="40">
        <v>59</v>
      </c>
      <c r="AE262" s="49">
        <v>4.3997017151379572</v>
      </c>
      <c r="AF262" s="40">
        <v>0</v>
      </c>
      <c r="AG262" s="49">
        <v>0</v>
      </c>
      <c r="AH262" s="40">
        <v>15</v>
      </c>
      <c r="AI262" s="49">
        <v>1.1185682326621924</v>
      </c>
      <c r="AJ262" s="40">
        <v>68</v>
      </c>
      <c r="AK262" s="49">
        <v>5.0708426547352721</v>
      </c>
      <c r="AL262" s="45" t="s">
        <v>63</v>
      </c>
      <c r="AM262" s="45" t="s">
        <v>63</v>
      </c>
    </row>
    <row r="263" spans="1:39" s="38" customFormat="1" x14ac:dyDescent="0.15">
      <c r="A263" s="46"/>
      <c r="B263" s="47"/>
      <c r="C263" s="40"/>
      <c r="D263" s="40"/>
      <c r="E263" s="40"/>
      <c r="F263" s="40"/>
      <c r="G263" s="40"/>
      <c r="H263" s="48"/>
      <c r="I263" s="40"/>
      <c r="J263" s="40"/>
      <c r="K263" s="40"/>
      <c r="L263" s="40"/>
      <c r="M263" s="49"/>
      <c r="N263" s="40"/>
      <c r="O263" s="49"/>
      <c r="P263" s="40"/>
      <c r="Q263" s="49"/>
      <c r="R263" s="40"/>
      <c r="S263" s="49"/>
      <c r="T263" s="40"/>
      <c r="U263" s="49"/>
      <c r="V263" s="40"/>
      <c r="W263" s="49"/>
      <c r="X263" s="45"/>
      <c r="Y263" s="45"/>
      <c r="Z263" s="40"/>
      <c r="AA263" s="49"/>
      <c r="AB263" s="45"/>
      <c r="AC263" s="45"/>
      <c r="AD263" s="40"/>
      <c r="AE263" s="49"/>
      <c r="AF263" s="40"/>
      <c r="AG263" s="49"/>
      <c r="AH263" s="40"/>
      <c r="AI263" s="49"/>
      <c r="AJ263" s="40"/>
      <c r="AK263" s="49"/>
      <c r="AL263" s="45"/>
      <c r="AM263" s="45"/>
    </row>
    <row r="264" spans="1:39" s="38" customFormat="1" x14ac:dyDescent="0.15">
      <c r="A264" s="46">
        <v>214</v>
      </c>
      <c r="B264" s="47" t="s">
        <v>186</v>
      </c>
      <c r="C264" s="40">
        <v>3541</v>
      </c>
      <c r="D264" s="40">
        <v>366</v>
      </c>
      <c r="E264" s="40">
        <v>0</v>
      </c>
      <c r="F264" s="40">
        <v>3907</v>
      </c>
      <c r="G264" s="40">
        <v>2240</v>
      </c>
      <c r="H264" s="48">
        <v>57.613168724279838</v>
      </c>
      <c r="I264" s="40">
        <v>347</v>
      </c>
      <c r="J264" s="40">
        <v>29</v>
      </c>
      <c r="K264" s="40">
        <v>2211</v>
      </c>
      <c r="L264" s="40">
        <v>701</v>
      </c>
      <c r="M264" s="49">
        <v>31.294642857142858</v>
      </c>
      <c r="N264" s="40">
        <v>887</v>
      </c>
      <c r="O264" s="49">
        <v>39.598214285714285</v>
      </c>
      <c r="P264" s="40">
        <v>212</v>
      </c>
      <c r="Q264" s="49">
        <v>9.4642857142857135</v>
      </c>
      <c r="R264" s="40">
        <v>99</v>
      </c>
      <c r="S264" s="49">
        <v>4.4196428571428577</v>
      </c>
      <c r="T264" s="40">
        <v>29</v>
      </c>
      <c r="U264" s="49">
        <v>1.2946428571428572</v>
      </c>
      <c r="V264" s="40">
        <v>2</v>
      </c>
      <c r="W264" s="49">
        <v>8.9285714285714288E-2</v>
      </c>
      <c r="X264" s="45" t="s">
        <v>63</v>
      </c>
      <c r="Y264" s="45" t="s">
        <v>63</v>
      </c>
      <c r="Z264" s="40">
        <v>17</v>
      </c>
      <c r="AA264" s="49">
        <v>0.7589285714285714</v>
      </c>
      <c r="AB264" s="45" t="s">
        <v>63</v>
      </c>
      <c r="AC264" s="45" t="s">
        <v>63</v>
      </c>
      <c r="AD264" s="40">
        <v>140</v>
      </c>
      <c r="AE264" s="49">
        <v>6.25</v>
      </c>
      <c r="AF264" s="40">
        <v>10</v>
      </c>
      <c r="AG264" s="49">
        <v>0.4464285714285714</v>
      </c>
      <c r="AH264" s="40">
        <v>16</v>
      </c>
      <c r="AI264" s="49">
        <v>0.7142857142857143</v>
      </c>
      <c r="AJ264" s="40">
        <v>98</v>
      </c>
      <c r="AK264" s="49">
        <v>4.375</v>
      </c>
      <c r="AL264" s="45" t="s">
        <v>63</v>
      </c>
      <c r="AM264" s="45" t="s">
        <v>63</v>
      </c>
    </row>
    <row r="265" spans="1:39" s="38" customFormat="1" x14ac:dyDescent="0.15">
      <c r="A265" s="46"/>
      <c r="B265" s="47"/>
      <c r="C265" s="40"/>
      <c r="D265" s="40"/>
      <c r="E265" s="40"/>
      <c r="F265" s="40"/>
      <c r="G265" s="40"/>
      <c r="H265" s="48"/>
      <c r="I265" s="40"/>
      <c r="J265" s="40"/>
      <c r="K265" s="40"/>
      <c r="L265" s="40"/>
      <c r="M265" s="49"/>
      <c r="N265" s="40"/>
      <c r="O265" s="49"/>
      <c r="P265" s="40"/>
      <c r="Q265" s="49"/>
      <c r="R265" s="40"/>
      <c r="S265" s="49"/>
      <c r="T265" s="40"/>
      <c r="U265" s="49"/>
      <c r="V265" s="40"/>
      <c r="W265" s="49"/>
      <c r="X265" s="45"/>
      <c r="Y265" s="45"/>
      <c r="Z265" s="40"/>
      <c r="AA265" s="49"/>
      <c r="AB265" s="45"/>
      <c r="AC265" s="45"/>
      <c r="AD265" s="40"/>
      <c r="AE265" s="49"/>
      <c r="AF265" s="40"/>
      <c r="AG265" s="49"/>
      <c r="AH265" s="40"/>
      <c r="AI265" s="49"/>
      <c r="AJ265" s="40"/>
      <c r="AK265" s="49"/>
      <c r="AL265" s="45"/>
      <c r="AM265" s="45"/>
    </row>
    <row r="266" spans="1:39" s="38" customFormat="1" x14ac:dyDescent="0.15">
      <c r="A266" s="46">
        <v>215</v>
      </c>
      <c r="B266" s="47" t="s">
        <v>187</v>
      </c>
      <c r="C266" s="40">
        <v>3781</v>
      </c>
      <c r="D266" s="40">
        <v>254</v>
      </c>
      <c r="E266" s="40">
        <v>0</v>
      </c>
      <c r="F266" s="40">
        <v>4035</v>
      </c>
      <c r="G266" s="40">
        <v>1986</v>
      </c>
      <c r="H266" s="48">
        <v>49.390698831136532</v>
      </c>
      <c r="I266" s="40">
        <v>240</v>
      </c>
      <c r="J266" s="40">
        <v>34</v>
      </c>
      <c r="K266" s="40">
        <v>1952</v>
      </c>
      <c r="L266" s="40">
        <v>797</v>
      </c>
      <c r="M266" s="49">
        <v>40.130916414904334</v>
      </c>
      <c r="N266" s="40">
        <v>591</v>
      </c>
      <c r="O266" s="49">
        <v>29.758308157099698</v>
      </c>
      <c r="P266" s="40">
        <v>116</v>
      </c>
      <c r="Q266" s="49">
        <v>5.8408862034239677</v>
      </c>
      <c r="R266" s="40">
        <v>199</v>
      </c>
      <c r="S266" s="49">
        <v>10.020140986908359</v>
      </c>
      <c r="T266" s="40">
        <v>16</v>
      </c>
      <c r="U266" s="49">
        <v>0.80563947633434041</v>
      </c>
      <c r="V266" s="40">
        <v>6</v>
      </c>
      <c r="W266" s="49">
        <v>0.30211480362537763</v>
      </c>
      <c r="X266" s="45" t="s">
        <v>63</v>
      </c>
      <c r="Y266" s="45" t="s">
        <v>63</v>
      </c>
      <c r="Z266" s="40">
        <v>25</v>
      </c>
      <c r="AA266" s="49">
        <v>1.2588116817724069</v>
      </c>
      <c r="AB266" s="45" t="s">
        <v>63</v>
      </c>
      <c r="AC266" s="45" t="s">
        <v>63</v>
      </c>
      <c r="AD266" s="40">
        <v>83</v>
      </c>
      <c r="AE266" s="49">
        <v>4.1792547834843905</v>
      </c>
      <c r="AF266" s="40">
        <v>6</v>
      </c>
      <c r="AG266" s="49">
        <v>0.30211480362537763</v>
      </c>
      <c r="AH266" s="40">
        <v>22</v>
      </c>
      <c r="AI266" s="49">
        <v>1.1077542799597182</v>
      </c>
      <c r="AJ266" s="40">
        <v>91</v>
      </c>
      <c r="AK266" s="49">
        <v>4.5820745216515606</v>
      </c>
      <c r="AL266" s="45" t="s">
        <v>63</v>
      </c>
      <c r="AM266" s="45" t="s">
        <v>63</v>
      </c>
    </row>
    <row r="267" spans="1:39" s="38" customFormat="1" x14ac:dyDescent="0.15">
      <c r="A267" s="46"/>
      <c r="B267" s="47"/>
      <c r="C267" s="40"/>
      <c r="D267" s="40"/>
      <c r="E267" s="40"/>
      <c r="F267" s="40"/>
      <c r="G267" s="40"/>
      <c r="H267" s="48"/>
      <c r="I267" s="40"/>
      <c r="J267" s="40"/>
      <c r="K267" s="40"/>
      <c r="L267" s="40"/>
      <c r="M267" s="49"/>
      <c r="N267" s="40"/>
      <c r="O267" s="49"/>
      <c r="P267" s="40"/>
      <c r="Q267" s="49"/>
      <c r="R267" s="40"/>
      <c r="S267" s="49"/>
      <c r="T267" s="40"/>
      <c r="U267" s="49"/>
      <c r="V267" s="40"/>
      <c r="W267" s="49"/>
      <c r="X267" s="45"/>
      <c r="Y267" s="45"/>
      <c r="Z267" s="40"/>
      <c r="AA267" s="49"/>
      <c r="AB267" s="45"/>
      <c r="AC267" s="45"/>
      <c r="AD267" s="40"/>
      <c r="AE267" s="49"/>
      <c r="AF267" s="40"/>
      <c r="AG267" s="49"/>
      <c r="AH267" s="40"/>
      <c r="AI267" s="49"/>
      <c r="AJ267" s="40"/>
      <c r="AK267" s="49"/>
      <c r="AL267" s="45"/>
      <c r="AM267" s="45"/>
    </row>
    <row r="268" spans="1:39" s="38" customFormat="1" x14ac:dyDescent="0.15">
      <c r="A268" s="46">
        <v>21</v>
      </c>
      <c r="B268" s="47" t="s">
        <v>188</v>
      </c>
      <c r="C268" s="40">
        <v>22265</v>
      </c>
      <c r="D268" s="40">
        <v>1731</v>
      </c>
      <c r="E268" s="40">
        <v>0</v>
      </c>
      <c r="F268" s="40">
        <v>23996</v>
      </c>
      <c r="G268" s="40">
        <v>12796</v>
      </c>
      <c r="H268" s="48">
        <v>53.550952082025525</v>
      </c>
      <c r="I268" s="40">
        <v>1630</v>
      </c>
      <c r="J268" s="40">
        <v>223</v>
      </c>
      <c r="K268" s="40">
        <v>12573</v>
      </c>
      <c r="L268" s="40">
        <v>4794</v>
      </c>
      <c r="M268" s="49">
        <v>37.464832760237577</v>
      </c>
      <c r="N268" s="40">
        <v>3932</v>
      </c>
      <c r="O268" s="49">
        <v>30.728352610190683</v>
      </c>
      <c r="P268" s="40">
        <v>1019</v>
      </c>
      <c r="Q268" s="49">
        <v>7.9634260706470767</v>
      </c>
      <c r="R268" s="40">
        <v>960</v>
      </c>
      <c r="S268" s="49">
        <v>7.5023444826508285</v>
      </c>
      <c r="T268" s="40">
        <v>188</v>
      </c>
      <c r="U268" s="49">
        <v>1.4692091278524539</v>
      </c>
      <c r="V268" s="40">
        <v>30</v>
      </c>
      <c r="W268" s="49">
        <v>0.23444826508283839</v>
      </c>
      <c r="X268" s="45" t="s">
        <v>63</v>
      </c>
      <c r="Y268" s="45" t="s">
        <v>63</v>
      </c>
      <c r="Z268" s="40">
        <v>160</v>
      </c>
      <c r="AA268" s="49">
        <v>1.2503907471084714</v>
      </c>
      <c r="AB268" s="45" t="s">
        <v>63</v>
      </c>
      <c r="AC268" s="45" t="s">
        <v>63</v>
      </c>
      <c r="AD268" s="40">
        <v>688</v>
      </c>
      <c r="AE268" s="49">
        <v>5.376680212566427</v>
      </c>
      <c r="AF268" s="40">
        <v>47</v>
      </c>
      <c r="AG268" s="49">
        <v>0.36730228196311349</v>
      </c>
      <c r="AH268" s="40">
        <v>119</v>
      </c>
      <c r="AI268" s="49">
        <v>0.92997811816192566</v>
      </c>
      <c r="AJ268" s="40">
        <v>636</v>
      </c>
      <c r="AK268" s="49">
        <v>4.9703032197561736</v>
      </c>
      <c r="AL268" s="45" t="s">
        <v>63</v>
      </c>
      <c r="AM268" s="45" t="s">
        <v>63</v>
      </c>
    </row>
    <row r="269" spans="1:39" s="38" customFormat="1" x14ac:dyDescent="0.15">
      <c r="A269" s="46"/>
      <c r="B269" s="47"/>
      <c r="C269" s="40"/>
      <c r="D269" s="40"/>
      <c r="E269" s="40"/>
      <c r="F269" s="40"/>
      <c r="G269" s="40"/>
      <c r="H269" s="48"/>
      <c r="I269" s="40"/>
      <c r="J269" s="40"/>
      <c r="K269" s="40"/>
      <c r="L269" s="40"/>
      <c r="M269" s="49"/>
      <c r="N269" s="40"/>
      <c r="O269" s="49"/>
      <c r="P269" s="40"/>
      <c r="Q269" s="49"/>
      <c r="R269" s="40"/>
      <c r="S269" s="49"/>
      <c r="T269" s="40"/>
      <c r="U269" s="49"/>
      <c r="V269" s="40"/>
      <c r="W269" s="49"/>
      <c r="X269" s="45"/>
      <c r="Y269" s="45"/>
      <c r="Z269" s="40"/>
      <c r="AA269" s="49"/>
      <c r="AB269" s="45"/>
      <c r="AC269" s="45"/>
      <c r="AD269" s="40"/>
      <c r="AE269" s="49"/>
      <c r="AF269" s="40"/>
      <c r="AG269" s="49"/>
      <c r="AH269" s="40"/>
      <c r="AI269" s="49"/>
      <c r="AJ269" s="40"/>
      <c r="AK269" s="49"/>
      <c r="AL269" s="45"/>
      <c r="AM269" s="45"/>
    </row>
    <row r="270" spans="1:39" s="38" customFormat="1" x14ac:dyDescent="0.15">
      <c r="A270" s="46">
        <v>221</v>
      </c>
      <c r="B270" s="47" t="s">
        <v>189</v>
      </c>
      <c r="C270" s="40">
        <v>1879</v>
      </c>
      <c r="D270" s="40">
        <v>157</v>
      </c>
      <c r="E270" s="40">
        <v>0</v>
      </c>
      <c r="F270" s="40">
        <v>2036</v>
      </c>
      <c r="G270" s="40">
        <v>1327</v>
      </c>
      <c r="H270" s="48">
        <v>65.498519249753201</v>
      </c>
      <c r="I270" s="40">
        <v>147</v>
      </c>
      <c r="J270" s="40">
        <v>29</v>
      </c>
      <c r="K270" s="40">
        <v>1298</v>
      </c>
      <c r="L270" s="40">
        <v>529</v>
      </c>
      <c r="M270" s="49">
        <v>39.86435568952524</v>
      </c>
      <c r="N270" s="40">
        <v>382</v>
      </c>
      <c r="O270" s="49">
        <v>28.786737000753583</v>
      </c>
      <c r="P270" s="40">
        <v>130</v>
      </c>
      <c r="Q270" s="49">
        <v>9.7965335342878674</v>
      </c>
      <c r="R270" s="40">
        <v>50</v>
      </c>
      <c r="S270" s="49">
        <v>3.7678975131876418</v>
      </c>
      <c r="T270" s="40">
        <v>11</v>
      </c>
      <c r="U270" s="49">
        <v>0.82893745290128118</v>
      </c>
      <c r="V270" s="40">
        <v>1</v>
      </c>
      <c r="W270" s="49">
        <v>7.5357950263752832E-2</v>
      </c>
      <c r="X270" s="45" t="s">
        <v>63</v>
      </c>
      <c r="Y270" s="45" t="s">
        <v>63</v>
      </c>
      <c r="Z270" s="40">
        <v>17</v>
      </c>
      <c r="AA270" s="49">
        <v>1.281085154483798</v>
      </c>
      <c r="AB270" s="45" t="s">
        <v>63</v>
      </c>
      <c r="AC270" s="45" t="s">
        <v>63</v>
      </c>
      <c r="AD270" s="40">
        <v>89</v>
      </c>
      <c r="AE270" s="49">
        <v>6.706857573474001</v>
      </c>
      <c r="AF270" s="40">
        <v>3</v>
      </c>
      <c r="AG270" s="49">
        <v>0.22607385079125847</v>
      </c>
      <c r="AH270" s="40">
        <v>11</v>
      </c>
      <c r="AI270" s="49">
        <v>0.82893745290128118</v>
      </c>
      <c r="AJ270" s="40">
        <v>75</v>
      </c>
      <c r="AK270" s="49">
        <v>5.651846269781462</v>
      </c>
      <c r="AL270" s="45" t="s">
        <v>63</v>
      </c>
      <c r="AM270" s="45" t="s">
        <v>63</v>
      </c>
    </row>
    <row r="271" spans="1:39" s="38" customFormat="1" x14ac:dyDescent="0.15">
      <c r="A271" s="46"/>
      <c r="B271" s="47"/>
      <c r="C271" s="40"/>
      <c r="D271" s="40"/>
      <c r="E271" s="40"/>
      <c r="F271" s="40"/>
      <c r="G271" s="40"/>
      <c r="H271" s="48"/>
      <c r="I271" s="40"/>
      <c r="J271" s="40"/>
      <c r="K271" s="40"/>
      <c r="L271" s="40"/>
      <c r="M271" s="49"/>
      <c r="N271" s="40"/>
      <c r="O271" s="49"/>
      <c r="P271" s="40"/>
      <c r="Q271" s="49"/>
      <c r="R271" s="40"/>
      <c r="S271" s="49"/>
      <c r="T271" s="40"/>
      <c r="U271" s="49"/>
      <c r="V271" s="40"/>
      <c r="W271" s="49"/>
      <c r="X271" s="45"/>
      <c r="Y271" s="45"/>
      <c r="Z271" s="40"/>
      <c r="AA271" s="49"/>
      <c r="AB271" s="45"/>
      <c r="AC271" s="45"/>
      <c r="AD271" s="40"/>
      <c r="AE271" s="49"/>
      <c r="AF271" s="40"/>
      <c r="AG271" s="49"/>
      <c r="AH271" s="40"/>
      <c r="AI271" s="49"/>
      <c r="AJ271" s="40"/>
      <c r="AK271" s="49"/>
      <c r="AL271" s="45"/>
      <c r="AM271" s="45"/>
    </row>
    <row r="272" spans="1:39" s="38" customFormat="1" x14ac:dyDescent="0.15">
      <c r="A272" s="46">
        <v>22</v>
      </c>
      <c r="B272" s="47" t="s">
        <v>189</v>
      </c>
      <c r="C272" s="40">
        <v>1879</v>
      </c>
      <c r="D272" s="40">
        <v>157</v>
      </c>
      <c r="E272" s="40">
        <v>0</v>
      </c>
      <c r="F272" s="40">
        <v>2036</v>
      </c>
      <c r="G272" s="40">
        <v>1327</v>
      </c>
      <c r="H272" s="48">
        <v>65.498519249753201</v>
      </c>
      <c r="I272" s="40">
        <v>147</v>
      </c>
      <c r="J272" s="40">
        <v>29</v>
      </c>
      <c r="K272" s="40">
        <v>1298</v>
      </c>
      <c r="L272" s="40">
        <v>529</v>
      </c>
      <c r="M272" s="49">
        <v>39.86435568952524</v>
      </c>
      <c r="N272" s="40">
        <v>382</v>
      </c>
      <c r="O272" s="49">
        <v>28.786737000753583</v>
      </c>
      <c r="P272" s="40">
        <v>130</v>
      </c>
      <c r="Q272" s="49">
        <v>9.7965335342878674</v>
      </c>
      <c r="R272" s="40">
        <v>50</v>
      </c>
      <c r="S272" s="49">
        <v>3.7678975131876418</v>
      </c>
      <c r="T272" s="40">
        <v>11</v>
      </c>
      <c r="U272" s="49">
        <v>0.82893745290128118</v>
      </c>
      <c r="V272" s="40">
        <v>1</v>
      </c>
      <c r="W272" s="49">
        <v>7.5357950263752832E-2</v>
      </c>
      <c r="X272" s="45" t="s">
        <v>63</v>
      </c>
      <c r="Y272" s="45" t="s">
        <v>63</v>
      </c>
      <c r="Z272" s="40">
        <v>17</v>
      </c>
      <c r="AA272" s="49">
        <v>1.281085154483798</v>
      </c>
      <c r="AB272" s="45" t="s">
        <v>63</v>
      </c>
      <c r="AC272" s="45" t="s">
        <v>63</v>
      </c>
      <c r="AD272" s="40">
        <v>89</v>
      </c>
      <c r="AE272" s="49">
        <v>6.706857573474001</v>
      </c>
      <c r="AF272" s="40">
        <v>3</v>
      </c>
      <c r="AG272" s="49">
        <v>0.22607385079125847</v>
      </c>
      <c r="AH272" s="40">
        <v>11</v>
      </c>
      <c r="AI272" s="49">
        <v>0.82893745290128118</v>
      </c>
      <c r="AJ272" s="40">
        <v>75</v>
      </c>
      <c r="AK272" s="49">
        <v>5.651846269781462</v>
      </c>
      <c r="AL272" s="45" t="s">
        <v>63</v>
      </c>
      <c r="AM272" s="45" t="s">
        <v>63</v>
      </c>
    </row>
    <row r="273" spans="1:41" s="38" customFormat="1" x14ac:dyDescent="0.15">
      <c r="A273" s="46"/>
      <c r="B273" s="47"/>
      <c r="C273" s="40"/>
      <c r="D273" s="40"/>
      <c r="E273" s="40"/>
      <c r="F273" s="40"/>
      <c r="G273" s="40"/>
      <c r="H273" s="48"/>
      <c r="I273" s="40"/>
      <c r="J273" s="40"/>
      <c r="K273" s="40"/>
      <c r="L273" s="40"/>
      <c r="M273" s="49"/>
      <c r="N273" s="40"/>
      <c r="O273" s="49"/>
      <c r="P273" s="40"/>
      <c r="Q273" s="49"/>
      <c r="R273" s="40"/>
      <c r="S273" s="49"/>
      <c r="T273" s="40"/>
      <c r="U273" s="49"/>
      <c r="V273" s="40"/>
      <c r="W273" s="49"/>
      <c r="X273" s="45"/>
      <c r="Y273" s="45"/>
      <c r="Z273" s="40"/>
      <c r="AA273" s="49"/>
      <c r="AB273" s="45"/>
      <c r="AC273" s="45"/>
      <c r="AD273" s="40"/>
      <c r="AE273" s="49"/>
      <c r="AF273" s="40"/>
      <c r="AG273" s="49"/>
      <c r="AH273" s="40"/>
      <c r="AI273" s="49"/>
      <c r="AJ273" s="40"/>
      <c r="AK273" s="49"/>
      <c r="AL273" s="45"/>
      <c r="AM273" s="45"/>
    </row>
    <row r="274" spans="1:41" s="38" customFormat="1" x14ac:dyDescent="0.15">
      <c r="A274" s="46">
        <v>231</v>
      </c>
      <c r="B274" s="47" t="s">
        <v>190</v>
      </c>
      <c r="C274" s="40">
        <v>2295</v>
      </c>
      <c r="D274" s="40">
        <v>142</v>
      </c>
      <c r="E274" s="40">
        <v>0</v>
      </c>
      <c r="F274" s="40">
        <v>2437</v>
      </c>
      <c r="G274" s="40">
        <v>1607</v>
      </c>
      <c r="H274" s="48">
        <v>66.050143855322645</v>
      </c>
      <c r="I274" s="40">
        <v>138</v>
      </c>
      <c r="J274" s="40">
        <v>24</v>
      </c>
      <c r="K274" s="40">
        <v>1583</v>
      </c>
      <c r="L274" s="40">
        <v>690</v>
      </c>
      <c r="M274" s="49">
        <v>42.937149968886125</v>
      </c>
      <c r="N274" s="40">
        <v>405</v>
      </c>
      <c r="O274" s="49">
        <v>25.202240199128813</v>
      </c>
      <c r="P274" s="40">
        <v>149</v>
      </c>
      <c r="Q274" s="49">
        <v>9.2719352831362798</v>
      </c>
      <c r="R274" s="40">
        <v>98</v>
      </c>
      <c r="S274" s="49">
        <v>6.0983198506533913</v>
      </c>
      <c r="T274" s="40">
        <v>34</v>
      </c>
      <c r="U274" s="49">
        <v>2.1157436216552581</v>
      </c>
      <c r="V274" s="40">
        <v>3</v>
      </c>
      <c r="W274" s="49">
        <v>0.18668326073428748</v>
      </c>
      <c r="X274" s="45" t="s">
        <v>63</v>
      </c>
      <c r="Y274" s="45" t="s">
        <v>63</v>
      </c>
      <c r="Z274" s="40">
        <v>15</v>
      </c>
      <c r="AA274" s="49">
        <v>0.93341630367143735</v>
      </c>
      <c r="AB274" s="45" t="s">
        <v>63</v>
      </c>
      <c r="AC274" s="45" t="s">
        <v>63</v>
      </c>
      <c r="AD274" s="40">
        <v>87</v>
      </c>
      <c r="AE274" s="49">
        <v>5.4138145612943376</v>
      </c>
      <c r="AF274" s="40">
        <v>3</v>
      </c>
      <c r="AG274" s="49">
        <v>0.18668326073428748</v>
      </c>
      <c r="AH274" s="40">
        <v>20</v>
      </c>
      <c r="AI274" s="49">
        <v>1.2445550715619167</v>
      </c>
      <c r="AJ274" s="40">
        <v>79</v>
      </c>
      <c r="AK274" s="49">
        <v>4.9159925326695708</v>
      </c>
      <c r="AL274" s="45" t="s">
        <v>63</v>
      </c>
      <c r="AM274" s="45" t="s">
        <v>63</v>
      </c>
    </row>
    <row r="275" spans="1:41" s="38" customFormat="1" x14ac:dyDescent="0.15">
      <c r="A275" s="46"/>
      <c r="B275" s="47"/>
      <c r="C275" s="40"/>
      <c r="D275" s="40"/>
      <c r="E275" s="40"/>
      <c r="F275" s="40"/>
      <c r="G275" s="40"/>
      <c r="H275" s="48"/>
      <c r="I275" s="40"/>
      <c r="J275" s="40"/>
      <c r="K275" s="40"/>
      <c r="L275" s="40"/>
      <c r="M275" s="49"/>
      <c r="N275" s="40"/>
      <c r="O275" s="49"/>
      <c r="P275" s="40"/>
      <c r="Q275" s="49"/>
      <c r="R275" s="40"/>
      <c r="S275" s="49"/>
      <c r="T275" s="40"/>
      <c r="U275" s="49"/>
      <c r="V275" s="40"/>
      <c r="W275" s="49"/>
      <c r="X275" s="45"/>
      <c r="Y275" s="45"/>
      <c r="Z275" s="40"/>
      <c r="AA275" s="49"/>
      <c r="AB275" s="45"/>
      <c r="AC275" s="45"/>
      <c r="AD275" s="40"/>
      <c r="AE275" s="49"/>
      <c r="AF275" s="40"/>
      <c r="AG275" s="49"/>
      <c r="AH275" s="40"/>
      <c r="AI275" s="49"/>
      <c r="AJ275" s="40"/>
      <c r="AK275" s="49"/>
      <c r="AL275" s="45"/>
      <c r="AM275" s="45"/>
    </row>
    <row r="276" spans="1:41" s="38" customFormat="1" x14ac:dyDescent="0.15">
      <c r="A276" s="46">
        <v>23</v>
      </c>
      <c r="B276" s="47" t="s">
        <v>190</v>
      </c>
      <c r="C276" s="40">
        <v>2295</v>
      </c>
      <c r="D276" s="40">
        <v>142</v>
      </c>
      <c r="E276" s="40">
        <v>0</v>
      </c>
      <c r="F276" s="40">
        <v>2437</v>
      </c>
      <c r="G276" s="40">
        <v>1607</v>
      </c>
      <c r="H276" s="48">
        <v>66.050143855322645</v>
      </c>
      <c r="I276" s="40">
        <v>138</v>
      </c>
      <c r="J276" s="40">
        <v>24</v>
      </c>
      <c r="K276" s="40">
        <v>1583</v>
      </c>
      <c r="L276" s="40">
        <v>690</v>
      </c>
      <c r="M276" s="49">
        <v>42.937149968886125</v>
      </c>
      <c r="N276" s="40">
        <v>405</v>
      </c>
      <c r="O276" s="49">
        <v>25.202240199128813</v>
      </c>
      <c r="P276" s="40">
        <v>149</v>
      </c>
      <c r="Q276" s="49">
        <v>9.2719352831362798</v>
      </c>
      <c r="R276" s="40">
        <v>98</v>
      </c>
      <c r="S276" s="49">
        <v>6.0983198506533913</v>
      </c>
      <c r="T276" s="40">
        <v>34</v>
      </c>
      <c r="U276" s="49">
        <v>2.1157436216552581</v>
      </c>
      <c r="V276" s="40">
        <v>3</v>
      </c>
      <c r="W276" s="49">
        <v>0.18668326073428748</v>
      </c>
      <c r="X276" s="45" t="s">
        <v>63</v>
      </c>
      <c r="Y276" s="45" t="s">
        <v>63</v>
      </c>
      <c r="Z276" s="40">
        <v>15</v>
      </c>
      <c r="AA276" s="49">
        <v>0.93341630367143735</v>
      </c>
      <c r="AB276" s="45" t="s">
        <v>63</v>
      </c>
      <c r="AC276" s="45" t="s">
        <v>63</v>
      </c>
      <c r="AD276" s="40">
        <v>87</v>
      </c>
      <c r="AE276" s="49">
        <v>5.4138145612943376</v>
      </c>
      <c r="AF276" s="40">
        <v>3</v>
      </c>
      <c r="AG276" s="49">
        <v>0.18668326073428748</v>
      </c>
      <c r="AH276" s="40">
        <v>20</v>
      </c>
      <c r="AI276" s="49">
        <v>1.2445550715619167</v>
      </c>
      <c r="AJ276" s="40">
        <v>79</v>
      </c>
      <c r="AK276" s="49">
        <v>4.9159925326695708</v>
      </c>
      <c r="AL276" s="45" t="s">
        <v>63</v>
      </c>
      <c r="AM276" s="45" t="s">
        <v>63</v>
      </c>
    </row>
    <row r="277" spans="1:41" s="38" customFormat="1" x14ac:dyDescent="0.15">
      <c r="A277" s="46"/>
      <c r="B277" s="47"/>
      <c r="C277" s="40"/>
      <c r="D277" s="40"/>
      <c r="E277" s="40"/>
      <c r="F277" s="40"/>
      <c r="G277" s="40"/>
      <c r="H277" s="48"/>
      <c r="I277" s="40"/>
      <c r="J277" s="40"/>
      <c r="K277" s="40"/>
      <c r="L277" s="40"/>
      <c r="M277" s="49"/>
      <c r="N277" s="40"/>
      <c r="O277" s="49"/>
      <c r="P277" s="40"/>
      <c r="Q277" s="49"/>
      <c r="R277" s="40"/>
      <c r="S277" s="49"/>
      <c r="T277" s="40"/>
      <c r="U277" s="49"/>
      <c r="V277" s="40"/>
      <c r="W277" s="49"/>
      <c r="X277" s="45"/>
      <c r="Y277" s="45"/>
      <c r="Z277" s="40"/>
      <c r="AA277" s="49"/>
      <c r="AB277" s="45"/>
      <c r="AC277" s="45"/>
      <c r="AD277" s="40"/>
      <c r="AE277" s="49"/>
      <c r="AF277" s="40"/>
      <c r="AG277" s="49"/>
      <c r="AH277" s="40"/>
      <c r="AI277" s="49"/>
      <c r="AJ277" s="40"/>
      <c r="AK277" s="49"/>
      <c r="AL277" s="45"/>
      <c r="AM277" s="45"/>
    </row>
    <row r="278" spans="1:41" s="38" customFormat="1" x14ac:dyDescent="0.15">
      <c r="A278" s="46">
        <v>241</v>
      </c>
      <c r="B278" s="47" t="s">
        <v>191</v>
      </c>
      <c r="C278" s="40">
        <v>3598</v>
      </c>
      <c r="D278" s="40">
        <v>283</v>
      </c>
      <c r="E278" s="40">
        <v>0</v>
      </c>
      <c r="F278" s="40">
        <v>3881</v>
      </c>
      <c r="G278" s="40">
        <v>2043</v>
      </c>
      <c r="H278" s="48">
        <v>52.913752913752909</v>
      </c>
      <c r="I278" s="40">
        <v>263</v>
      </c>
      <c r="J278" s="40">
        <v>40</v>
      </c>
      <c r="K278" s="40">
        <v>2003</v>
      </c>
      <c r="L278" s="40">
        <v>758</v>
      </c>
      <c r="M278" s="49">
        <v>37.10230053842389</v>
      </c>
      <c r="N278" s="40">
        <v>631</v>
      </c>
      <c r="O278" s="49">
        <v>30.885952031326479</v>
      </c>
      <c r="P278" s="40">
        <v>140</v>
      </c>
      <c r="Q278" s="49">
        <v>6.8526676456191868</v>
      </c>
      <c r="R278" s="40">
        <v>159</v>
      </c>
      <c r="S278" s="49">
        <v>7.7826725403817907</v>
      </c>
      <c r="T278" s="40">
        <v>40</v>
      </c>
      <c r="U278" s="49">
        <v>1.957905041605482</v>
      </c>
      <c r="V278" s="40">
        <v>1</v>
      </c>
      <c r="W278" s="49">
        <v>4.8947626040137054E-2</v>
      </c>
      <c r="X278" s="45" t="s">
        <v>63</v>
      </c>
      <c r="Y278" s="45" t="s">
        <v>63</v>
      </c>
      <c r="Z278" s="40">
        <v>22</v>
      </c>
      <c r="AA278" s="49">
        <v>1.076847772883015</v>
      </c>
      <c r="AB278" s="45" t="s">
        <v>63</v>
      </c>
      <c r="AC278" s="45" t="s">
        <v>63</v>
      </c>
      <c r="AD278" s="40">
        <v>120</v>
      </c>
      <c r="AE278" s="49">
        <v>5.8737151248164459</v>
      </c>
      <c r="AF278" s="40">
        <v>22</v>
      </c>
      <c r="AG278" s="49">
        <v>1.076847772883015</v>
      </c>
      <c r="AH278" s="40">
        <v>14</v>
      </c>
      <c r="AI278" s="49">
        <v>0.68526676456191871</v>
      </c>
      <c r="AJ278" s="40">
        <v>96</v>
      </c>
      <c r="AK278" s="49">
        <v>4.6989720998531572</v>
      </c>
      <c r="AL278" s="45" t="s">
        <v>63</v>
      </c>
      <c r="AM278" s="45" t="s">
        <v>63</v>
      </c>
    </row>
    <row r="279" spans="1:41" s="38" customFormat="1" x14ac:dyDescent="0.15">
      <c r="A279" s="46"/>
      <c r="B279" s="47"/>
      <c r="C279" s="40"/>
      <c r="D279" s="40"/>
      <c r="E279" s="40"/>
      <c r="F279" s="40"/>
      <c r="G279" s="40"/>
      <c r="H279" s="48"/>
      <c r="I279" s="40"/>
      <c r="J279" s="40"/>
      <c r="K279" s="40"/>
      <c r="L279" s="40"/>
      <c r="M279" s="49"/>
      <c r="N279" s="40"/>
      <c r="O279" s="49"/>
      <c r="P279" s="40"/>
      <c r="Q279" s="49"/>
      <c r="R279" s="40"/>
      <c r="S279" s="49"/>
      <c r="T279" s="40"/>
      <c r="U279" s="49"/>
      <c r="V279" s="40"/>
      <c r="W279" s="49"/>
      <c r="X279" s="45"/>
      <c r="Y279" s="45"/>
      <c r="Z279" s="40"/>
      <c r="AA279" s="49"/>
      <c r="AB279" s="45"/>
      <c r="AC279" s="45"/>
      <c r="AD279" s="40"/>
      <c r="AE279" s="49"/>
      <c r="AF279" s="40"/>
      <c r="AG279" s="49"/>
      <c r="AH279" s="40"/>
      <c r="AI279" s="49"/>
      <c r="AJ279" s="40"/>
      <c r="AK279" s="49"/>
      <c r="AL279" s="45"/>
      <c r="AM279" s="45"/>
    </row>
    <row r="280" spans="1:41" s="38" customFormat="1" x14ac:dyDescent="0.15">
      <c r="A280" s="46">
        <v>242</v>
      </c>
      <c r="B280" s="47" t="s">
        <v>192</v>
      </c>
      <c r="C280" s="40">
        <v>3910</v>
      </c>
      <c r="D280" s="40">
        <v>317</v>
      </c>
      <c r="E280" s="40">
        <v>0</v>
      </c>
      <c r="F280" s="40">
        <v>4227</v>
      </c>
      <c r="G280" s="40">
        <v>2662</v>
      </c>
      <c r="H280" s="48">
        <v>63.230403800475052</v>
      </c>
      <c r="I280" s="40">
        <v>300</v>
      </c>
      <c r="J280" s="40">
        <v>36</v>
      </c>
      <c r="K280" s="40">
        <v>2626</v>
      </c>
      <c r="L280" s="40">
        <v>1005</v>
      </c>
      <c r="M280" s="49">
        <v>37.753568745304285</v>
      </c>
      <c r="N280" s="40">
        <v>757</v>
      </c>
      <c r="O280" s="49">
        <v>28.437265214124718</v>
      </c>
      <c r="P280" s="40">
        <v>212</v>
      </c>
      <c r="Q280" s="49">
        <v>7.9639368895567246</v>
      </c>
      <c r="R280" s="40">
        <v>191</v>
      </c>
      <c r="S280" s="49">
        <v>7.1750563486100676</v>
      </c>
      <c r="T280" s="40">
        <v>72</v>
      </c>
      <c r="U280" s="49">
        <v>2.7047332832456799</v>
      </c>
      <c r="V280" s="40">
        <v>7</v>
      </c>
      <c r="W280" s="49">
        <v>0.26296018031555224</v>
      </c>
      <c r="X280" s="45" t="s">
        <v>63</v>
      </c>
      <c r="Y280" s="45" t="s">
        <v>63</v>
      </c>
      <c r="Z280" s="40">
        <v>38</v>
      </c>
      <c r="AA280" s="49">
        <v>1.4274981217129978</v>
      </c>
      <c r="AB280" s="45" t="s">
        <v>63</v>
      </c>
      <c r="AC280" s="45" t="s">
        <v>63</v>
      </c>
      <c r="AD280" s="40">
        <v>186</v>
      </c>
      <c r="AE280" s="49">
        <v>6.9872276483846738</v>
      </c>
      <c r="AF280" s="40">
        <v>7</v>
      </c>
      <c r="AG280" s="49">
        <v>0.26296018031555224</v>
      </c>
      <c r="AH280" s="40">
        <v>21</v>
      </c>
      <c r="AI280" s="49">
        <v>0.78888054094665672</v>
      </c>
      <c r="AJ280" s="40">
        <v>130</v>
      </c>
      <c r="AK280" s="49">
        <v>4.8835462058602559</v>
      </c>
      <c r="AL280" s="45" t="s">
        <v>63</v>
      </c>
      <c r="AM280" s="45" t="s">
        <v>63</v>
      </c>
    </row>
    <row r="281" spans="1:41" s="38" customFormat="1" x14ac:dyDescent="0.15">
      <c r="A281" s="46"/>
      <c r="B281" s="47"/>
      <c r="C281" s="40"/>
      <c r="D281" s="40"/>
      <c r="E281" s="40"/>
      <c r="F281" s="40"/>
      <c r="G281" s="40"/>
      <c r="H281" s="48"/>
      <c r="I281" s="40"/>
      <c r="J281" s="40"/>
      <c r="K281" s="40"/>
      <c r="L281" s="40"/>
      <c r="M281" s="49"/>
      <c r="N281" s="40"/>
      <c r="O281" s="49"/>
      <c r="P281" s="40"/>
      <c r="Q281" s="49"/>
      <c r="R281" s="40"/>
      <c r="S281" s="49"/>
      <c r="T281" s="40"/>
      <c r="U281" s="49"/>
      <c r="V281" s="40"/>
      <c r="W281" s="49"/>
      <c r="X281" s="45"/>
      <c r="Y281" s="45"/>
      <c r="Z281" s="40"/>
      <c r="AA281" s="49"/>
      <c r="AB281" s="45"/>
      <c r="AC281" s="45"/>
      <c r="AD281" s="40"/>
      <c r="AE281" s="49"/>
      <c r="AF281" s="40"/>
      <c r="AG281" s="49"/>
      <c r="AH281" s="40"/>
      <c r="AI281" s="49"/>
      <c r="AJ281" s="40"/>
      <c r="AK281" s="49"/>
      <c r="AL281" s="45"/>
      <c r="AM281" s="45"/>
    </row>
    <row r="282" spans="1:41" s="38" customFormat="1" x14ac:dyDescent="0.15">
      <c r="A282" s="46">
        <v>24</v>
      </c>
      <c r="B282" s="47" t="s">
        <v>193</v>
      </c>
      <c r="C282" s="40">
        <v>7508</v>
      </c>
      <c r="D282" s="40">
        <v>600</v>
      </c>
      <c r="E282" s="40">
        <v>0</v>
      </c>
      <c r="F282" s="40">
        <v>8108</v>
      </c>
      <c r="G282" s="40">
        <v>4705</v>
      </c>
      <c r="H282" s="48">
        <v>58.29513071490522</v>
      </c>
      <c r="I282" s="40">
        <v>563</v>
      </c>
      <c r="J282" s="40">
        <v>76</v>
      </c>
      <c r="K282" s="40">
        <v>4629</v>
      </c>
      <c r="L282" s="40">
        <v>1763</v>
      </c>
      <c r="M282" s="49">
        <v>37.47077577045696</v>
      </c>
      <c r="N282" s="40">
        <v>1388</v>
      </c>
      <c r="O282" s="49">
        <v>29.500531349628055</v>
      </c>
      <c r="P282" s="40">
        <v>352</v>
      </c>
      <c r="Q282" s="49">
        <v>7.4814027630180666</v>
      </c>
      <c r="R282" s="40">
        <v>350</v>
      </c>
      <c r="S282" s="49">
        <v>7.4388947927736453</v>
      </c>
      <c r="T282" s="40">
        <v>112</v>
      </c>
      <c r="U282" s="49">
        <v>2.3804463336875665</v>
      </c>
      <c r="V282" s="40">
        <v>8</v>
      </c>
      <c r="W282" s="49">
        <v>0.17003188097768332</v>
      </c>
      <c r="X282" s="45" t="s">
        <v>63</v>
      </c>
      <c r="Y282" s="45" t="s">
        <v>63</v>
      </c>
      <c r="Z282" s="40">
        <v>60</v>
      </c>
      <c r="AA282" s="49">
        <v>1.2752391073326248</v>
      </c>
      <c r="AB282" s="45" t="s">
        <v>63</v>
      </c>
      <c r="AC282" s="45" t="s">
        <v>63</v>
      </c>
      <c r="AD282" s="40">
        <v>306</v>
      </c>
      <c r="AE282" s="49">
        <v>6.5037194473963877</v>
      </c>
      <c r="AF282" s="40">
        <v>29</v>
      </c>
      <c r="AG282" s="49">
        <v>0.61636556854410207</v>
      </c>
      <c r="AH282" s="40">
        <v>35</v>
      </c>
      <c r="AI282" s="49">
        <v>0.74388947927736448</v>
      </c>
      <c r="AJ282" s="40">
        <v>226</v>
      </c>
      <c r="AK282" s="49">
        <v>4.8034006376195535</v>
      </c>
      <c r="AL282" s="45" t="s">
        <v>63</v>
      </c>
      <c r="AM282" s="45" t="s">
        <v>63</v>
      </c>
    </row>
    <row r="283" spans="1:41" s="37" customFormat="1" x14ac:dyDescent="0.15">
      <c r="A283" s="41"/>
      <c r="B283" s="42"/>
      <c r="C283" s="43"/>
      <c r="D283" s="43"/>
      <c r="E283" s="43"/>
      <c r="F283" s="43"/>
      <c r="G283" s="43"/>
      <c r="H283" s="44"/>
      <c r="I283" s="43"/>
      <c r="J283" s="43"/>
      <c r="K283" s="43"/>
      <c r="L283" s="43"/>
      <c r="M283" s="45"/>
      <c r="N283" s="43"/>
      <c r="O283" s="45"/>
      <c r="P283" s="43"/>
      <c r="Q283" s="45"/>
      <c r="R283" s="43"/>
      <c r="S283" s="45"/>
      <c r="T283" s="43"/>
      <c r="U283" s="45"/>
      <c r="V283" s="43"/>
      <c r="W283" s="45"/>
      <c r="X283" s="45"/>
      <c r="Y283" s="45"/>
      <c r="Z283" s="43"/>
      <c r="AA283" s="45"/>
      <c r="AB283" s="45"/>
      <c r="AC283" s="45"/>
      <c r="AD283" s="43"/>
      <c r="AE283" s="45"/>
      <c r="AF283" s="43"/>
      <c r="AG283" s="45"/>
      <c r="AH283" s="43"/>
      <c r="AI283" s="45"/>
      <c r="AJ283" s="43"/>
      <c r="AK283" s="45"/>
      <c r="AL283" s="45"/>
      <c r="AM283" s="45"/>
    </row>
    <row r="284" spans="1:41" s="37" customFormat="1" x14ac:dyDescent="0.15">
      <c r="A284" s="41"/>
      <c r="B284" s="42"/>
      <c r="C284" s="43"/>
      <c r="D284" s="43"/>
      <c r="E284" s="43"/>
      <c r="F284" s="43"/>
      <c r="G284" s="43"/>
      <c r="H284" s="44"/>
      <c r="I284" s="43"/>
      <c r="J284" s="43"/>
      <c r="K284" s="43"/>
      <c r="L284" s="43"/>
      <c r="M284" s="45"/>
      <c r="N284" s="43"/>
      <c r="O284" s="45"/>
      <c r="P284" s="43"/>
      <c r="Q284" s="45"/>
      <c r="R284" s="43"/>
      <c r="S284" s="45"/>
      <c r="T284" s="43"/>
      <c r="U284" s="45"/>
      <c r="V284" s="43"/>
      <c r="W284" s="45"/>
      <c r="X284" s="45"/>
      <c r="Y284" s="45"/>
      <c r="Z284" s="43"/>
      <c r="AA284" s="45"/>
      <c r="AB284" s="45"/>
      <c r="AC284" s="45"/>
      <c r="AD284" s="43"/>
      <c r="AE284" s="45"/>
      <c r="AF284" s="43"/>
      <c r="AG284" s="45"/>
      <c r="AH284" s="43"/>
      <c r="AI284" s="45"/>
      <c r="AJ284" s="43"/>
      <c r="AK284" s="45"/>
      <c r="AL284" s="45"/>
      <c r="AM284" s="45"/>
    </row>
    <row r="285" spans="1:41" s="14" customFormat="1" x14ac:dyDescent="0.15">
      <c r="A285" s="50" t="s">
        <v>65</v>
      </c>
      <c r="B285" s="50"/>
      <c r="C285" s="51">
        <v>80372</v>
      </c>
      <c r="D285" s="51">
        <v>5902</v>
      </c>
      <c r="E285" s="52">
        <v>0</v>
      </c>
      <c r="F285" s="51">
        <v>86274</v>
      </c>
      <c r="G285" s="51">
        <v>46832</v>
      </c>
      <c r="H285" s="53">
        <v>54.28</v>
      </c>
      <c r="I285" s="51">
        <v>5604</v>
      </c>
      <c r="J285" s="51">
        <v>821</v>
      </c>
      <c r="K285" s="52">
        <v>46011</v>
      </c>
      <c r="L285" s="51">
        <v>16996</v>
      </c>
      <c r="M285" s="53">
        <v>36.94</v>
      </c>
      <c r="N285" s="51">
        <v>14623</v>
      </c>
      <c r="O285" s="53">
        <v>31.78</v>
      </c>
      <c r="P285" s="51">
        <v>4086</v>
      </c>
      <c r="Q285" s="53">
        <v>8.8800000000000008</v>
      </c>
      <c r="R285" s="51">
        <v>3266</v>
      </c>
      <c r="S285" s="54">
        <v>7.1</v>
      </c>
      <c r="T285" s="51">
        <v>789</v>
      </c>
      <c r="U285" s="53">
        <v>1.71</v>
      </c>
      <c r="V285" s="51">
        <v>117</v>
      </c>
      <c r="W285" s="53">
        <v>0.25</v>
      </c>
      <c r="X285" s="53" t="s">
        <v>63</v>
      </c>
      <c r="Y285" s="53" t="s">
        <v>63</v>
      </c>
      <c r="Z285" s="51">
        <v>599</v>
      </c>
      <c r="AA285" s="54">
        <v>1.3</v>
      </c>
      <c r="AB285" s="53" t="s">
        <v>63</v>
      </c>
      <c r="AC285" s="53" t="s">
        <v>63</v>
      </c>
      <c r="AD285" s="51">
        <v>2625</v>
      </c>
      <c r="AE285" s="53">
        <v>5.71</v>
      </c>
      <c r="AF285" s="51">
        <v>196</v>
      </c>
      <c r="AG285" s="53">
        <v>0.43</v>
      </c>
      <c r="AH285" s="51">
        <v>499</v>
      </c>
      <c r="AI285" s="53">
        <v>1.08</v>
      </c>
      <c r="AJ285" s="51">
        <v>2215</v>
      </c>
      <c r="AK285" s="53">
        <v>4.8099999999999996</v>
      </c>
      <c r="AL285" s="53" t="s">
        <v>63</v>
      </c>
      <c r="AM285" s="53" t="s">
        <v>63</v>
      </c>
      <c r="AN285" s="16"/>
    </row>
    <row r="286" spans="1:41" s="14" customFormat="1" x14ac:dyDescent="0.15">
      <c r="A286" s="59"/>
      <c r="B286" s="35" t="s">
        <v>20</v>
      </c>
      <c r="C286" s="60"/>
      <c r="D286" s="60"/>
      <c r="E286" s="61"/>
      <c r="F286" s="60"/>
      <c r="G286" s="60"/>
      <c r="H286" s="62"/>
      <c r="I286" s="60"/>
      <c r="J286" s="60"/>
      <c r="K286" s="61"/>
      <c r="L286" s="60"/>
      <c r="M286" s="62"/>
      <c r="N286" s="60"/>
      <c r="O286" s="62"/>
      <c r="P286" s="60"/>
      <c r="Q286" s="62"/>
      <c r="R286" s="60"/>
      <c r="S286" s="63"/>
      <c r="T286" s="60"/>
      <c r="U286" s="62"/>
      <c r="V286" s="60"/>
      <c r="W286" s="62"/>
      <c r="X286" s="62"/>
      <c r="Y286" s="62"/>
      <c r="Z286" s="60"/>
      <c r="AA286" s="63"/>
      <c r="AB286" s="62"/>
      <c r="AC286" s="62"/>
      <c r="AD286" s="60"/>
      <c r="AE286" s="62"/>
      <c r="AF286" s="60"/>
      <c r="AG286" s="62"/>
      <c r="AH286" s="60"/>
      <c r="AI286" s="62"/>
      <c r="AJ286" s="60"/>
      <c r="AK286" s="62"/>
      <c r="AL286" s="62"/>
      <c r="AM286" s="62"/>
      <c r="AN286" s="16"/>
    </row>
    <row r="287" spans="1:41" s="14" customFormat="1" x14ac:dyDescent="0.15">
      <c r="A287" s="59"/>
      <c r="B287" s="35" t="s">
        <v>23</v>
      </c>
      <c r="C287" s="60">
        <v>80372</v>
      </c>
      <c r="D287" s="60">
        <v>5902</v>
      </c>
      <c r="E287" s="60">
        <v>0</v>
      </c>
      <c r="F287" s="60">
        <v>86274</v>
      </c>
      <c r="G287" s="60">
        <v>41268</v>
      </c>
      <c r="H287" s="63">
        <v>51.320698403223396</v>
      </c>
      <c r="I287" s="60">
        <v>40</v>
      </c>
      <c r="J287" s="60">
        <v>775</v>
      </c>
      <c r="K287" s="60">
        <v>40493</v>
      </c>
      <c r="L287" s="60">
        <v>15141</v>
      </c>
      <c r="M287" s="63">
        <v>37.391647939149976</v>
      </c>
      <c r="N287" s="60">
        <v>12688</v>
      </c>
      <c r="O287" s="63">
        <v>31.33381078211049</v>
      </c>
      <c r="P287" s="60">
        <v>3458</v>
      </c>
      <c r="Q287" s="63">
        <v>8.5397476106981447</v>
      </c>
      <c r="R287" s="60">
        <v>3031</v>
      </c>
      <c r="S287" s="63">
        <v>7.4852443632232726</v>
      </c>
      <c r="T287" s="60">
        <v>713</v>
      </c>
      <c r="U287" s="63">
        <v>1.7607981626453957</v>
      </c>
      <c r="V287" s="60">
        <v>103</v>
      </c>
      <c r="W287" s="63">
        <v>0.25436495196700665</v>
      </c>
      <c r="X287" s="62" t="s">
        <v>63</v>
      </c>
      <c r="Y287" s="62" t="s">
        <v>63</v>
      </c>
      <c r="Z287" s="60">
        <v>528</v>
      </c>
      <c r="AA287" s="63">
        <v>1.3039290741609662</v>
      </c>
      <c r="AB287" s="62" t="s">
        <v>63</v>
      </c>
      <c r="AC287" s="62" t="s">
        <v>63</v>
      </c>
      <c r="AD287" s="60">
        <v>2188</v>
      </c>
      <c r="AE287" s="63">
        <v>5.403403057318549</v>
      </c>
      <c r="AF287" s="60">
        <v>181</v>
      </c>
      <c r="AG287" s="63">
        <v>0.44699083792260391</v>
      </c>
      <c r="AH287" s="60">
        <v>448</v>
      </c>
      <c r="AI287" s="63">
        <v>1.106364062924456</v>
      </c>
      <c r="AJ287" s="60">
        <v>2014</v>
      </c>
      <c r="AK287" s="63">
        <v>4.9736991578791399</v>
      </c>
      <c r="AL287" s="62" t="s">
        <v>63</v>
      </c>
      <c r="AM287" s="62" t="s">
        <v>63</v>
      </c>
      <c r="AN287" s="16"/>
    </row>
    <row r="288" spans="1:41" s="38" customFormat="1" x14ac:dyDescent="0.15">
      <c r="A288" s="46"/>
      <c r="B288" s="35" t="s">
        <v>22</v>
      </c>
      <c r="C288" s="60">
        <v>0</v>
      </c>
      <c r="D288" s="60">
        <v>0</v>
      </c>
      <c r="E288" s="61">
        <v>0</v>
      </c>
      <c r="F288" s="60">
        <v>0</v>
      </c>
      <c r="G288" s="60">
        <v>5564</v>
      </c>
      <c r="H288" s="62" t="s">
        <v>21</v>
      </c>
      <c r="I288" s="60">
        <v>5564</v>
      </c>
      <c r="J288" s="60">
        <v>46</v>
      </c>
      <c r="K288" s="61">
        <v>5518</v>
      </c>
      <c r="L288" s="60">
        <v>1855</v>
      </c>
      <c r="M288" s="63">
        <v>33.617252627763683</v>
      </c>
      <c r="N288" s="60">
        <v>1935</v>
      </c>
      <c r="O288" s="63">
        <v>35.06705328017398</v>
      </c>
      <c r="P288" s="60">
        <v>628</v>
      </c>
      <c r="Q288" s="63">
        <v>11.380935121420805</v>
      </c>
      <c r="R288" s="60">
        <v>235</v>
      </c>
      <c r="S288" s="63">
        <v>4.2587894164552376</v>
      </c>
      <c r="T288" s="60">
        <v>76</v>
      </c>
      <c r="U288" s="63">
        <v>1.3773106197897789</v>
      </c>
      <c r="V288" s="60">
        <v>14</v>
      </c>
      <c r="W288" s="63">
        <v>0.25371511417180137</v>
      </c>
      <c r="X288" s="62" t="s">
        <v>63</v>
      </c>
      <c r="Y288" s="62" t="s">
        <v>63</v>
      </c>
      <c r="Z288" s="60">
        <v>71</v>
      </c>
      <c r="AA288" s="63">
        <v>1.2866980790141356</v>
      </c>
      <c r="AB288" s="62" t="s">
        <v>63</v>
      </c>
      <c r="AC288" s="62" t="s">
        <v>63</v>
      </c>
      <c r="AD288" s="60">
        <v>437</v>
      </c>
      <c r="AE288" s="63">
        <v>7.9195360637912282</v>
      </c>
      <c r="AF288" s="60">
        <v>15</v>
      </c>
      <c r="AG288" s="63">
        <v>0.27183762232693004</v>
      </c>
      <c r="AH288" s="60">
        <v>51</v>
      </c>
      <c r="AI288" s="63">
        <v>0.92424791591156219</v>
      </c>
      <c r="AJ288" s="60">
        <v>201</v>
      </c>
      <c r="AK288" s="63">
        <v>3.6426241391808625</v>
      </c>
      <c r="AL288" s="62" t="s">
        <v>63</v>
      </c>
      <c r="AM288" s="62" t="s">
        <v>63</v>
      </c>
      <c r="AN288" s="16"/>
      <c r="AO288" s="14"/>
    </row>
    <row r="289" spans="1:121" s="38" customFormat="1" x14ac:dyDescent="0.15">
      <c r="A289" s="46"/>
      <c r="B289" s="35"/>
      <c r="C289" s="60"/>
      <c r="D289" s="60"/>
      <c r="E289" s="61"/>
      <c r="F289" s="60"/>
      <c r="G289" s="60"/>
      <c r="H289" s="62"/>
      <c r="I289" s="60"/>
      <c r="J289" s="60"/>
      <c r="K289" s="61"/>
      <c r="L289" s="60"/>
      <c r="M289" s="63"/>
      <c r="N289" s="60"/>
      <c r="O289" s="63"/>
      <c r="P289" s="60"/>
      <c r="Q289" s="63"/>
      <c r="R289" s="60"/>
      <c r="S289" s="63"/>
      <c r="T289" s="60"/>
      <c r="U289" s="63"/>
      <c r="V289" s="60"/>
      <c r="W289" s="63"/>
      <c r="X289" s="62"/>
      <c r="Y289" s="62"/>
      <c r="Z289" s="60"/>
      <c r="AA289" s="63"/>
      <c r="AB289" s="62"/>
      <c r="AC289" s="62"/>
      <c r="AD289" s="60"/>
      <c r="AE289" s="63"/>
      <c r="AF289" s="60"/>
      <c r="AG289" s="63"/>
      <c r="AH289" s="60"/>
      <c r="AI289" s="63"/>
      <c r="AJ289" s="60"/>
      <c r="AK289" s="63"/>
      <c r="AL289" s="62"/>
      <c r="AM289" s="62"/>
      <c r="AN289" s="16"/>
      <c r="AO289" s="14"/>
    </row>
    <row r="290" spans="1:121" s="14" customFormat="1" x14ac:dyDescent="0.15">
      <c r="A290" s="59"/>
      <c r="B290" s="59"/>
    </row>
    <row r="291" spans="1:121" ht="13" x14ac:dyDescent="0.15">
      <c r="B291" s="36"/>
      <c r="C291"/>
      <c r="D291"/>
      <c r="E291" s="1"/>
      <c r="F291"/>
      <c r="G291"/>
      <c r="H291"/>
      <c r="I291"/>
      <c r="J291"/>
      <c r="K291"/>
      <c r="L291"/>
      <c r="M291"/>
      <c r="N291"/>
      <c r="O291"/>
      <c r="P291"/>
      <c r="Q291" s="1"/>
      <c r="R291"/>
      <c r="S291" s="1"/>
      <c r="T291" s="1"/>
      <c r="U291" s="1"/>
      <c r="V291" s="1"/>
      <c r="W291" s="1"/>
      <c r="X291"/>
      <c r="Y291" s="1"/>
      <c r="Z291"/>
      <c r="AA291" s="1"/>
      <c r="AB291"/>
      <c r="AC291" s="1"/>
      <c r="AD291"/>
      <c r="AE291" s="1"/>
      <c r="AF291"/>
      <c r="AG291" s="1"/>
      <c r="AH291"/>
      <c r="AI291" s="1"/>
      <c r="AJ291"/>
      <c r="AK291" s="1"/>
      <c r="AL291"/>
      <c r="AM291" s="1"/>
      <c r="AO291" s="5"/>
      <c r="AQ291" s="5"/>
      <c r="AS291" s="5"/>
      <c r="AU291" s="5"/>
      <c r="AW291" s="5"/>
      <c r="AY291" s="5"/>
    </row>
    <row r="292" spans="1:121" s="14" customFormat="1" ht="12.75" customHeight="1" x14ac:dyDescent="0.15">
      <c r="A292" s="35" t="s">
        <v>77</v>
      </c>
      <c r="B292" s="35"/>
      <c r="C292" s="15">
        <v>347127</v>
      </c>
      <c r="D292" s="15">
        <v>48327</v>
      </c>
      <c r="E292" s="14">
        <v>15</v>
      </c>
      <c r="F292" s="15">
        <v>395469</v>
      </c>
      <c r="G292" s="15">
        <v>248559</v>
      </c>
      <c r="H292" s="16">
        <v>62.85</v>
      </c>
      <c r="I292" s="15">
        <v>44932</v>
      </c>
      <c r="J292" s="15">
        <v>2804</v>
      </c>
      <c r="K292" s="15">
        <v>245755</v>
      </c>
      <c r="L292" s="15">
        <v>106484</v>
      </c>
      <c r="M292" s="21">
        <v>43.329332058350793</v>
      </c>
      <c r="N292" s="15">
        <v>72196</v>
      </c>
      <c r="O292" s="21">
        <v>29.377225285345158</v>
      </c>
      <c r="P292" s="15">
        <v>33264</v>
      </c>
      <c r="Q292" s="21">
        <v>13.535431629061465</v>
      </c>
      <c r="R292" s="15">
        <v>3376</v>
      </c>
      <c r="S292" s="21">
        <v>1.3737258651909423</v>
      </c>
      <c r="T292" s="21" t="s">
        <v>63</v>
      </c>
      <c r="U292" s="21" t="s">
        <v>63</v>
      </c>
      <c r="V292" s="21" t="s">
        <v>63</v>
      </c>
      <c r="W292" s="21" t="s">
        <v>63</v>
      </c>
      <c r="X292" s="15">
        <v>1391</v>
      </c>
      <c r="Y292" s="21">
        <v>0.56601086447885085</v>
      </c>
      <c r="Z292" s="15">
        <v>1875</v>
      </c>
      <c r="AA292" s="21">
        <v>0.76295497548371349</v>
      </c>
      <c r="AB292" s="15">
        <v>1098</v>
      </c>
      <c r="AC292" s="21">
        <v>0.44678643364326259</v>
      </c>
      <c r="AD292" s="15">
        <v>9669</v>
      </c>
      <c r="AE292" s="21">
        <v>3.9344062175744132</v>
      </c>
      <c r="AF292" s="14">
        <v>813</v>
      </c>
      <c r="AG292" s="21">
        <v>0.33081727736973815</v>
      </c>
      <c r="AH292" s="15">
        <v>4386</v>
      </c>
      <c r="AI292" s="21">
        <v>1.7847042786515024</v>
      </c>
      <c r="AJ292" s="15">
        <v>10661</v>
      </c>
      <c r="AK292" s="21">
        <v>4.3380602632703305</v>
      </c>
      <c r="AL292" s="14">
        <v>542</v>
      </c>
      <c r="AM292" s="21">
        <v>0.22054485157982545</v>
      </c>
    </row>
    <row r="293" spans="1:121" s="14" customFormat="1" x14ac:dyDescent="0.15">
      <c r="A293" s="35"/>
      <c r="B293" s="35"/>
      <c r="G293" s="15"/>
      <c r="H293" s="16"/>
      <c r="I293" s="15"/>
      <c r="K293" s="15"/>
      <c r="L293" s="15"/>
      <c r="M293" s="21"/>
      <c r="N293" s="15"/>
      <c r="O293" s="21"/>
      <c r="P293" s="15"/>
      <c r="Q293" s="21"/>
      <c r="S293" s="21"/>
      <c r="U293" s="21"/>
      <c r="W293" s="21"/>
      <c r="Y293" s="21"/>
      <c r="Z293" s="15"/>
      <c r="AA293" s="21"/>
      <c r="AC293" s="21"/>
      <c r="AE293" s="21"/>
      <c r="AF293" s="15"/>
      <c r="AG293" s="21"/>
      <c r="AI293" s="21"/>
      <c r="AK293" s="16"/>
      <c r="AM293" s="16"/>
    </row>
    <row r="294" spans="1:121" s="14" customFormat="1" x14ac:dyDescent="0.15">
      <c r="A294" s="35" t="s">
        <v>64</v>
      </c>
      <c r="B294" s="35"/>
      <c r="C294" s="15">
        <v>80372</v>
      </c>
      <c r="D294" s="15">
        <v>5902</v>
      </c>
      <c r="E294" s="14">
        <v>0</v>
      </c>
      <c r="F294" s="15">
        <v>86274</v>
      </c>
      <c r="G294" s="15">
        <v>46832</v>
      </c>
      <c r="H294" s="16">
        <v>54.28</v>
      </c>
      <c r="I294" s="15">
        <v>5604</v>
      </c>
      <c r="J294" s="15">
        <v>821</v>
      </c>
      <c r="K294" s="14">
        <v>46011</v>
      </c>
      <c r="L294" s="15">
        <v>16996</v>
      </c>
      <c r="M294" s="16">
        <v>36.94</v>
      </c>
      <c r="N294" s="15">
        <v>14623</v>
      </c>
      <c r="O294" s="16">
        <v>31.78</v>
      </c>
      <c r="P294" s="15">
        <v>4086</v>
      </c>
      <c r="Q294" s="16">
        <v>8.8800000000000008</v>
      </c>
      <c r="R294" s="15">
        <v>3266</v>
      </c>
      <c r="S294" s="21">
        <v>7.1</v>
      </c>
      <c r="T294" s="15">
        <v>789</v>
      </c>
      <c r="U294" s="16">
        <v>1.71</v>
      </c>
      <c r="V294" s="15">
        <v>117</v>
      </c>
      <c r="W294" s="16">
        <v>0.25</v>
      </c>
      <c r="X294" s="16" t="s">
        <v>63</v>
      </c>
      <c r="Y294" s="16" t="s">
        <v>63</v>
      </c>
      <c r="Z294" s="15">
        <v>599</v>
      </c>
      <c r="AA294" s="21">
        <v>1.3</v>
      </c>
      <c r="AB294" s="16" t="s">
        <v>63</v>
      </c>
      <c r="AC294" s="16" t="s">
        <v>63</v>
      </c>
      <c r="AD294" s="15">
        <v>2625</v>
      </c>
      <c r="AE294" s="16">
        <v>5.71</v>
      </c>
      <c r="AF294" s="15">
        <v>196</v>
      </c>
      <c r="AG294" s="16">
        <v>0.43</v>
      </c>
      <c r="AH294" s="15">
        <v>499</v>
      </c>
      <c r="AI294" s="16">
        <v>1.08</v>
      </c>
      <c r="AJ294" s="15">
        <v>2215</v>
      </c>
      <c r="AK294" s="16">
        <v>4.8099999999999996</v>
      </c>
      <c r="AL294" s="16" t="s">
        <v>63</v>
      </c>
      <c r="AM294" s="16" t="s">
        <v>63</v>
      </c>
      <c r="AN294" s="16"/>
    </row>
    <row r="295" spans="1:121" s="14" customFormat="1" x14ac:dyDescent="0.15">
      <c r="A295" s="19"/>
      <c r="G295" s="15"/>
      <c r="H295" s="35"/>
      <c r="I295" s="15"/>
      <c r="K295" s="15"/>
      <c r="L295" s="15"/>
      <c r="M295" s="21"/>
      <c r="N295" s="15"/>
      <c r="O295" s="21"/>
      <c r="P295" s="15"/>
      <c r="Q295" s="21"/>
      <c r="S295" s="21"/>
      <c r="U295" s="21"/>
      <c r="W295" s="21"/>
      <c r="Y295" s="21"/>
      <c r="Z295" s="15"/>
      <c r="AA295" s="21"/>
      <c r="AC295" s="21"/>
      <c r="AE295" s="21"/>
      <c r="AF295" s="15"/>
      <c r="AG295" s="21"/>
      <c r="AI295" s="21"/>
      <c r="AK295" s="16"/>
      <c r="AM295" s="16"/>
    </row>
    <row r="296" spans="1:121" s="58" customFormat="1" ht="20.25" customHeight="1" x14ac:dyDescent="0.15">
      <c r="A296" s="72" t="s">
        <v>78</v>
      </c>
      <c r="B296" s="73"/>
      <c r="C296" s="74">
        <v>427499</v>
      </c>
      <c r="D296" s="74">
        <v>54229</v>
      </c>
      <c r="E296" s="74">
        <v>15</v>
      </c>
      <c r="F296" s="74">
        <v>481743</v>
      </c>
      <c r="G296" s="74">
        <v>295391</v>
      </c>
      <c r="H296" s="76">
        <v>61.32</v>
      </c>
      <c r="I296" s="74">
        <v>50536</v>
      </c>
      <c r="J296" s="74">
        <v>3625</v>
      </c>
      <c r="K296" s="74">
        <v>291766</v>
      </c>
      <c r="L296" s="74">
        <v>123480</v>
      </c>
      <c r="M296" s="75">
        <v>42.32</v>
      </c>
      <c r="N296" s="74">
        <v>86819</v>
      </c>
      <c r="O296" s="75">
        <v>29.76</v>
      </c>
      <c r="P296" s="74">
        <v>37350</v>
      </c>
      <c r="Q296" s="75">
        <v>12.8</v>
      </c>
      <c r="R296" s="74">
        <v>6642</v>
      </c>
      <c r="S296" s="75">
        <v>2.2799999999999998</v>
      </c>
      <c r="T296" s="74">
        <v>789</v>
      </c>
      <c r="U296" s="75">
        <v>0.27</v>
      </c>
      <c r="V296" s="74">
        <v>117</v>
      </c>
      <c r="W296" s="75">
        <v>0.04</v>
      </c>
      <c r="X296" s="74">
        <v>1391</v>
      </c>
      <c r="Y296" s="75">
        <v>0.48</v>
      </c>
      <c r="Z296" s="74">
        <v>2474</v>
      </c>
      <c r="AA296" s="75">
        <v>0.85</v>
      </c>
      <c r="AB296" s="74">
        <v>1098</v>
      </c>
      <c r="AC296" s="75">
        <v>0.38</v>
      </c>
      <c r="AD296" s="74">
        <v>12294</v>
      </c>
      <c r="AE296" s="75">
        <v>4.21</v>
      </c>
      <c r="AF296" s="74">
        <v>1009</v>
      </c>
      <c r="AG296" s="75">
        <v>0.35</v>
      </c>
      <c r="AH296" s="74">
        <v>4885</v>
      </c>
      <c r="AI296" s="75">
        <v>1.67</v>
      </c>
      <c r="AJ296" s="74">
        <v>12876</v>
      </c>
      <c r="AK296" s="76">
        <v>4.41</v>
      </c>
      <c r="AL296" s="74">
        <v>542</v>
      </c>
      <c r="AM296" s="77">
        <v>0.19</v>
      </c>
    </row>
    <row r="297" spans="1:121" s="14" customFormat="1" x14ac:dyDescent="0.15">
      <c r="A297" s="19"/>
      <c r="G297" s="15"/>
      <c r="H297" s="16"/>
      <c r="I297" s="15"/>
      <c r="K297" s="15"/>
      <c r="L297" s="15"/>
      <c r="M297" s="21"/>
      <c r="N297" s="15"/>
      <c r="O297" s="21"/>
      <c r="P297" s="15"/>
      <c r="Q297" s="21"/>
      <c r="S297" s="21"/>
      <c r="U297" s="21"/>
      <c r="W297" s="21"/>
      <c r="Y297" s="21"/>
      <c r="Z297" s="15"/>
      <c r="AA297" s="21"/>
      <c r="AC297" s="21"/>
      <c r="AE297" s="21"/>
      <c r="AF297" s="15"/>
      <c r="AG297" s="21"/>
      <c r="AI297" s="21"/>
      <c r="AK297" s="16"/>
      <c r="AM297" s="16"/>
    </row>
    <row r="298" spans="1:121" x14ac:dyDescent="0.15">
      <c r="T298" s="5"/>
      <c r="V298" s="5"/>
      <c r="AK298" s="5"/>
      <c r="AM298" s="5"/>
    </row>
    <row r="299" spans="1:121" x14ac:dyDescent="0.15">
      <c r="A299" s="16" t="s">
        <v>0</v>
      </c>
      <c r="B299" s="3" t="s">
        <v>1</v>
      </c>
      <c r="T299" s="5"/>
      <c r="V299" s="5"/>
      <c r="AB299" s="8"/>
      <c r="AC299" s="3"/>
      <c r="AD299" s="8"/>
      <c r="AE299" s="3"/>
      <c r="AF299" s="8"/>
      <c r="AG299" s="3"/>
      <c r="AH299" s="8"/>
      <c r="AI299" s="3"/>
      <c r="AJ299" s="8"/>
      <c r="AL299" s="8"/>
      <c r="AN299" s="8"/>
      <c r="AP299" s="8"/>
      <c r="AR299" s="8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</row>
    <row r="300" spans="1:121" ht="13" x14ac:dyDescent="0.15">
      <c r="A300" s="78" t="s">
        <v>75</v>
      </c>
      <c r="B300" s="3" t="s">
        <v>76</v>
      </c>
      <c r="T300" s="5"/>
      <c r="V300" s="5"/>
      <c r="AB300" s="8"/>
      <c r="AC300" s="3"/>
      <c r="AD300" s="8"/>
      <c r="AE300" s="3"/>
      <c r="AF300" s="8"/>
      <c r="AG300" s="3"/>
      <c r="AH300" s="8"/>
      <c r="AI300" s="3"/>
      <c r="AJ300" s="8"/>
      <c r="AL300" s="8"/>
      <c r="AN300" s="8"/>
      <c r="AP300" s="8"/>
      <c r="AR300" s="8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</row>
    <row r="301" spans="1:121" x14ac:dyDescent="0.15">
      <c r="A301" s="4"/>
      <c r="T301" s="5"/>
      <c r="V301" s="5"/>
      <c r="AB301" s="8"/>
      <c r="AC301" s="3"/>
      <c r="AD301" s="8"/>
      <c r="AE301" s="3"/>
      <c r="AF301" s="8"/>
      <c r="AG301" s="3"/>
      <c r="AH301" s="8"/>
      <c r="AI301" s="3"/>
      <c r="AJ301" s="8"/>
      <c r="AL301" s="8"/>
      <c r="AN301" s="8"/>
      <c r="AP301" s="8"/>
      <c r="AR301" s="8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</row>
    <row r="302" spans="1:121" x14ac:dyDescent="0.15">
      <c r="A302" s="4"/>
      <c r="B302" s="3" t="s">
        <v>74</v>
      </c>
      <c r="T302" s="5"/>
      <c r="V302" s="5"/>
      <c r="AB302" s="8"/>
      <c r="AC302" s="3"/>
      <c r="AD302" s="8"/>
      <c r="AE302" s="3"/>
      <c r="AF302" s="8"/>
      <c r="AG302" s="3"/>
      <c r="AH302" s="8"/>
      <c r="AI302" s="3"/>
      <c r="AJ302" s="8"/>
      <c r="AL302" s="8"/>
      <c r="AN302" s="8"/>
      <c r="AP302" s="8"/>
      <c r="AR302" s="8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</row>
    <row r="303" spans="1:121" x14ac:dyDescent="0.15">
      <c r="A303" s="4"/>
      <c r="B303" s="3" t="s">
        <v>2</v>
      </c>
      <c r="T303" s="5"/>
      <c r="V303" s="5"/>
      <c r="AB303" s="8"/>
      <c r="AC303" s="3"/>
      <c r="AD303" s="8"/>
      <c r="AE303" s="3"/>
      <c r="AF303" s="8"/>
      <c r="AG303" s="3"/>
      <c r="AH303" s="8"/>
      <c r="AI303" s="3"/>
      <c r="AJ303" s="8"/>
      <c r="AL303" s="8"/>
      <c r="AN303" s="8"/>
      <c r="AP303" s="8"/>
      <c r="AR303" s="8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</row>
    <row r="304" spans="1:121" x14ac:dyDescent="0.15">
      <c r="A304" s="4"/>
      <c r="B304" s="3" t="s">
        <v>3</v>
      </c>
      <c r="T304" s="5"/>
      <c r="V304" s="5"/>
      <c r="AB304" s="8"/>
      <c r="AC304" s="3"/>
      <c r="AD304" s="8"/>
      <c r="AE304" s="3"/>
      <c r="AF304" s="8"/>
      <c r="AG304" s="3"/>
      <c r="AH304" s="8"/>
      <c r="AI304" s="3"/>
      <c r="AJ304" s="8"/>
      <c r="AL304" s="8"/>
      <c r="AN304" s="8"/>
      <c r="AP304" s="8"/>
      <c r="AR304" s="8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</row>
    <row r="305" spans="1:121" x14ac:dyDescent="0.15">
      <c r="A305" s="4"/>
      <c r="B305" s="3" t="s">
        <v>4</v>
      </c>
      <c r="C305" s="22"/>
      <c r="F305" s="7"/>
      <c r="G305" s="7"/>
      <c r="H305" s="3"/>
      <c r="M305" s="3"/>
      <c r="N305" s="8"/>
      <c r="O305" s="3"/>
      <c r="P305" s="8"/>
      <c r="Q305" s="3"/>
      <c r="R305" s="8"/>
      <c r="S305" s="3"/>
      <c r="U305" s="3"/>
      <c r="W305" s="3"/>
      <c r="X305" s="8"/>
      <c r="Y305" s="3"/>
      <c r="Z305" s="8"/>
      <c r="AA305" s="3"/>
      <c r="AB305" s="8"/>
      <c r="AC305" s="3"/>
      <c r="AD305" s="8"/>
      <c r="AE305" s="3"/>
      <c r="AF305" s="8"/>
      <c r="AG305" s="3"/>
      <c r="AH305" s="8"/>
      <c r="AI305" s="3"/>
      <c r="AJ305" s="8"/>
      <c r="AL305" s="8"/>
      <c r="AN305" s="8"/>
      <c r="AP305" s="8"/>
      <c r="AR305" s="8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</row>
    <row r="306" spans="1:121" x14ac:dyDescent="0.15">
      <c r="A306" s="4"/>
      <c r="B306" s="3" t="s">
        <v>10</v>
      </c>
      <c r="C306" s="22"/>
      <c r="F306" s="7"/>
      <c r="G306" s="7"/>
      <c r="H306" s="3"/>
      <c r="M306" s="3"/>
      <c r="N306" s="8"/>
      <c r="O306" s="3"/>
      <c r="P306" s="8"/>
      <c r="Q306" s="3"/>
      <c r="R306" s="8"/>
      <c r="S306" s="3"/>
      <c r="U306" s="3"/>
      <c r="W306" s="3"/>
      <c r="X306" s="8"/>
      <c r="Y306" s="3"/>
      <c r="Z306" s="8"/>
      <c r="AA306" s="3"/>
      <c r="AB306" s="8"/>
      <c r="AC306" s="3"/>
      <c r="AD306" s="8"/>
      <c r="AE306" s="3"/>
      <c r="AF306" s="8"/>
      <c r="AG306" s="3"/>
      <c r="AH306" s="8"/>
      <c r="AI306" s="3"/>
      <c r="AJ306" s="8"/>
      <c r="AL306" s="8"/>
      <c r="AN306" s="8"/>
      <c r="AP306" s="8"/>
      <c r="AR306" s="8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</row>
    <row r="307" spans="1:121" x14ac:dyDescent="0.15">
      <c r="A307" s="4"/>
      <c r="C307" s="22"/>
      <c r="F307" s="7"/>
      <c r="G307" s="7"/>
      <c r="H307" s="3"/>
      <c r="M307" s="3"/>
      <c r="N307" s="8"/>
      <c r="O307" s="3"/>
      <c r="P307" s="8"/>
      <c r="Q307" s="3"/>
      <c r="R307" s="8"/>
      <c r="S307" s="3"/>
      <c r="U307" s="3"/>
      <c r="W307" s="3"/>
      <c r="X307" s="8"/>
      <c r="Y307" s="3"/>
      <c r="Z307" s="8"/>
      <c r="AA307" s="3"/>
      <c r="AB307" s="8"/>
      <c r="AC307" s="3"/>
      <c r="AD307" s="8"/>
      <c r="AE307" s="3"/>
      <c r="AF307" s="8"/>
      <c r="AG307" s="3"/>
      <c r="AH307" s="8"/>
      <c r="AI307" s="3"/>
      <c r="AJ307" s="8"/>
      <c r="AL307" s="8"/>
      <c r="AN307" s="8"/>
      <c r="AP307" s="8"/>
      <c r="AR307" s="8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</row>
    <row r="308" spans="1:121" x14ac:dyDescent="0.15">
      <c r="A308" s="4"/>
      <c r="B308" s="3" t="s">
        <v>71</v>
      </c>
      <c r="C308" s="22"/>
      <c r="F308" s="7"/>
      <c r="G308" s="7"/>
      <c r="H308" s="3"/>
      <c r="M308" s="3"/>
      <c r="N308" s="8"/>
      <c r="O308" s="3"/>
      <c r="P308" s="8"/>
      <c r="Q308" s="3"/>
      <c r="R308" s="8"/>
      <c r="S308" s="3"/>
      <c r="T308" s="8"/>
      <c r="U308" s="3"/>
      <c r="W308" s="8"/>
      <c r="Y308" s="8"/>
      <c r="AA308" s="8"/>
      <c r="AC308" s="8"/>
      <c r="AE308" s="8"/>
      <c r="AG308" s="8"/>
      <c r="AI308" s="8"/>
      <c r="AK308" s="8"/>
      <c r="AM308" s="8"/>
      <c r="AO308" s="8"/>
      <c r="AQ308" s="8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</row>
    <row r="309" spans="1:121" x14ac:dyDescent="0.15">
      <c r="A309" s="4"/>
      <c r="B309" s="3" t="s">
        <v>72</v>
      </c>
      <c r="C309" s="22"/>
      <c r="F309" s="7"/>
      <c r="G309" s="7"/>
      <c r="H309" s="3"/>
      <c r="M309" s="3"/>
      <c r="N309" s="8"/>
      <c r="O309" s="3"/>
      <c r="P309" s="8"/>
      <c r="Q309" s="3"/>
      <c r="R309" s="8"/>
      <c r="S309" s="3"/>
      <c r="T309" s="8"/>
      <c r="U309" s="3"/>
      <c r="W309" s="8"/>
      <c r="Y309" s="8"/>
      <c r="AA309" s="8"/>
      <c r="AC309" s="8"/>
      <c r="AE309" s="8"/>
      <c r="AG309" s="8"/>
      <c r="AI309" s="8"/>
      <c r="AK309" s="8"/>
      <c r="AM309" s="8"/>
      <c r="AO309" s="8"/>
      <c r="AQ309" s="8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</row>
    <row r="310" spans="1:121" x14ac:dyDescent="0.15">
      <c r="B310" s="3" t="s">
        <v>73</v>
      </c>
      <c r="C310" s="22"/>
      <c r="F310" s="7"/>
      <c r="G310" s="7"/>
      <c r="H310" s="3"/>
      <c r="M310" s="3"/>
      <c r="N310" s="8"/>
      <c r="O310" s="3"/>
      <c r="P310" s="8"/>
      <c r="Q310" s="3"/>
      <c r="R310" s="8"/>
      <c r="S310" s="3"/>
      <c r="T310" s="8"/>
      <c r="U310" s="3"/>
      <c r="W310" s="8"/>
      <c r="Y310" s="8"/>
      <c r="AA310" s="3"/>
      <c r="AB310" s="5"/>
      <c r="AC310" s="3"/>
      <c r="AD310" s="5"/>
      <c r="AE310" s="3"/>
      <c r="AF310" s="5"/>
      <c r="AG310" s="3"/>
      <c r="AH310" s="5"/>
      <c r="AI310" s="3"/>
      <c r="AJ310" s="5"/>
      <c r="AL310" s="5"/>
    </row>
    <row r="311" spans="1:121" x14ac:dyDescent="0.15">
      <c r="C311" s="22"/>
      <c r="F311" s="7"/>
      <c r="G311" s="7"/>
      <c r="H311" s="3"/>
      <c r="M311" s="3"/>
      <c r="N311" s="8"/>
      <c r="O311" s="3"/>
      <c r="P311" s="8"/>
      <c r="Q311" s="3"/>
      <c r="R311" s="8"/>
      <c r="S311" s="3"/>
      <c r="U311" s="3"/>
      <c r="W311" s="3"/>
      <c r="X311" s="8"/>
      <c r="Y311" s="3"/>
      <c r="Z311" s="8"/>
      <c r="AA311" s="3"/>
      <c r="AK311" s="5"/>
      <c r="AM311" s="5"/>
    </row>
    <row r="312" spans="1:121" x14ac:dyDescent="0.15">
      <c r="C312" s="22"/>
      <c r="F312" s="7"/>
      <c r="G312" s="7"/>
      <c r="H312" s="3"/>
      <c r="M312" s="3"/>
      <c r="N312" s="8"/>
      <c r="O312" s="3"/>
      <c r="P312" s="8"/>
      <c r="Q312" s="3"/>
      <c r="R312" s="8"/>
      <c r="S312" s="3"/>
      <c r="U312" s="3"/>
      <c r="W312" s="3"/>
      <c r="X312" s="8"/>
      <c r="Y312" s="3"/>
      <c r="Z312" s="8"/>
      <c r="AA312" s="3"/>
      <c r="AK312" s="5"/>
      <c r="AM312" s="5"/>
    </row>
    <row r="313" spans="1:121" x14ac:dyDescent="0.15">
      <c r="C313" s="22"/>
      <c r="F313" s="7"/>
      <c r="G313" s="7"/>
      <c r="H313" s="3"/>
      <c r="M313" s="3"/>
      <c r="N313" s="8"/>
      <c r="O313" s="3"/>
      <c r="P313" s="8"/>
      <c r="Q313" s="3"/>
      <c r="R313" s="8"/>
      <c r="S313" s="3"/>
      <c r="U313" s="3"/>
      <c r="W313" s="3"/>
      <c r="X313" s="8"/>
      <c r="Y313" s="3"/>
      <c r="Z313" s="8"/>
      <c r="AA313" s="3"/>
      <c r="AK313" s="5"/>
      <c r="AM313" s="5"/>
    </row>
    <row r="314" spans="1:121" x14ac:dyDescent="0.15">
      <c r="T314" s="5"/>
      <c r="V314" s="5"/>
      <c r="AK314" s="5"/>
      <c r="AM314" s="5"/>
    </row>
    <row r="315" spans="1:121" x14ac:dyDescent="0.15">
      <c r="T315" s="5"/>
      <c r="V315" s="5"/>
      <c r="AK315" s="5"/>
      <c r="AM315" s="5"/>
    </row>
    <row r="316" spans="1:121" x14ac:dyDescent="0.15">
      <c r="T316" s="5"/>
      <c r="V316" s="5"/>
      <c r="AK316" s="5"/>
      <c r="AM316" s="5"/>
    </row>
    <row r="317" spans="1:121" x14ac:dyDescent="0.15">
      <c r="T317" s="5"/>
      <c r="V317" s="5"/>
      <c r="AK317" s="5"/>
      <c r="AM317" s="5"/>
    </row>
    <row r="318" spans="1:121" x14ac:dyDescent="0.15">
      <c r="T318" s="5"/>
      <c r="V318" s="5"/>
      <c r="AK318" s="5"/>
      <c r="AM318" s="5"/>
    </row>
    <row r="319" spans="1:121" x14ac:dyDescent="0.15">
      <c r="T319" s="5"/>
      <c r="V319" s="5"/>
      <c r="AK319" s="5"/>
      <c r="AM319" s="5"/>
    </row>
    <row r="320" spans="1:121" x14ac:dyDescent="0.15">
      <c r="T320" s="5"/>
      <c r="V320" s="5"/>
      <c r="AK320" s="5"/>
      <c r="AM320" s="5"/>
    </row>
    <row r="321" spans="20:39" x14ac:dyDescent="0.15">
      <c r="T321" s="5"/>
      <c r="V321" s="5"/>
      <c r="AK321" s="5"/>
      <c r="AM321" s="5"/>
    </row>
    <row r="322" spans="20:39" x14ac:dyDescent="0.15">
      <c r="T322" s="5"/>
      <c r="V322" s="5"/>
      <c r="AK322" s="5"/>
      <c r="AM322" s="5"/>
    </row>
    <row r="323" spans="20:39" x14ac:dyDescent="0.15">
      <c r="T323" s="5"/>
      <c r="V323" s="5"/>
      <c r="AK323" s="5"/>
      <c r="AM323" s="5"/>
    </row>
    <row r="324" spans="20:39" x14ac:dyDescent="0.15">
      <c r="T324" s="5"/>
      <c r="V324" s="5"/>
      <c r="AK324" s="5"/>
      <c r="AM324" s="5"/>
    </row>
    <row r="325" spans="20:39" x14ac:dyDescent="0.15">
      <c r="T325" s="5"/>
      <c r="V325" s="5"/>
      <c r="AK325" s="5"/>
      <c r="AM325" s="5"/>
    </row>
    <row r="326" spans="20:39" x14ac:dyDescent="0.15">
      <c r="T326" s="5"/>
      <c r="V326" s="5"/>
      <c r="AK326" s="5"/>
      <c r="AM326" s="5"/>
    </row>
    <row r="327" spans="20:39" x14ac:dyDescent="0.15">
      <c r="T327" s="5"/>
      <c r="V327" s="5"/>
      <c r="AK327" s="5"/>
      <c r="AM327" s="5"/>
    </row>
    <row r="328" spans="20:39" x14ac:dyDescent="0.15">
      <c r="T328" s="5"/>
      <c r="V328" s="5"/>
      <c r="AK328" s="5"/>
      <c r="AM328" s="5"/>
    </row>
    <row r="329" spans="20:39" x14ac:dyDescent="0.15">
      <c r="T329" s="5"/>
      <c r="V329" s="5"/>
      <c r="AK329" s="5"/>
      <c r="AM329" s="5"/>
    </row>
    <row r="330" spans="20:39" x14ac:dyDescent="0.15">
      <c r="T330" s="5"/>
      <c r="V330" s="5"/>
      <c r="AK330" s="5"/>
      <c r="AM330" s="5"/>
    </row>
    <row r="331" spans="20:39" x14ac:dyDescent="0.15">
      <c r="T331" s="5"/>
      <c r="V331" s="5"/>
      <c r="AK331" s="5"/>
      <c r="AM331" s="5"/>
    </row>
    <row r="332" spans="20:39" x14ac:dyDescent="0.15">
      <c r="T332" s="5"/>
      <c r="V332" s="5"/>
      <c r="AK332" s="5"/>
      <c r="AM332" s="5"/>
    </row>
    <row r="333" spans="20:39" x14ac:dyDescent="0.15">
      <c r="T333" s="5"/>
      <c r="V333" s="5"/>
      <c r="AK333" s="5"/>
      <c r="AM333" s="5"/>
    </row>
    <row r="334" spans="20:39" x14ac:dyDescent="0.15">
      <c r="T334" s="5"/>
      <c r="V334" s="5"/>
      <c r="AK334" s="5"/>
      <c r="AM334" s="5"/>
    </row>
    <row r="335" spans="20:39" x14ac:dyDescent="0.15">
      <c r="T335" s="5"/>
      <c r="V335" s="5"/>
      <c r="AK335" s="5"/>
      <c r="AM335" s="5"/>
    </row>
    <row r="336" spans="20:39" x14ac:dyDescent="0.15">
      <c r="T336" s="5"/>
      <c r="V336" s="5"/>
      <c r="AK336" s="5"/>
      <c r="AM336" s="5"/>
    </row>
    <row r="337" spans="20:39" x14ac:dyDescent="0.15">
      <c r="T337" s="5"/>
      <c r="V337" s="5"/>
      <c r="AK337" s="5"/>
      <c r="AM337" s="5"/>
    </row>
    <row r="338" spans="20:39" x14ac:dyDescent="0.15">
      <c r="T338" s="5"/>
      <c r="V338" s="5"/>
      <c r="AK338" s="5"/>
      <c r="AM338" s="5"/>
    </row>
    <row r="339" spans="20:39" x14ac:dyDescent="0.15">
      <c r="T339" s="5"/>
      <c r="V339" s="5"/>
      <c r="AK339" s="5"/>
      <c r="AM339" s="5"/>
    </row>
    <row r="340" spans="20:39" x14ac:dyDescent="0.15">
      <c r="T340" s="5"/>
      <c r="V340" s="5"/>
      <c r="AK340" s="5"/>
      <c r="AM340" s="5"/>
    </row>
    <row r="341" spans="20:39" x14ac:dyDescent="0.15">
      <c r="T341" s="5"/>
      <c r="V341" s="5"/>
      <c r="AK341" s="5"/>
      <c r="AM341" s="5"/>
    </row>
    <row r="342" spans="20:39" x14ac:dyDescent="0.15">
      <c r="T342" s="5"/>
      <c r="V342" s="5"/>
      <c r="AK342" s="5"/>
      <c r="AM342" s="5"/>
    </row>
    <row r="343" spans="20:39" x14ac:dyDescent="0.15">
      <c r="T343" s="5"/>
      <c r="V343" s="5"/>
      <c r="AK343" s="5"/>
      <c r="AM343" s="5"/>
    </row>
    <row r="344" spans="20:39" x14ac:dyDescent="0.15">
      <c r="T344" s="5"/>
      <c r="V344" s="5"/>
      <c r="AK344" s="5"/>
      <c r="AM344" s="5"/>
    </row>
    <row r="345" spans="20:39" x14ac:dyDescent="0.15">
      <c r="T345" s="5"/>
      <c r="V345" s="5"/>
      <c r="AK345" s="5"/>
      <c r="AM345" s="5"/>
    </row>
    <row r="346" spans="20:39" x14ac:dyDescent="0.15">
      <c r="T346" s="5"/>
      <c r="V346" s="5"/>
      <c r="AK346" s="5"/>
      <c r="AM346" s="5"/>
    </row>
    <row r="347" spans="20:39" x14ac:dyDescent="0.15">
      <c r="T347" s="5"/>
      <c r="V347" s="5"/>
      <c r="AK347" s="5"/>
      <c r="AM347" s="5"/>
    </row>
    <row r="348" spans="20:39" x14ac:dyDescent="0.15">
      <c r="T348" s="5"/>
      <c r="V348" s="5"/>
      <c r="AK348" s="5"/>
      <c r="AM348" s="5"/>
    </row>
    <row r="349" spans="20:39" x14ac:dyDescent="0.15">
      <c r="T349" s="5"/>
      <c r="V349" s="5"/>
      <c r="AK349" s="5"/>
      <c r="AM349" s="5"/>
    </row>
    <row r="350" spans="20:39" x14ac:dyDescent="0.15">
      <c r="T350" s="5"/>
      <c r="V350" s="5"/>
      <c r="AK350" s="5"/>
      <c r="AM350" s="5"/>
    </row>
    <row r="351" spans="20:39" x14ac:dyDescent="0.15">
      <c r="T351" s="5"/>
      <c r="V351" s="5"/>
      <c r="AK351" s="5"/>
      <c r="AM351" s="5"/>
    </row>
    <row r="352" spans="20:39" x14ac:dyDescent="0.15">
      <c r="T352" s="5"/>
      <c r="V352" s="5"/>
      <c r="AK352" s="5"/>
      <c r="AM352" s="5"/>
    </row>
    <row r="353" spans="20:39" x14ac:dyDescent="0.15">
      <c r="T353" s="5"/>
      <c r="V353" s="5"/>
      <c r="AK353" s="5"/>
      <c r="AM353" s="5"/>
    </row>
    <row r="354" spans="20:39" x14ac:dyDescent="0.15">
      <c r="T354" s="5"/>
      <c r="V354" s="5"/>
      <c r="AK354" s="5"/>
      <c r="AM354" s="5"/>
    </row>
    <row r="355" spans="20:39" x14ac:dyDescent="0.15">
      <c r="T355" s="5"/>
      <c r="V355" s="5"/>
      <c r="AK355" s="5"/>
      <c r="AM355" s="5"/>
    </row>
    <row r="356" spans="20:39" x14ac:dyDescent="0.15">
      <c r="T356" s="5"/>
      <c r="V356" s="5"/>
      <c r="AK356" s="5"/>
      <c r="AM356" s="5"/>
    </row>
    <row r="357" spans="20:39" x14ac:dyDescent="0.15">
      <c r="T357" s="5"/>
      <c r="V357" s="5"/>
      <c r="AK357" s="5"/>
      <c r="AM357" s="5"/>
    </row>
    <row r="358" spans="20:39" x14ac:dyDescent="0.15">
      <c r="T358" s="5"/>
      <c r="V358" s="5"/>
      <c r="AK358" s="5"/>
      <c r="AM358" s="5"/>
    </row>
    <row r="359" spans="20:39" x14ac:dyDescent="0.15">
      <c r="T359" s="5"/>
      <c r="V359" s="5"/>
      <c r="AK359" s="5"/>
      <c r="AM359" s="5"/>
    </row>
    <row r="360" spans="20:39" x14ac:dyDescent="0.15">
      <c r="T360" s="5"/>
      <c r="V360" s="5"/>
      <c r="AK360" s="5"/>
      <c r="AM360" s="5"/>
    </row>
    <row r="361" spans="20:39" x14ac:dyDescent="0.15">
      <c r="T361" s="5"/>
      <c r="V361" s="5"/>
      <c r="AK361" s="5"/>
      <c r="AM361" s="5"/>
    </row>
    <row r="362" spans="20:39" x14ac:dyDescent="0.15">
      <c r="T362" s="5"/>
      <c r="V362" s="5"/>
      <c r="AK362" s="5"/>
      <c r="AM362" s="5"/>
    </row>
    <row r="363" spans="20:39" x14ac:dyDescent="0.15">
      <c r="T363" s="5"/>
      <c r="V363" s="5"/>
      <c r="AK363" s="5"/>
      <c r="AM363" s="5"/>
    </row>
    <row r="364" spans="20:39" x14ac:dyDescent="0.15">
      <c r="T364" s="5"/>
      <c r="V364" s="5"/>
      <c r="AK364" s="5"/>
      <c r="AM364" s="5"/>
    </row>
    <row r="365" spans="20:39" x14ac:dyDescent="0.15">
      <c r="T365" s="5"/>
      <c r="V365" s="5"/>
      <c r="AK365" s="5"/>
      <c r="AM365" s="5"/>
    </row>
    <row r="366" spans="20:39" x14ac:dyDescent="0.15">
      <c r="T366" s="5"/>
      <c r="V366" s="5"/>
      <c r="AK366" s="5"/>
      <c r="AM366" s="5"/>
    </row>
    <row r="367" spans="20:39" x14ac:dyDescent="0.15">
      <c r="T367" s="5"/>
      <c r="V367" s="5"/>
      <c r="AK367" s="5"/>
      <c r="AM367" s="5"/>
    </row>
    <row r="368" spans="20:39" x14ac:dyDescent="0.15">
      <c r="T368" s="5"/>
      <c r="V368" s="5"/>
      <c r="AK368" s="5"/>
      <c r="AM368" s="5"/>
    </row>
    <row r="369" spans="20:39" x14ac:dyDescent="0.15">
      <c r="T369" s="5"/>
      <c r="V369" s="5"/>
      <c r="AK369" s="5"/>
      <c r="AM369" s="5"/>
    </row>
    <row r="370" spans="20:39" x14ac:dyDescent="0.15">
      <c r="T370" s="5"/>
      <c r="V370" s="5"/>
      <c r="AK370" s="5"/>
      <c r="AM370" s="5"/>
    </row>
    <row r="371" spans="20:39" x14ac:dyDescent="0.15">
      <c r="T371" s="5"/>
      <c r="V371" s="5"/>
      <c r="AK371" s="5"/>
      <c r="AM371" s="5"/>
    </row>
    <row r="372" spans="20:39" x14ac:dyDescent="0.15">
      <c r="T372" s="5"/>
      <c r="V372" s="5"/>
      <c r="AK372" s="5"/>
      <c r="AM372" s="5"/>
    </row>
    <row r="373" spans="20:39" x14ac:dyDescent="0.15">
      <c r="T373" s="5"/>
      <c r="V373" s="5"/>
      <c r="AK373" s="5"/>
      <c r="AM373" s="5"/>
    </row>
    <row r="374" spans="20:39" x14ac:dyDescent="0.15">
      <c r="T374" s="5"/>
      <c r="V374" s="5"/>
      <c r="AK374" s="5"/>
      <c r="AM374" s="5"/>
    </row>
    <row r="375" spans="20:39" x14ac:dyDescent="0.15">
      <c r="T375" s="5"/>
      <c r="V375" s="5"/>
      <c r="AK375" s="5"/>
      <c r="AM375" s="5"/>
    </row>
    <row r="376" spans="20:39" x14ac:dyDescent="0.15">
      <c r="T376" s="5"/>
      <c r="V376" s="5"/>
      <c r="AK376" s="5"/>
      <c r="AM376" s="5"/>
    </row>
    <row r="377" spans="20:39" x14ac:dyDescent="0.15">
      <c r="T377" s="5"/>
      <c r="V377" s="5"/>
      <c r="AK377" s="5"/>
      <c r="AM377" s="5"/>
    </row>
    <row r="378" spans="20:39" x14ac:dyDescent="0.15">
      <c r="T378" s="5"/>
      <c r="V378" s="5"/>
      <c r="AK378" s="5"/>
      <c r="AM378" s="5"/>
    </row>
    <row r="379" spans="20:39" x14ac:dyDescent="0.15">
      <c r="T379" s="5"/>
      <c r="V379" s="5"/>
      <c r="AK379" s="5"/>
      <c r="AM379" s="5"/>
    </row>
    <row r="380" spans="20:39" x14ac:dyDescent="0.15">
      <c r="T380" s="5"/>
      <c r="V380" s="5"/>
      <c r="AK380" s="5"/>
      <c r="AM380" s="5"/>
    </row>
    <row r="381" spans="20:39" x14ac:dyDescent="0.15">
      <c r="T381" s="5"/>
      <c r="V381" s="5"/>
      <c r="AK381" s="5"/>
      <c r="AM381" s="5"/>
    </row>
    <row r="382" spans="20:39" x14ac:dyDescent="0.15">
      <c r="T382" s="5"/>
      <c r="V382" s="5"/>
      <c r="AK382" s="5"/>
      <c r="AM382" s="5"/>
    </row>
    <row r="383" spans="20:39" x14ac:dyDescent="0.15">
      <c r="T383" s="5"/>
      <c r="V383" s="5"/>
      <c r="AK383" s="5"/>
      <c r="AM383" s="5"/>
    </row>
    <row r="384" spans="20:39" x14ac:dyDescent="0.15">
      <c r="T384" s="5"/>
      <c r="V384" s="5"/>
      <c r="AK384" s="5"/>
      <c r="AM384" s="5"/>
    </row>
    <row r="385" spans="20:39" x14ac:dyDescent="0.15">
      <c r="T385" s="5"/>
      <c r="V385" s="5"/>
      <c r="AK385" s="5"/>
      <c r="AM385" s="5"/>
    </row>
    <row r="386" spans="20:39" x14ac:dyDescent="0.15">
      <c r="T386" s="5"/>
      <c r="V386" s="5"/>
      <c r="AK386" s="5"/>
      <c r="AM386" s="5"/>
    </row>
    <row r="387" spans="20:39" x14ac:dyDescent="0.15">
      <c r="T387" s="5"/>
      <c r="V387" s="5"/>
      <c r="AK387" s="5"/>
      <c r="AM387" s="5"/>
    </row>
    <row r="388" spans="20:39" x14ac:dyDescent="0.15">
      <c r="T388" s="5"/>
      <c r="V388" s="5"/>
      <c r="AK388" s="5"/>
      <c r="AM388" s="5"/>
    </row>
    <row r="389" spans="20:39" x14ac:dyDescent="0.15">
      <c r="T389" s="5"/>
      <c r="V389" s="5"/>
      <c r="AK389" s="5"/>
      <c r="AM389" s="5"/>
    </row>
    <row r="390" spans="20:39" x14ac:dyDescent="0.15">
      <c r="T390" s="5"/>
      <c r="V390" s="5"/>
      <c r="AK390" s="5"/>
      <c r="AM390" s="5"/>
    </row>
    <row r="391" spans="20:39" x14ac:dyDescent="0.15">
      <c r="T391" s="5"/>
      <c r="V391" s="5"/>
      <c r="AK391" s="5"/>
      <c r="AM391" s="5"/>
    </row>
    <row r="392" spans="20:39" x14ac:dyDescent="0.15">
      <c r="T392" s="5"/>
      <c r="V392" s="5"/>
      <c r="AK392" s="5"/>
      <c r="AM392" s="5"/>
    </row>
    <row r="393" spans="20:39" x14ac:dyDescent="0.15">
      <c r="T393" s="5"/>
      <c r="V393" s="5"/>
      <c r="AK393" s="5"/>
      <c r="AM393" s="5"/>
    </row>
    <row r="394" spans="20:39" x14ac:dyDescent="0.15">
      <c r="T394" s="5"/>
      <c r="V394" s="5"/>
      <c r="AK394" s="5"/>
      <c r="AM394" s="5"/>
    </row>
    <row r="395" spans="20:39" x14ac:dyDescent="0.15">
      <c r="T395" s="5"/>
      <c r="V395" s="5"/>
      <c r="AK395" s="5"/>
      <c r="AM395" s="5"/>
    </row>
    <row r="396" spans="20:39" x14ac:dyDescent="0.15">
      <c r="T396" s="5"/>
      <c r="V396" s="5"/>
      <c r="AK396" s="5"/>
      <c r="AM396" s="5"/>
    </row>
    <row r="397" spans="20:39" x14ac:dyDescent="0.15">
      <c r="T397" s="5"/>
      <c r="V397" s="5"/>
      <c r="AK397" s="5"/>
      <c r="AM397" s="5"/>
    </row>
    <row r="398" spans="20:39" x14ac:dyDescent="0.15">
      <c r="T398" s="5"/>
      <c r="V398" s="5"/>
      <c r="AK398" s="5"/>
      <c r="AM398" s="5"/>
    </row>
    <row r="399" spans="20:39" x14ac:dyDescent="0.15">
      <c r="T399" s="5"/>
      <c r="V399" s="5"/>
      <c r="AK399" s="5"/>
      <c r="AM399" s="5"/>
    </row>
    <row r="400" spans="20:39" x14ac:dyDescent="0.15">
      <c r="T400" s="5"/>
      <c r="V400" s="5"/>
      <c r="AK400" s="5"/>
      <c r="AM400" s="5"/>
    </row>
    <row r="401" spans="20:39" x14ac:dyDescent="0.15">
      <c r="T401" s="5"/>
      <c r="V401" s="5"/>
      <c r="AK401" s="5"/>
      <c r="AM401" s="5"/>
    </row>
    <row r="402" spans="20:39" x14ac:dyDescent="0.15">
      <c r="T402" s="5"/>
      <c r="V402" s="5"/>
      <c r="AK402" s="5"/>
      <c r="AM402" s="5"/>
    </row>
    <row r="403" spans="20:39" x14ac:dyDescent="0.15">
      <c r="T403" s="5"/>
      <c r="V403" s="5"/>
      <c r="AK403" s="5"/>
      <c r="AM403" s="5"/>
    </row>
    <row r="404" spans="20:39" x14ac:dyDescent="0.15">
      <c r="T404" s="5"/>
      <c r="V404" s="5"/>
      <c r="AK404" s="5"/>
      <c r="AM404" s="5"/>
    </row>
    <row r="405" spans="20:39" x14ac:dyDescent="0.15">
      <c r="T405" s="5"/>
      <c r="V405" s="5"/>
      <c r="AK405" s="5"/>
      <c r="AM405" s="5"/>
    </row>
    <row r="406" spans="20:39" x14ac:dyDescent="0.15">
      <c r="T406" s="5"/>
      <c r="V406" s="5"/>
      <c r="AK406" s="5"/>
      <c r="AM406" s="5"/>
    </row>
    <row r="407" spans="20:39" x14ac:dyDescent="0.15">
      <c r="T407" s="5"/>
      <c r="V407" s="5"/>
      <c r="AK407" s="5"/>
      <c r="AM407" s="5"/>
    </row>
    <row r="408" spans="20:39" x14ac:dyDescent="0.15">
      <c r="T408" s="5"/>
      <c r="V408" s="5"/>
      <c r="AK408" s="5"/>
      <c r="AM408" s="5"/>
    </row>
    <row r="409" spans="20:39" x14ac:dyDescent="0.15">
      <c r="T409" s="5"/>
      <c r="V409" s="5"/>
      <c r="AK409" s="5"/>
      <c r="AM409" s="5"/>
    </row>
    <row r="410" spans="20:39" x14ac:dyDescent="0.15">
      <c r="T410" s="5"/>
      <c r="V410" s="5"/>
      <c r="AK410" s="5"/>
      <c r="AM410" s="5"/>
    </row>
    <row r="411" spans="20:39" x14ac:dyDescent="0.15">
      <c r="T411" s="5"/>
      <c r="V411" s="5"/>
      <c r="AK411" s="5"/>
      <c r="AM411" s="5"/>
    </row>
    <row r="412" spans="20:39" x14ac:dyDescent="0.15">
      <c r="T412" s="5"/>
      <c r="V412" s="5"/>
      <c r="AK412" s="5"/>
      <c r="AM412" s="5"/>
    </row>
    <row r="413" spans="20:39" x14ac:dyDescent="0.15">
      <c r="T413" s="5"/>
      <c r="V413" s="5"/>
      <c r="AK413" s="5"/>
      <c r="AM413" s="5"/>
    </row>
    <row r="414" spans="20:39" x14ac:dyDescent="0.15">
      <c r="T414" s="5"/>
      <c r="V414" s="5"/>
      <c r="AK414" s="5"/>
      <c r="AM414" s="5"/>
    </row>
    <row r="415" spans="20:39" x14ac:dyDescent="0.15">
      <c r="T415" s="5"/>
      <c r="V415" s="5"/>
      <c r="AK415" s="5"/>
      <c r="AM415" s="5"/>
    </row>
    <row r="416" spans="20:39" x14ac:dyDescent="0.15">
      <c r="T416" s="5"/>
      <c r="V416" s="5"/>
      <c r="AK416" s="5"/>
      <c r="AM416" s="5"/>
    </row>
    <row r="417" spans="20:39" x14ac:dyDescent="0.15">
      <c r="T417" s="5"/>
      <c r="V417" s="5"/>
      <c r="AK417" s="5"/>
      <c r="AM417" s="5"/>
    </row>
    <row r="418" spans="20:39" x14ac:dyDescent="0.15">
      <c r="T418" s="5"/>
      <c r="V418" s="5"/>
      <c r="AK418" s="5"/>
      <c r="AM418" s="5"/>
    </row>
    <row r="419" spans="20:39" x14ac:dyDescent="0.15">
      <c r="T419" s="5"/>
      <c r="V419" s="5"/>
      <c r="AK419" s="5"/>
      <c r="AM419" s="5"/>
    </row>
    <row r="420" spans="20:39" x14ac:dyDescent="0.15">
      <c r="T420" s="5"/>
      <c r="V420" s="5"/>
      <c r="AK420" s="5"/>
      <c r="AM420" s="5"/>
    </row>
    <row r="421" spans="20:39" x14ac:dyDescent="0.15">
      <c r="T421" s="5"/>
      <c r="V421" s="5"/>
      <c r="AK421" s="5"/>
      <c r="AM421" s="5"/>
    </row>
    <row r="422" spans="20:39" x14ac:dyDescent="0.15">
      <c r="T422" s="5"/>
      <c r="V422" s="5"/>
      <c r="AK422" s="5"/>
      <c r="AM422" s="5"/>
    </row>
    <row r="423" spans="20:39" x14ac:dyDescent="0.15">
      <c r="T423" s="5"/>
      <c r="V423" s="5"/>
      <c r="AK423" s="5"/>
      <c r="AM423" s="5"/>
    </row>
    <row r="424" spans="20:39" x14ac:dyDescent="0.15">
      <c r="T424" s="5"/>
      <c r="V424" s="5"/>
      <c r="AK424" s="5"/>
      <c r="AM424" s="5"/>
    </row>
    <row r="425" spans="20:39" x14ac:dyDescent="0.15">
      <c r="T425" s="5"/>
      <c r="V425" s="5"/>
      <c r="AK425" s="5"/>
      <c r="AM425" s="5"/>
    </row>
    <row r="426" spans="20:39" x14ac:dyDescent="0.15">
      <c r="T426" s="5"/>
      <c r="V426" s="5"/>
      <c r="AK426" s="5"/>
      <c r="AM426" s="5"/>
    </row>
    <row r="427" spans="20:39" x14ac:dyDescent="0.15">
      <c r="T427" s="5"/>
      <c r="V427" s="5"/>
      <c r="AK427" s="5"/>
      <c r="AM427" s="5"/>
    </row>
    <row r="428" spans="20:39" x14ac:dyDescent="0.15">
      <c r="T428" s="5"/>
      <c r="V428" s="5"/>
      <c r="AK428" s="5"/>
      <c r="AM428" s="5"/>
    </row>
    <row r="429" spans="20:39" x14ac:dyDescent="0.15">
      <c r="T429" s="5"/>
      <c r="V429" s="5"/>
      <c r="AK429" s="5"/>
      <c r="AM429" s="5"/>
    </row>
    <row r="430" spans="20:39" x14ac:dyDescent="0.15">
      <c r="T430" s="5"/>
      <c r="V430" s="5"/>
      <c r="AK430" s="5"/>
      <c r="AM430" s="5"/>
    </row>
    <row r="431" spans="20:39" x14ac:dyDescent="0.15">
      <c r="T431" s="5"/>
      <c r="V431" s="5"/>
      <c r="AK431" s="5"/>
      <c r="AM431" s="5"/>
    </row>
    <row r="432" spans="20:39" x14ac:dyDescent="0.15">
      <c r="T432" s="5"/>
      <c r="V432" s="5"/>
      <c r="AK432" s="5"/>
      <c r="AM432" s="5"/>
    </row>
    <row r="433" spans="20:39" x14ac:dyDescent="0.15">
      <c r="T433" s="5"/>
      <c r="V433" s="5"/>
      <c r="AK433" s="5"/>
      <c r="AM433" s="5"/>
    </row>
    <row r="434" spans="20:39" x14ac:dyDescent="0.15">
      <c r="T434" s="5"/>
      <c r="V434" s="5"/>
      <c r="AK434" s="5"/>
      <c r="AM434" s="5"/>
    </row>
    <row r="435" spans="20:39" x14ac:dyDescent="0.15">
      <c r="T435" s="5"/>
      <c r="V435" s="5"/>
      <c r="AK435" s="5"/>
      <c r="AM435" s="5"/>
    </row>
    <row r="436" spans="20:39" x14ac:dyDescent="0.15">
      <c r="T436" s="5"/>
      <c r="V436" s="5"/>
      <c r="AK436" s="5"/>
      <c r="AM436" s="5"/>
    </row>
    <row r="437" spans="20:39" x14ac:dyDescent="0.15">
      <c r="T437" s="5"/>
      <c r="V437" s="5"/>
      <c r="AK437" s="5"/>
      <c r="AM437" s="5"/>
    </row>
    <row r="438" spans="20:39" x14ac:dyDescent="0.15">
      <c r="T438" s="5"/>
      <c r="V438" s="5"/>
      <c r="AK438" s="5"/>
      <c r="AM438" s="5"/>
    </row>
    <row r="439" spans="20:39" x14ac:dyDescent="0.15">
      <c r="T439" s="5"/>
      <c r="V439" s="5"/>
      <c r="AK439" s="5"/>
      <c r="AM439" s="5"/>
    </row>
    <row r="440" spans="20:39" x14ac:dyDescent="0.15">
      <c r="T440" s="5"/>
      <c r="V440" s="5"/>
      <c r="AK440" s="5"/>
      <c r="AM440" s="5"/>
    </row>
    <row r="441" spans="20:39" x14ac:dyDescent="0.15">
      <c r="T441" s="5"/>
      <c r="V441" s="5"/>
      <c r="AK441" s="5"/>
      <c r="AM441" s="5"/>
    </row>
    <row r="442" spans="20:39" x14ac:dyDescent="0.15">
      <c r="T442" s="5"/>
      <c r="V442" s="5"/>
      <c r="AK442" s="5"/>
      <c r="AM442" s="5"/>
    </row>
    <row r="443" spans="20:39" x14ac:dyDescent="0.15">
      <c r="T443" s="5"/>
      <c r="V443" s="5"/>
      <c r="AK443" s="5"/>
      <c r="AM443" s="5"/>
    </row>
    <row r="444" spans="20:39" x14ac:dyDescent="0.15">
      <c r="T444" s="5"/>
      <c r="V444" s="5"/>
      <c r="AK444" s="5"/>
      <c r="AM444" s="5"/>
    </row>
    <row r="445" spans="20:39" x14ac:dyDescent="0.15">
      <c r="T445" s="5"/>
      <c r="V445" s="5"/>
      <c r="AK445" s="5"/>
      <c r="AM445" s="5"/>
    </row>
    <row r="446" spans="20:39" x14ac:dyDescent="0.15">
      <c r="T446" s="5"/>
      <c r="V446" s="5"/>
      <c r="AK446" s="5"/>
      <c r="AM446" s="5"/>
    </row>
    <row r="447" spans="20:39" x14ac:dyDescent="0.15">
      <c r="T447" s="5"/>
      <c r="V447" s="5"/>
      <c r="AK447" s="5"/>
      <c r="AM447" s="5"/>
    </row>
    <row r="448" spans="20:39" x14ac:dyDescent="0.15">
      <c r="T448" s="5"/>
      <c r="V448" s="5"/>
      <c r="AK448" s="5"/>
      <c r="AM448" s="5"/>
    </row>
    <row r="449" spans="20:39" x14ac:dyDescent="0.15">
      <c r="T449" s="5"/>
      <c r="V449" s="5"/>
      <c r="AK449" s="5"/>
      <c r="AM449" s="5"/>
    </row>
    <row r="450" spans="20:39" x14ac:dyDescent="0.15">
      <c r="T450" s="5"/>
      <c r="V450" s="5"/>
      <c r="AK450" s="5"/>
      <c r="AM450" s="5"/>
    </row>
    <row r="451" spans="20:39" x14ac:dyDescent="0.15">
      <c r="T451" s="5"/>
      <c r="V451" s="5"/>
      <c r="AK451" s="5"/>
      <c r="AM451" s="5"/>
    </row>
    <row r="452" spans="20:39" x14ac:dyDescent="0.15">
      <c r="T452" s="5"/>
      <c r="V452" s="5"/>
      <c r="AK452" s="5"/>
      <c r="AM452" s="5"/>
    </row>
    <row r="453" spans="20:39" x14ac:dyDescent="0.15">
      <c r="T453" s="5"/>
      <c r="V453" s="5"/>
      <c r="AK453" s="5"/>
      <c r="AM453" s="5"/>
    </row>
    <row r="454" spans="20:39" x14ac:dyDescent="0.15">
      <c r="T454" s="5"/>
      <c r="V454" s="5"/>
      <c r="AK454" s="5"/>
      <c r="AM454" s="5"/>
    </row>
    <row r="455" spans="20:39" x14ac:dyDescent="0.15">
      <c r="T455" s="5"/>
      <c r="V455" s="5"/>
      <c r="AK455" s="5"/>
      <c r="AM455" s="5"/>
    </row>
    <row r="456" spans="20:39" x14ac:dyDescent="0.15">
      <c r="T456" s="5"/>
      <c r="V456" s="5"/>
      <c r="AK456" s="5"/>
      <c r="AM456" s="5"/>
    </row>
    <row r="457" spans="20:39" x14ac:dyDescent="0.15">
      <c r="T457" s="5"/>
      <c r="V457" s="5"/>
      <c r="AK457" s="5"/>
      <c r="AM457" s="5"/>
    </row>
    <row r="458" spans="20:39" x14ac:dyDescent="0.15">
      <c r="T458" s="5"/>
      <c r="V458" s="5"/>
      <c r="AK458" s="5"/>
      <c r="AM458" s="5"/>
    </row>
    <row r="459" spans="20:39" x14ac:dyDescent="0.15">
      <c r="T459" s="5"/>
      <c r="V459" s="5"/>
      <c r="AK459" s="5"/>
      <c r="AM459" s="5"/>
    </row>
    <row r="460" spans="20:39" x14ac:dyDescent="0.15">
      <c r="T460" s="5"/>
      <c r="V460" s="5"/>
      <c r="AK460" s="5"/>
      <c r="AM460" s="5"/>
    </row>
    <row r="461" spans="20:39" x14ac:dyDescent="0.15">
      <c r="T461" s="5"/>
      <c r="V461" s="5"/>
      <c r="AK461" s="5"/>
      <c r="AM461" s="5"/>
    </row>
    <row r="462" spans="20:39" x14ac:dyDescent="0.15">
      <c r="T462" s="5"/>
      <c r="V462" s="5"/>
      <c r="AK462" s="5"/>
      <c r="AM462" s="5"/>
    </row>
    <row r="463" spans="20:39" x14ac:dyDescent="0.15">
      <c r="T463" s="5"/>
      <c r="V463" s="5"/>
      <c r="AK463" s="5"/>
      <c r="AM463" s="5"/>
    </row>
    <row r="464" spans="20:39" x14ac:dyDescent="0.15">
      <c r="T464" s="5"/>
      <c r="V464" s="5"/>
      <c r="AK464" s="5"/>
      <c r="AM464" s="5"/>
    </row>
    <row r="465" spans="20:39" x14ac:dyDescent="0.15">
      <c r="T465" s="5"/>
      <c r="V465" s="5"/>
      <c r="AK465" s="5"/>
      <c r="AM465" s="5"/>
    </row>
    <row r="466" spans="20:39" x14ac:dyDescent="0.15">
      <c r="T466" s="5"/>
      <c r="V466" s="5"/>
      <c r="AK466" s="5"/>
      <c r="AM466" s="5"/>
    </row>
    <row r="467" spans="20:39" x14ac:dyDescent="0.15">
      <c r="T467" s="5"/>
      <c r="V467" s="5"/>
      <c r="AK467" s="5"/>
      <c r="AM467" s="5"/>
    </row>
    <row r="468" spans="20:39" x14ac:dyDescent="0.15">
      <c r="T468" s="5"/>
      <c r="V468" s="5"/>
      <c r="AK468" s="5"/>
      <c r="AM468" s="5"/>
    </row>
    <row r="469" spans="20:39" x14ac:dyDescent="0.15">
      <c r="T469" s="5"/>
      <c r="V469" s="5"/>
      <c r="AK469" s="5"/>
      <c r="AM469" s="5"/>
    </row>
    <row r="470" spans="20:39" x14ac:dyDescent="0.15">
      <c r="T470" s="5"/>
      <c r="V470" s="5"/>
      <c r="AK470" s="5"/>
      <c r="AM470" s="5"/>
    </row>
    <row r="471" spans="20:39" x14ac:dyDescent="0.15">
      <c r="T471" s="5"/>
      <c r="V471" s="5"/>
      <c r="AK471" s="5"/>
      <c r="AM471" s="5"/>
    </row>
    <row r="472" spans="20:39" x14ac:dyDescent="0.15">
      <c r="T472" s="5"/>
      <c r="V472" s="5"/>
      <c r="AK472" s="5"/>
      <c r="AM472" s="5"/>
    </row>
    <row r="473" spans="20:39" x14ac:dyDescent="0.15">
      <c r="T473" s="5"/>
      <c r="V473" s="5"/>
      <c r="AK473" s="5"/>
      <c r="AM473" s="5"/>
    </row>
    <row r="474" spans="20:39" x14ac:dyDescent="0.15">
      <c r="T474" s="5"/>
      <c r="V474" s="5"/>
      <c r="AK474" s="5"/>
      <c r="AM474" s="5"/>
    </row>
    <row r="475" spans="20:39" x14ac:dyDescent="0.15">
      <c r="T475" s="5"/>
      <c r="V475" s="5"/>
      <c r="AK475" s="5"/>
      <c r="AM475" s="5"/>
    </row>
    <row r="476" spans="20:39" x14ac:dyDescent="0.15">
      <c r="T476" s="5"/>
      <c r="V476" s="5"/>
      <c r="AK476" s="5"/>
      <c r="AM476" s="5"/>
    </row>
    <row r="477" spans="20:39" x14ac:dyDescent="0.15">
      <c r="T477" s="5"/>
      <c r="V477" s="5"/>
      <c r="AK477" s="5"/>
      <c r="AM477" s="5"/>
    </row>
    <row r="478" spans="20:39" x14ac:dyDescent="0.15">
      <c r="T478" s="5"/>
      <c r="V478" s="5"/>
      <c r="AK478" s="5"/>
      <c r="AM478" s="5"/>
    </row>
    <row r="479" spans="20:39" x14ac:dyDescent="0.15">
      <c r="T479" s="5"/>
      <c r="V479" s="5"/>
      <c r="AK479" s="5"/>
      <c r="AM479" s="5"/>
    </row>
    <row r="480" spans="20:39" x14ac:dyDescent="0.15">
      <c r="T480" s="5"/>
      <c r="V480" s="5"/>
      <c r="AK480" s="5"/>
      <c r="AM480" s="5"/>
    </row>
    <row r="481" spans="20:39" x14ac:dyDescent="0.15">
      <c r="T481" s="5"/>
      <c r="V481" s="5"/>
      <c r="AK481" s="5"/>
      <c r="AM481" s="5"/>
    </row>
    <row r="482" spans="20:39" x14ac:dyDescent="0.15">
      <c r="T482" s="5"/>
      <c r="V482" s="5"/>
      <c r="AK482" s="5"/>
      <c r="AM482" s="5"/>
    </row>
    <row r="483" spans="20:39" x14ac:dyDescent="0.15">
      <c r="T483" s="5"/>
      <c r="V483" s="5"/>
      <c r="AK483" s="5"/>
      <c r="AM483" s="5"/>
    </row>
    <row r="484" spans="20:39" x14ac:dyDescent="0.15">
      <c r="T484" s="5"/>
      <c r="V484" s="5"/>
      <c r="AK484" s="5"/>
      <c r="AM484" s="5"/>
    </row>
    <row r="485" spans="20:39" x14ac:dyDescent="0.15">
      <c r="T485" s="5"/>
      <c r="V485" s="5"/>
      <c r="AK485" s="5"/>
      <c r="AM485" s="5"/>
    </row>
    <row r="486" spans="20:39" x14ac:dyDescent="0.15">
      <c r="T486" s="5"/>
      <c r="V486" s="5"/>
      <c r="AK486" s="5"/>
      <c r="AM486" s="5"/>
    </row>
    <row r="487" spans="20:39" x14ac:dyDescent="0.15">
      <c r="T487" s="5"/>
      <c r="V487" s="5"/>
      <c r="AK487" s="5"/>
      <c r="AM487" s="5"/>
    </row>
    <row r="488" spans="20:39" x14ac:dyDescent="0.15">
      <c r="T488" s="5"/>
      <c r="V488" s="5"/>
      <c r="AK488" s="5"/>
      <c r="AM488" s="5"/>
    </row>
    <row r="489" spans="20:39" x14ac:dyDescent="0.15">
      <c r="T489" s="5"/>
      <c r="V489" s="5"/>
      <c r="AK489" s="5"/>
      <c r="AM489" s="5"/>
    </row>
    <row r="490" spans="20:39" x14ac:dyDescent="0.15">
      <c r="T490" s="5"/>
      <c r="V490" s="5"/>
      <c r="AK490" s="5"/>
      <c r="AM490" s="5"/>
    </row>
    <row r="491" spans="20:39" x14ac:dyDescent="0.15">
      <c r="T491" s="5"/>
      <c r="V491" s="5"/>
      <c r="AK491" s="5"/>
      <c r="AM491" s="5"/>
    </row>
    <row r="492" spans="20:39" x14ac:dyDescent="0.15">
      <c r="T492" s="5"/>
      <c r="V492" s="5"/>
      <c r="AK492" s="5"/>
      <c r="AM492" s="5"/>
    </row>
    <row r="493" spans="20:39" x14ac:dyDescent="0.15">
      <c r="T493" s="5"/>
      <c r="V493" s="5"/>
      <c r="AK493" s="5"/>
      <c r="AM493" s="5"/>
    </row>
    <row r="494" spans="20:39" x14ac:dyDescent="0.15">
      <c r="T494" s="5"/>
      <c r="V494" s="5"/>
      <c r="AK494" s="5"/>
      <c r="AM494" s="5"/>
    </row>
    <row r="495" spans="20:39" x14ac:dyDescent="0.15">
      <c r="T495" s="5"/>
      <c r="V495" s="5"/>
      <c r="AK495" s="5"/>
      <c r="AM495" s="5"/>
    </row>
    <row r="496" spans="20:39" x14ac:dyDescent="0.15">
      <c r="T496" s="5"/>
      <c r="V496" s="5"/>
      <c r="AK496" s="5"/>
      <c r="AM496" s="5"/>
    </row>
    <row r="497" spans="20:39" x14ac:dyDescent="0.15">
      <c r="T497" s="5"/>
      <c r="V497" s="5"/>
      <c r="AK497" s="5"/>
      <c r="AM497" s="5"/>
    </row>
    <row r="498" spans="20:39" x14ac:dyDescent="0.15">
      <c r="T498" s="5"/>
      <c r="V498" s="5"/>
      <c r="AK498" s="5"/>
      <c r="AM498" s="5"/>
    </row>
    <row r="499" spans="20:39" x14ac:dyDescent="0.15">
      <c r="T499" s="5"/>
      <c r="V499" s="5"/>
      <c r="AK499" s="5"/>
      <c r="AM499" s="5"/>
    </row>
    <row r="500" spans="20:39" x14ac:dyDescent="0.15">
      <c r="T500" s="5"/>
      <c r="V500" s="5"/>
      <c r="AK500" s="5"/>
      <c r="AM500" s="5"/>
    </row>
    <row r="501" spans="20:39" x14ac:dyDescent="0.15">
      <c r="T501" s="5"/>
      <c r="V501" s="5"/>
      <c r="AK501" s="5"/>
      <c r="AM501" s="5"/>
    </row>
    <row r="502" spans="20:39" x14ac:dyDescent="0.15">
      <c r="T502" s="5"/>
      <c r="V502" s="5"/>
      <c r="AK502" s="5"/>
      <c r="AM502" s="5"/>
    </row>
    <row r="503" spans="20:39" x14ac:dyDescent="0.15">
      <c r="T503" s="5"/>
      <c r="V503" s="5"/>
      <c r="AK503" s="5"/>
      <c r="AM503" s="5"/>
    </row>
    <row r="504" spans="20:39" x14ac:dyDescent="0.15">
      <c r="T504" s="5"/>
      <c r="V504" s="5"/>
      <c r="AK504" s="5"/>
      <c r="AM504" s="5"/>
    </row>
    <row r="505" spans="20:39" x14ac:dyDescent="0.15">
      <c r="T505" s="5"/>
      <c r="V505" s="5"/>
      <c r="AK505" s="5"/>
      <c r="AM505" s="5"/>
    </row>
    <row r="506" spans="20:39" x14ac:dyDescent="0.15">
      <c r="T506" s="5"/>
      <c r="V506" s="5"/>
      <c r="AK506" s="5"/>
      <c r="AM506" s="5"/>
    </row>
    <row r="507" spans="20:39" x14ac:dyDescent="0.15">
      <c r="T507" s="5"/>
      <c r="V507" s="5"/>
      <c r="AK507" s="5"/>
      <c r="AM507" s="5"/>
    </row>
    <row r="508" spans="20:39" x14ac:dyDescent="0.15">
      <c r="T508" s="5"/>
      <c r="V508" s="5"/>
      <c r="AK508" s="5"/>
      <c r="AM508" s="5"/>
    </row>
    <row r="509" spans="20:39" x14ac:dyDescent="0.15">
      <c r="T509" s="5"/>
      <c r="V509" s="5"/>
      <c r="AK509" s="5"/>
      <c r="AM509" s="5"/>
    </row>
    <row r="510" spans="20:39" x14ac:dyDescent="0.15">
      <c r="T510" s="5"/>
      <c r="V510" s="5"/>
      <c r="AK510" s="5"/>
      <c r="AM510" s="5"/>
    </row>
    <row r="511" spans="20:39" x14ac:dyDescent="0.15">
      <c r="T511" s="5"/>
      <c r="V511" s="5"/>
      <c r="AK511" s="5"/>
      <c r="AM511" s="5"/>
    </row>
    <row r="512" spans="20:39" x14ac:dyDescent="0.15">
      <c r="T512" s="5"/>
      <c r="V512" s="5"/>
      <c r="AK512" s="5"/>
      <c r="AM512" s="5"/>
    </row>
    <row r="513" spans="20:39" x14ac:dyDescent="0.15">
      <c r="T513" s="5"/>
      <c r="V513" s="5"/>
      <c r="AK513" s="5"/>
      <c r="AM513" s="5"/>
    </row>
    <row r="514" spans="20:39" x14ac:dyDescent="0.15">
      <c r="T514" s="5"/>
      <c r="V514" s="5"/>
      <c r="AK514" s="5"/>
      <c r="AM514" s="5"/>
    </row>
    <row r="515" spans="20:39" x14ac:dyDescent="0.15">
      <c r="T515" s="5"/>
      <c r="V515" s="5"/>
      <c r="AK515" s="5"/>
      <c r="AM515" s="5"/>
    </row>
    <row r="516" spans="20:39" x14ac:dyDescent="0.15">
      <c r="T516" s="5"/>
      <c r="V516" s="5"/>
      <c r="AK516" s="5"/>
      <c r="AM516" s="5"/>
    </row>
    <row r="517" spans="20:39" x14ac:dyDescent="0.15">
      <c r="T517" s="5"/>
      <c r="V517" s="5"/>
      <c r="AK517" s="5"/>
      <c r="AM517" s="5"/>
    </row>
    <row r="518" spans="20:39" x14ac:dyDescent="0.15">
      <c r="T518" s="5"/>
      <c r="V518" s="5"/>
      <c r="AK518" s="5"/>
      <c r="AM518" s="5"/>
    </row>
    <row r="519" spans="20:39" x14ac:dyDescent="0.15">
      <c r="T519" s="5"/>
      <c r="V519" s="5"/>
      <c r="AK519" s="5"/>
      <c r="AM519" s="5"/>
    </row>
    <row r="520" spans="20:39" x14ac:dyDescent="0.15">
      <c r="T520" s="5"/>
      <c r="V520" s="5"/>
      <c r="AK520" s="5"/>
      <c r="AM520" s="5"/>
    </row>
    <row r="521" spans="20:39" x14ac:dyDescent="0.15">
      <c r="T521" s="5"/>
      <c r="V521" s="5"/>
      <c r="AK521" s="5"/>
      <c r="AM521" s="5"/>
    </row>
    <row r="522" spans="20:39" x14ac:dyDescent="0.15">
      <c r="T522" s="5"/>
      <c r="V522" s="5"/>
      <c r="AK522" s="5"/>
      <c r="AM522" s="5"/>
    </row>
    <row r="523" spans="20:39" x14ac:dyDescent="0.15">
      <c r="T523" s="5"/>
      <c r="V523" s="5"/>
      <c r="AK523" s="5"/>
      <c r="AM523" s="5"/>
    </row>
    <row r="524" spans="20:39" x14ac:dyDescent="0.15">
      <c r="T524" s="5"/>
      <c r="V524" s="5"/>
      <c r="AK524" s="5"/>
      <c r="AM524" s="5"/>
    </row>
    <row r="525" spans="20:39" x14ac:dyDescent="0.15">
      <c r="T525" s="5"/>
      <c r="V525" s="5"/>
      <c r="AK525" s="5"/>
      <c r="AM525" s="5"/>
    </row>
    <row r="526" spans="20:39" x14ac:dyDescent="0.15">
      <c r="T526" s="5"/>
      <c r="V526" s="5"/>
      <c r="AK526" s="5"/>
      <c r="AM526" s="5"/>
    </row>
    <row r="527" spans="20:39" x14ac:dyDescent="0.15">
      <c r="T527" s="5"/>
      <c r="V527" s="5"/>
      <c r="AK527" s="5"/>
      <c r="AM527" s="5"/>
    </row>
    <row r="528" spans="20:39" x14ac:dyDescent="0.15">
      <c r="T528" s="5"/>
      <c r="V528" s="5"/>
      <c r="AK528" s="5"/>
      <c r="AM528" s="5"/>
    </row>
    <row r="529" spans="20:39" x14ac:dyDescent="0.15">
      <c r="T529" s="5"/>
      <c r="V529" s="5"/>
      <c r="AK529" s="5"/>
      <c r="AM529" s="5"/>
    </row>
    <row r="530" spans="20:39" x14ac:dyDescent="0.15">
      <c r="T530" s="5"/>
      <c r="V530" s="5"/>
      <c r="AK530" s="5"/>
      <c r="AM530" s="5"/>
    </row>
    <row r="531" spans="20:39" x14ac:dyDescent="0.15">
      <c r="T531" s="5"/>
      <c r="V531" s="5"/>
      <c r="AK531" s="5"/>
      <c r="AM531" s="5"/>
    </row>
    <row r="532" spans="20:39" x14ac:dyDescent="0.15">
      <c r="T532" s="5"/>
      <c r="V532" s="5"/>
      <c r="AK532" s="5"/>
      <c r="AM532" s="5"/>
    </row>
    <row r="533" spans="20:39" x14ac:dyDescent="0.15">
      <c r="T533" s="5"/>
      <c r="V533" s="5"/>
      <c r="AK533" s="5"/>
      <c r="AM533" s="5"/>
    </row>
    <row r="534" spans="20:39" x14ac:dyDescent="0.15">
      <c r="T534" s="5"/>
      <c r="V534" s="5"/>
      <c r="AK534" s="5"/>
      <c r="AM534" s="5"/>
    </row>
    <row r="535" spans="20:39" x14ac:dyDescent="0.15">
      <c r="T535" s="5"/>
      <c r="V535" s="5"/>
      <c r="AK535" s="5"/>
      <c r="AM535" s="5"/>
    </row>
    <row r="536" spans="20:39" x14ac:dyDescent="0.15">
      <c r="T536" s="5"/>
      <c r="V536" s="5"/>
      <c r="AK536" s="5"/>
      <c r="AM536" s="5"/>
    </row>
    <row r="537" spans="20:39" x14ac:dyDescent="0.15">
      <c r="T537" s="5"/>
      <c r="V537" s="5"/>
      <c r="AK537" s="5"/>
      <c r="AM537" s="5"/>
    </row>
    <row r="538" spans="20:39" x14ac:dyDescent="0.15">
      <c r="T538" s="5"/>
      <c r="V538" s="5"/>
      <c r="AK538" s="5"/>
      <c r="AM538" s="5"/>
    </row>
    <row r="539" spans="20:39" x14ac:dyDescent="0.15">
      <c r="T539" s="5"/>
      <c r="V539" s="5"/>
      <c r="AK539" s="5"/>
      <c r="AM539" s="5"/>
    </row>
    <row r="540" spans="20:39" x14ac:dyDescent="0.15">
      <c r="T540" s="5"/>
      <c r="V540" s="5"/>
      <c r="AK540" s="5"/>
      <c r="AM540" s="5"/>
    </row>
    <row r="541" spans="20:39" x14ac:dyDescent="0.15">
      <c r="T541" s="5"/>
      <c r="V541" s="5"/>
      <c r="AK541" s="5"/>
      <c r="AM541" s="5"/>
    </row>
    <row r="542" spans="20:39" x14ac:dyDescent="0.15">
      <c r="T542" s="5"/>
      <c r="V542" s="5"/>
      <c r="AK542" s="5"/>
      <c r="AM542" s="5"/>
    </row>
    <row r="543" spans="20:39" x14ac:dyDescent="0.15">
      <c r="T543" s="5"/>
      <c r="V543" s="5"/>
      <c r="AK543" s="5"/>
      <c r="AM543" s="5"/>
    </row>
    <row r="544" spans="20:39" x14ac:dyDescent="0.15">
      <c r="T544" s="5"/>
      <c r="V544" s="5"/>
      <c r="AK544" s="5"/>
      <c r="AM544" s="5"/>
    </row>
    <row r="545" spans="20:39" x14ac:dyDescent="0.15">
      <c r="T545" s="5"/>
      <c r="V545" s="5"/>
      <c r="AK545" s="5"/>
      <c r="AM545" s="5"/>
    </row>
    <row r="546" spans="20:39" x14ac:dyDescent="0.15">
      <c r="T546" s="5"/>
      <c r="V546" s="5"/>
      <c r="AK546" s="5"/>
      <c r="AM546" s="5"/>
    </row>
    <row r="547" spans="20:39" x14ac:dyDescent="0.15">
      <c r="T547" s="5"/>
      <c r="V547" s="5"/>
      <c r="AK547" s="5"/>
      <c r="AM547" s="5"/>
    </row>
    <row r="548" spans="20:39" x14ac:dyDescent="0.15">
      <c r="T548" s="5"/>
      <c r="V548" s="5"/>
      <c r="AK548" s="5"/>
      <c r="AM548" s="5"/>
    </row>
    <row r="549" spans="20:39" x14ac:dyDescent="0.15">
      <c r="T549" s="5"/>
      <c r="V549" s="5"/>
      <c r="AK549" s="5"/>
      <c r="AM549" s="5"/>
    </row>
    <row r="550" spans="20:39" x14ac:dyDescent="0.15">
      <c r="T550" s="5"/>
      <c r="V550" s="5"/>
      <c r="AK550" s="5"/>
      <c r="AM550" s="5"/>
    </row>
    <row r="551" spans="20:39" x14ac:dyDescent="0.15">
      <c r="T551" s="5"/>
      <c r="V551" s="5"/>
      <c r="AK551" s="5"/>
      <c r="AM551" s="5"/>
    </row>
    <row r="552" spans="20:39" x14ac:dyDescent="0.15">
      <c r="T552" s="5"/>
      <c r="V552" s="5"/>
      <c r="AK552" s="5"/>
      <c r="AM552" s="5"/>
    </row>
    <row r="553" spans="20:39" x14ac:dyDescent="0.15">
      <c r="T553" s="5"/>
      <c r="V553" s="5"/>
      <c r="AK553" s="5"/>
      <c r="AM553" s="5"/>
    </row>
    <row r="554" spans="20:39" x14ac:dyDescent="0.15">
      <c r="T554" s="5"/>
      <c r="V554" s="5"/>
      <c r="AK554" s="5"/>
      <c r="AM554" s="5"/>
    </row>
    <row r="555" spans="20:39" x14ac:dyDescent="0.15">
      <c r="T555" s="5"/>
      <c r="V555" s="5"/>
      <c r="AK555" s="5"/>
      <c r="AM555" s="5"/>
    </row>
    <row r="556" spans="20:39" x14ac:dyDescent="0.15">
      <c r="T556" s="5"/>
      <c r="V556" s="5"/>
      <c r="AK556" s="5"/>
      <c r="AM556" s="5"/>
    </row>
    <row r="557" spans="20:39" x14ac:dyDescent="0.15">
      <c r="T557" s="5"/>
      <c r="V557" s="5"/>
      <c r="AK557" s="5"/>
      <c r="AM557" s="5"/>
    </row>
    <row r="558" spans="20:39" x14ac:dyDescent="0.15">
      <c r="T558" s="5"/>
      <c r="V558" s="5"/>
      <c r="AK558" s="5"/>
      <c r="AM558" s="5"/>
    </row>
    <row r="559" spans="20:39" x14ac:dyDescent="0.15">
      <c r="T559" s="5"/>
      <c r="V559" s="5"/>
      <c r="AK559" s="5"/>
      <c r="AM559" s="5"/>
    </row>
    <row r="560" spans="20:39" x14ac:dyDescent="0.15">
      <c r="T560" s="5"/>
      <c r="V560" s="5"/>
      <c r="AK560" s="5"/>
      <c r="AM560" s="5"/>
    </row>
    <row r="561" spans="20:39" x14ac:dyDescent="0.15">
      <c r="T561" s="5"/>
      <c r="V561" s="5"/>
      <c r="AK561" s="5"/>
      <c r="AM561" s="5"/>
    </row>
    <row r="562" spans="20:39" x14ac:dyDescent="0.15">
      <c r="T562" s="5"/>
      <c r="V562" s="5"/>
      <c r="AK562" s="5"/>
      <c r="AM562" s="5"/>
    </row>
    <row r="563" spans="20:39" x14ac:dyDescent="0.15">
      <c r="T563" s="5"/>
      <c r="V563" s="5"/>
      <c r="AK563" s="5"/>
      <c r="AM563" s="5"/>
    </row>
    <row r="564" spans="20:39" x14ac:dyDescent="0.15">
      <c r="T564" s="5"/>
      <c r="V564" s="5"/>
      <c r="AK564" s="5"/>
      <c r="AM564" s="5"/>
    </row>
    <row r="565" spans="20:39" x14ac:dyDescent="0.15">
      <c r="T565" s="5"/>
      <c r="V565" s="5"/>
      <c r="AK565" s="5"/>
      <c r="AM565" s="5"/>
    </row>
    <row r="566" spans="20:39" x14ac:dyDescent="0.15">
      <c r="T566" s="5"/>
      <c r="V566" s="5"/>
      <c r="AK566" s="5"/>
      <c r="AM566" s="5"/>
    </row>
    <row r="567" spans="20:39" x14ac:dyDescent="0.15">
      <c r="T567" s="5"/>
      <c r="V567" s="5"/>
      <c r="AK567" s="5"/>
      <c r="AM567" s="5"/>
    </row>
    <row r="568" spans="20:39" x14ac:dyDescent="0.15">
      <c r="T568" s="5"/>
      <c r="V568" s="5"/>
      <c r="AK568" s="5"/>
      <c r="AM568" s="5"/>
    </row>
    <row r="569" spans="20:39" x14ac:dyDescent="0.15">
      <c r="T569" s="5"/>
      <c r="V569" s="5"/>
      <c r="AK569" s="5"/>
      <c r="AM569" s="5"/>
    </row>
    <row r="570" spans="20:39" x14ac:dyDescent="0.15">
      <c r="T570" s="5"/>
      <c r="V570" s="5"/>
      <c r="AK570" s="5"/>
      <c r="AM570" s="5"/>
    </row>
    <row r="571" spans="20:39" x14ac:dyDescent="0.15">
      <c r="T571" s="5"/>
      <c r="V571" s="5"/>
      <c r="AK571" s="5"/>
      <c r="AM571" s="5"/>
    </row>
    <row r="572" spans="20:39" x14ac:dyDescent="0.15">
      <c r="T572" s="5"/>
      <c r="V572" s="5"/>
      <c r="AK572" s="5"/>
      <c r="AM572" s="5"/>
    </row>
    <row r="573" spans="20:39" x14ac:dyDescent="0.15">
      <c r="T573" s="5"/>
      <c r="V573" s="5"/>
      <c r="AK573" s="5"/>
      <c r="AM573" s="5"/>
    </row>
    <row r="574" spans="20:39" x14ac:dyDescent="0.15">
      <c r="T574" s="5"/>
      <c r="V574" s="5"/>
      <c r="AK574" s="5"/>
      <c r="AM574" s="5"/>
    </row>
    <row r="575" spans="20:39" x14ac:dyDescent="0.15">
      <c r="T575" s="5"/>
      <c r="V575" s="5"/>
      <c r="AK575" s="5"/>
      <c r="AM575" s="5"/>
    </row>
    <row r="576" spans="20:39" x14ac:dyDescent="0.15">
      <c r="T576" s="5"/>
      <c r="V576" s="5"/>
      <c r="AK576" s="5"/>
      <c r="AM576" s="5"/>
    </row>
    <row r="577" spans="20:39" x14ac:dyDescent="0.15">
      <c r="T577" s="5"/>
      <c r="V577" s="5"/>
      <c r="AK577" s="5"/>
      <c r="AM577" s="5"/>
    </row>
    <row r="578" spans="20:39" x14ac:dyDescent="0.15">
      <c r="T578" s="5"/>
      <c r="V578" s="5"/>
      <c r="AK578" s="5"/>
      <c r="AM578" s="5"/>
    </row>
    <row r="579" spans="20:39" x14ac:dyDescent="0.15">
      <c r="T579" s="5"/>
      <c r="V579" s="5"/>
      <c r="AK579" s="5"/>
      <c r="AM579" s="5"/>
    </row>
    <row r="580" spans="20:39" x14ac:dyDescent="0.15">
      <c r="T580" s="5"/>
      <c r="V580" s="5"/>
      <c r="AK580" s="5"/>
      <c r="AM580" s="5"/>
    </row>
    <row r="581" spans="20:39" x14ac:dyDescent="0.15">
      <c r="T581" s="5"/>
      <c r="V581" s="5"/>
      <c r="AK581" s="5"/>
      <c r="AM581" s="5"/>
    </row>
    <row r="582" spans="20:39" x14ac:dyDescent="0.15">
      <c r="T582" s="5"/>
      <c r="V582" s="5"/>
      <c r="AK582" s="5"/>
      <c r="AM582" s="5"/>
    </row>
    <row r="583" spans="20:39" x14ac:dyDescent="0.15">
      <c r="T583" s="5"/>
      <c r="V583" s="5"/>
      <c r="AK583" s="5"/>
      <c r="AM583" s="5"/>
    </row>
    <row r="584" spans="20:39" x14ac:dyDescent="0.15">
      <c r="T584" s="5"/>
      <c r="V584" s="5"/>
      <c r="AK584" s="5"/>
      <c r="AM584" s="5"/>
    </row>
    <row r="585" spans="20:39" x14ac:dyDescent="0.15">
      <c r="T585" s="5"/>
      <c r="V585" s="5"/>
      <c r="AK585" s="5"/>
      <c r="AM585" s="5"/>
    </row>
    <row r="586" spans="20:39" x14ac:dyDescent="0.15">
      <c r="T586" s="5"/>
      <c r="V586" s="5"/>
      <c r="AK586" s="5"/>
      <c r="AM586" s="5"/>
    </row>
    <row r="587" spans="20:39" x14ac:dyDescent="0.15">
      <c r="T587" s="5"/>
      <c r="V587" s="5"/>
      <c r="AK587" s="5"/>
      <c r="AM587" s="5"/>
    </row>
    <row r="588" spans="20:39" x14ac:dyDescent="0.15">
      <c r="T588" s="5"/>
      <c r="V588" s="5"/>
      <c r="AK588" s="5"/>
      <c r="AM588" s="5"/>
    </row>
    <row r="589" spans="20:39" x14ac:dyDescent="0.15">
      <c r="T589" s="5"/>
      <c r="V589" s="5"/>
      <c r="AK589" s="5"/>
      <c r="AM589" s="5"/>
    </row>
    <row r="590" spans="20:39" x14ac:dyDescent="0.15">
      <c r="T590" s="5"/>
      <c r="V590" s="5"/>
      <c r="AK590" s="5"/>
      <c r="AM590" s="5"/>
    </row>
    <row r="591" spans="20:39" x14ac:dyDescent="0.15">
      <c r="T591" s="5"/>
      <c r="V591" s="5"/>
      <c r="AK591" s="5"/>
      <c r="AM591" s="5"/>
    </row>
    <row r="592" spans="20:39" x14ac:dyDescent="0.15">
      <c r="T592" s="5"/>
      <c r="V592" s="5"/>
      <c r="AK592" s="5"/>
      <c r="AM592" s="5"/>
    </row>
    <row r="593" spans="20:39" x14ac:dyDescent="0.15">
      <c r="T593" s="5"/>
      <c r="V593" s="5"/>
      <c r="AK593" s="5"/>
      <c r="AM593" s="5"/>
    </row>
    <row r="594" spans="20:39" x14ac:dyDescent="0.15">
      <c r="T594" s="5"/>
      <c r="V594" s="5"/>
      <c r="AK594" s="5"/>
      <c r="AM594" s="5"/>
    </row>
    <row r="595" spans="20:39" x14ac:dyDescent="0.15">
      <c r="T595" s="5"/>
      <c r="V595" s="5"/>
      <c r="AK595" s="5"/>
      <c r="AM595" s="5"/>
    </row>
    <row r="596" spans="20:39" x14ac:dyDescent="0.15">
      <c r="T596" s="5"/>
      <c r="V596" s="5"/>
      <c r="AK596" s="5"/>
      <c r="AM596" s="5"/>
    </row>
    <row r="597" spans="20:39" x14ac:dyDescent="0.15">
      <c r="T597" s="5"/>
      <c r="V597" s="5"/>
      <c r="AK597" s="5"/>
      <c r="AM597" s="5"/>
    </row>
    <row r="598" spans="20:39" x14ac:dyDescent="0.15">
      <c r="T598" s="5"/>
      <c r="V598" s="5"/>
      <c r="AK598" s="5"/>
      <c r="AM598" s="5"/>
    </row>
    <row r="599" spans="20:39" x14ac:dyDescent="0.15">
      <c r="T599" s="5"/>
      <c r="V599" s="5"/>
      <c r="AK599" s="5"/>
      <c r="AM599" s="5"/>
    </row>
    <row r="600" spans="20:39" x14ac:dyDescent="0.15">
      <c r="T600" s="5"/>
      <c r="V600" s="5"/>
      <c r="AK600" s="5"/>
      <c r="AM600" s="5"/>
    </row>
    <row r="601" spans="20:39" x14ac:dyDescent="0.15">
      <c r="T601" s="5"/>
      <c r="V601" s="5"/>
      <c r="AK601" s="5"/>
      <c r="AM601" s="5"/>
    </row>
    <row r="602" spans="20:39" x14ac:dyDescent="0.15">
      <c r="T602" s="5"/>
      <c r="V602" s="5"/>
      <c r="AK602" s="5"/>
      <c r="AM602" s="5"/>
    </row>
    <row r="603" spans="20:39" x14ac:dyDescent="0.15">
      <c r="T603" s="5"/>
      <c r="V603" s="5"/>
      <c r="AK603" s="5"/>
      <c r="AM603" s="5"/>
    </row>
    <row r="604" spans="20:39" x14ac:dyDescent="0.15">
      <c r="T604" s="5"/>
      <c r="V604" s="5"/>
      <c r="AK604" s="5"/>
      <c r="AM604" s="5"/>
    </row>
    <row r="605" spans="20:39" x14ac:dyDescent="0.15">
      <c r="T605" s="5"/>
      <c r="V605" s="5"/>
      <c r="AK605" s="5"/>
      <c r="AM605" s="5"/>
    </row>
    <row r="606" spans="20:39" x14ac:dyDescent="0.15">
      <c r="T606" s="5"/>
      <c r="V606" s="5"/>
      <c r="AK606" s="5"/>
      <c r="AM606" s="5"/>
    </row>
    <row r="607" spans="20:39" x14ac:dyDescent="0.15">
      <c r="T607" s="5"/>
      <c r="V607" s="5"/>
      <c r="AK607" s="5"/>
      <c r="AM607" s="5"/>
    </row>
    <row r="608" spans="20:39" x14ac:dyDescent="0.15">
      <c r="T608" s="5"/>
      <c r="V608" s="5"/>
      <c r="AK608" s="5"/>
      <c r="AM608" s="5"/>
    </row>
    <row r="609" spans="20:39" x14ac:dyDescent="0.15">
      <c r="T609" s="5"/>
      <c r="V609" s="5"/>
      <c r="AK609" s="5"/>
      <c r="AM609" s="5"/>
    </row>
    <row r="610" spans="20:39" x14ac:dyDescent="0.15">
      <c r="T610" s="5"/>
      <c r="V610" s="5"/>
      <c r="AK610" s="5"/>
      <c r="AM610" s="5"/>
    </row>
    <row r="611" spans="20:39" x14ac:dyDescent="0.15">
      <c r="T611" s="5"/>
      <c r="V611" s="5"/>
      <c r="AK611" s="5"/>
      <c r="AM611" s="5"/>
    </row>
    <row r="612" spans="20:39" x14ac:dyDescent="0.15">
      <c r="T612" s="5"/>
      <c r="V612" s="5"/>
      <c r="AK612" s="5"/>
      <c r="AM612" s="5"/>
    </row>
    <row r="613" spans="20:39" x14ac:dyDescent="0.15">
      <c r="T613" s="5"/>
      <c r="V613" s="5"/>
      <c r="AK613" s="5"/>
      <c r="AM613" s="5"/>
    </row>
    <row r="614" spans="20:39" x14ac:dyDescent="0.15">
      <c r="T614" s="5"/>
      <c r="V614" s="5"/>
      <c r="AK614" s="5"/>
      <c r="AM614" s="5"/>
    </row>
    <row r="615" spans="20:39" x14ac:dyDescent="0.15">
      <c r="T615" s="5"/>
      <c r="V615" s="5"/>
      <c r="AK615" s="5"/>
      <c r="AM615" s="5"/>
    </row>
    <row r="616" spans="20:39" x14ac:dyDescent="0.15">
      <c r="T616" s="5"/>
      <c r="V616" s="5"/>
      <c r="AK616" s="5"/>
      <c r="AM616" s="5"/>
    </row>
    <row r="617" spans="20:39" x14ac:dyDescent="0.15">
      <c r="T617" s="5"/>
      <c r="V617" s="5"/>
      <c r="AK617" s="5"/>
      <c r="AM617" s="5"/>
    </row>
    <row r="618" spans="20:39" x14ac:dyDescent="0.15">
      <c r="T618" s="5"/>
      <c r="V618" s="5"/>
      <c r="AK618" s="5"/>
      <c r="AM618" s="5"/>
    </row>
    <row r="619" spans="20:39" x14ac:dyDescent="0.15">
      <c r="T619" s="5"/>
      <c r="V619" s="5"/>
      <c r="AK619" s="5"/>
      <c r="AM619" s="5"/>
    </row>
    <row r="620" spans="20:39" x14ac:dyDescent="0.15">
      <c r="T620" s="5"/>
      <c r="V620" s="5"/>
      <c r="AK620" s="5"/>
      <c r="AM620" s="5"/>
    </row>
    <row r="621" spans="20:39" x14ac:dyDescent="0.15">
      <c r="T621" s="5"/>
      <c r="V621" s="5"/>
      <c r="AK621" s="5"/>
      <c r="AM621" s="5"/>
    </row>
    <row r="622" spans="20:39" x14ac:dyDescent="0.15">
      <c r="T622" s="5"/>
      <c r="V622" s="5"/>
      <c r="AK622" s="5"/>
      <c r="AM622" s="5"/>
    </row>
    <row r="623" spans="20:39" x14ac:dyDescent="0.15">
      <c r="T623" s="5"/>
      <c r="V623" s="5"/>
      <c r="AK623" s="5"/>
      <c r="AM623" s="5"/>
    </row>
    <row r="624" spans="20:39" x14ac:dyDescent="0.15">
      <c r="T624" s="5"/>
      <c r="V624" s="5"/>
      <c r="AK624" s="5"/>
      <c r="AM624" s="5"/>
    </row>
    <row r="625" spans="20:39" x14ac:dyDescent="0.15">
      <c r="T625" s="5"/>
      <c r="V625" s="5"/>
      <c r="AK625" s="5"/>
      <c r="AM625" s="5"/>
    </row>
    <row r="626" spans="20:39" x14ac:dyDescent="0.15">
      <c r="T626" s="5"/>
      <c r="V626" s="5"/>
      <c r="AK626" s="5"/>
      <c r="AM626" s="5"/>
    </row>
    <row r="627" spans="20:39" x14ac:dyDescent="0.15">
      <c r="T627" s="5"/>
      <c r="V627" s="5"/>
      <c r="AK627" s="5"/>
      <c r="AM627" s="5"/>
    </row>
    <row r="628" spans="20:39" x14ac:dyDescent="0.15">
      <c r="T628" s="5"/>
      <c r="V628" s="5"/>
      <c r="AK628" s="5"/>
      <c r="AM628" s="5"/>
    </row>
    <row r="629" spans="20:39" x14ac:dyDescent="0.15">
      <c r="T629" s="5"/>
      <c r="V629" s="5"/>
      <c r="AK629" s="5"/>
      <c r="AM629" s="5"/>
    </row>
    <row r="630" spans="20:39" x14ac:dyDescent="0.15">
      <c r="T630" s="5"/>
      <c r="V630" s="5"/>
      <c r="AK630" s="5"/>
      <c r="AM630" s="5"/>
    </row>
    <row r="631" spans="20:39" x14ac:dyDescent="0.15">
      <c r="T631" s="5"/>
      <c r="V631" s="5"/>
      <c r="AK631" s="5"/>
      <c r="AM631" s="5"/>
    </row>
    <row r="632" spans="20:39" x14ac:dyDescent="0.15">
      <c r="T632" s="5"/>
      <c r="V632" s="5"/>
      <c r="AK632" s="5"/>
      <c r="AM632" s="5"/>
    </row>
    <row r="633" spans="20:39" x14ac:dyDescent="0.15">
      <c r="T633" s="5"/>
      <c r="V633" s="5"/>
      <c r="AK633" s="5"/>
      <c r="AM633" s="5"/>
    </row>
    <row r="634" spans="20:39" x14ac:dyDescent="0.15">
      <c r="T634" s="5"/>
      <c r="V634" s="5"/>
      <c r="AK634" s="5"/>
      <c r="AM634" s="5"/>
    </row>
    <row r="635" spans="20:39" x14ac:dyDescent="0.15">
      <c r="T635" s="5"/>
      <c r="V635" s="5"/>
      <c r="AK635" s="5"/>
      <c r="AM635" s="5"/>
    </row>
    <row r="636" spans="20:39" x14ac:dyDescent="0.15">
      <c r="T636" s="5"/>
      <c r="V636" s="5"/>
      <c r="AK636" s="5"/>
      <c r="AM636" s="5"/>
    </row>
    <row r="637" spans="20:39" x14ac:dyDescent="0.15">
      <c r="T637" s="5"/>
      <c r="V637" s="5"/>
      <c r="AK637" s="5"/>
      <c r="AM637" s="5"/>
    </row>
    <row r="638" spans="20:39" x14ac:dyDescent="0.15">
      <c r="T638" s="5"/>
      <c r="V638" s="5"/>
      <c r="AK638" s="5"/>
      <c r="AM638" s="5"/>
    </row>
    <row r="639" spans="20:39" x14ac:dyDescent="0.15">
      <c r="T639" s="5"/>
      <c r="V639" s="5"/>
      <c r="AK639" s="5"/>
      <c r="AM639" s="5"/>
    </row>
    <row r="640" spans="20:39" x14ac:dyDescent="0.15">
      <c r="T640" s="5"/>
      <c r="V640" s="5"/>
      <c r="AK640" s="5"/>
      <c r="AM640" s="5"/>
    </row>
    <row r="641" spans="20:39" x14ac:dyDescent="0.15">
      <c r="T641" s="5"/>
      <c r="V641" s="5"/>
      <c r="AK641" s="5"/>
      <c r="AM641" s="5"/>
    </row>
    <row r="642" spans="20:39" x14ac:dyDescent="0.15">
      <c r="T642" s="5"/>
      <c r="V642" s="5"/>
      <c r="AK642" s="5"/>
      <c r="AM642" s="5"/>
    </row>
    <row r="643" spans="20:39" x14ac:dyDescent="0.15">
      <c r="T643" s="5"/>
      <c r="V643" s="5"/>
      <c r="AK643" s="5"/>
      <c r="AM643" s="5"/>
    </row>
    <row r="644" spans="20:39" x14ac:dyDescent="0.15">
      <c r="T644" s="5"/>
      <c r="V644" s="5"/>
      <c r="AK644" s="5"/>
      <c r="AM644" s="5"/>
    </row>
    <row r="645" spans="20:39" x14ac:dyDescent="0.15">
      <c r="T645" s="5"/>
      <c r="V645" s="5"/>
      <c r="AK645" s="5"/>
      <c r="AM645" s="5"/>
    </row>
    <row r="646" spans="20:39" x14ac:dyDescent="0.15">
      <c r="T646" s="5"/>
      <c r="V646" s="5"/>
      <c r="AK646" s="5"/>
      <c r="AM646" s="5"/>
    </row>
    <row r="647" spans="20:39" x14ac:dyDescent="0.15">
      <c r="T647" s="5"/>
      <c r="V647" s="5"/>
      <c r="AK647" s="5"/>
      <c r="AM647" s="5"/>
    </row>
    <row r="648" spans="20:39" x14ac:dyDescent="0.15">
      <c r="T648" s="5"/>
      <c r="V648" s="5"/>
      <c r="AK648" s="5"/>
      <c r="AM648" s="5"/>
    </row>
    <row r="649" spans="20:39" x14ac:dyDescent="0.15">
      <c r="T649" s="5"/>
      <c r="V649" s="5"/>
      <c r="AK649" s="5"/>
      <c r="AM649" s="5"/>
    </row>
    <row r="650" spans="20:39" x14ac:dyDescent="0.15">
      <c r="T650" s="5"/>
      <c r="V650" s="5"/>
      <c r="AK650" s="5"/>
      <c r="AM650" s="5"/>
    </row>
    <row r="651" spans="20:39" x14ac:dyDescent="0.15">
      <c r="T651" s="5"/>
      <c r="V651" s="5"/>
      <c r="AK651" s="5"/>
      <c r="AM651" s="5"/>
    </row>
    <row r="652" spans="20:39" x14ac:dyDescent="0.15">
      <c r="T652" s="5"/>
      <c r="V652" s="5"/>
      <c r="AK652" s="5"/>
      <c r="AM652" s="5"/>
    </row>
    <row r="653" spans="20:39" x14ac:dyDescent="0.15">
      <c r="T653" s="5"/>
      <c r="V653" s="5"/>
      <c r="AK653" s="5"/>
      <c r="AM653" s="5"/>
    </row>
    <row r="654" spans="20:39" x14ac:dyDescent="0.15">
      <c r="T654" s="5"/>
      <c r="V654" s="5"/>
      <c r="AK654" s="5"/>
      <c r="AM654" s="5"/>
    </row>
    <row r="655" spans="20:39" x14ac:dyDescent="0.15">
      <c r="T655" s="5"/>
      <c r="V655" s="5"/>
      <c r="AK655" s="5"/>
      <c r="AM655" s="5"/>
    </row>
    <row r="656" spans="20:39" x14ac:dyDescent="0.15">
      <c r="T656" s="5"/>
      <c r="V656" s="5"/>
      <c r="AK656" s="5"/>
      <c r="AM656" s="5"/>
    </row>
    <row r="657" spans="20:39" x14ac:dyDescent="0.15">
      <c r="T657" s="5"/>
      <c r="V657" s="5"/>
      <c r="AK657" s="5"/>
      <c r="AM657" s="5"/>
    </row>
    <row r="658" spans="20:39" x14ac:dyDescent="0.15">
      <c r="T658" s="5"/>
      <c r="V658" s="5"/>
      <c r="AK658" s="5"/>
      <c r="AM658" s="5"/>
    </row>
    <row r="659" spans="20:39" x14ac:dyDescent="0.15">
      <c r="T659" s="5"/>
      <c r="V659" s="5"/>
      <c r="AK659" s="5"/>
      <c r="AM659" s="5"/>
    </row>
    <row r="660" spans="20:39" x14ac:dyDescent="0.15">
      <c r="T660" s="5"/>
      <c r="V660" s="5"/>
      <c r="AK660" s="5"/>
      <c r="AM660" s="5"/>
    </row>
    <row r="661" spans="20:39" x14ac:dyDescent="0.15">
      <c r="T661" s="5"/>
      <c r="V661" s="5"/>
      <c r="AK661" s="5"/>
      <c r="AM661" s="5"/>
    </row>
    <row r="662" spans="20:39" x14ac:dyDescent="0.15">
      <c r="T662" s="5"/>
      <c r="V662" s="5"/>
      <c r="AK662" s="5"/>
      <c r="AM662" s="5"/>
    </row>
    <row r="663" spans="20:39" x14ac:dyDescent="0.15">
      <c r="T663" s="5"/>
      <c r="V663" s="5"/>
      <c r="AK663" s="5"/>
      <c r="AM663" s="5"/>
    </row>
    <row r="664" spans="20:39" x14ac:dyDescent="0.15">
      <c r="T664" s="5"/>
      <c r="V664" s="5"/>
      <c r="AK664" s="5"/>
      <c r="AM664" s="5"/>
    </row>
    <row r="665" spans="20:39" x14ac:dyDescent="0.15">
      <c r="T665" s="5"/>
      <c r="V665" s="5"/>
      <c r="AK665" s="5"/>
      <c r="AM665" s="5"/>
    </row>
    <row r="666" spans="20:39" x14ac:dyDescent="0.15">
      <c r="T666" s="5"/>
      <c r="V666" s="5"/>
      <c r="AK666" s="5"/>
      <c r="AM666" s="5"/>
    </row>
    <row r="667" spans="20:39" x14ac:dyDescent="0.15">
      <c r="T667" s="5"/>
      <c r="V667" s="5"/>
      <c r="AK667" s="5"/>
      <c r="AM667" s="5"/>
    </row>
    <row r="668" spans="20:39" x14ac:dyDescent="0.15">
      <c r="T668" s="5"/>
      <c r="V668" s="5"/>
      <c r="AK668" s="5"/>
      <c r="AM668" s="5"/>
    </row>
    <row r="669" spans="20:39" x14ac:dyDescent="0.15">
      <c r="T669" s="5"/>
      <c r="V669" s="5"/>
      <c r="AK669" s="5"/>
      <c r="AM669" s="5"/>
    </row>
    <row r="670" spans="20:39" x14ac:dyDescent="0.15">
      <c r="T670" s="5"/>
      <c r="V670" s="5"/>
      <c r="AK670" s="5"/>
      <c r="AM670" s="5"/>
    </row>
    <row r="671" spans="20:39" x14ac:dyDescent="0.15">
      <c r="T671" s="5"/>
      <c r="V671" s="5"/>
      <c r="AK671" s="5"/>
      <c r="AM671" s="5"/>
    </row>
    <row r="672" spans="20:39" x14ac:dyDescent="0.15">
      <c r="T672" s="5"/>
      <c r="V672" s="5"/>
      <c r="AK672" s="5"/>
      <c r="AM672" s="5"/>
    </row>
    <row r="673" spans="20:39" x14ac:dyDescent="0.15">
      <c r="T673" s="5"/>
      <c r="V673" s="5"/>
      <c r="AK673" s="5"/>
      <c r="AM673" s="5"/>
    </row>
    <row r="674" spans="20:39" x14ac:dyDescent="0.15">
      <c r="T674" s="5"/>
      <c r="V674" s="5"/>
      <c r="AK674" s="5"/>
      <c r="AM674" s="5"/>
    </row>
    <row r="675" spans="20:39" x14ac:dyDescent="0.15">
      <c r="T675" s="5"/>
      <c r="V675" s="5"/>
      <c r="AK675" s="5"/>
      <c r="AM675" s="5"/>
    </row>
    <row r="676" spans="20:39" x14ac:dyDescent="0.15">
      <c r="T676" s="5"/>
      <c r="V676" s="5"/>
      <c r="AK676" s="5"/>
      <c r="AM676" s="5"/>
    </row>
    <row r="677" spans="20:39" x14ac:dyDescent="0.15">
      <c r="T677" s="5"/>
      <c r="V677" s="5"/>
      <c r="AK677" s="5"/>
      <c r="AM677" s="5"/>
    </row>
    <row r="678" spans="20:39" x14ac:dyDescent="0.15">
      <c r="T678" s="5"/>
      <c r="V678" s="5"/>
      <c r="AK678" s="5"/>
      <c r="AM678" s="5"/>
    </row>
    <row r="679" spans="20:39" x14ac:dyDescent="0.15">
      <c r="T679" s="5"/>
      <c r="V679" s="5"/>
      <c r="AK679" s="5"/>
      <c r="AM679" s="5"/>
    </row>
    <row r="680" spans="20:39" x14ac:dyDescent="0.15">
      <c r="T680" s="5"/>
      <c r="V680" s="5"/>
      <c r="AK680" s="5"/>
      <c r="AM680" s="5"/>
    </row>
    <row r="681" spans="20:39" x14ac:dyDescent="0.15">
      <c r="T681" s="5"/>
      <c r="V681" s="5"/>
      <c r="AK681" s="5"/>
      <c r="AM681" s="5"/>
    </row>
    <row r="682" spans="20:39" x14ac:dyDescent="0.15">
      <c r="T682" s="5"/>
      <c r="V682" s="5"/>
      <c r="AK682" s="5"/>
      <c r="AM682" s="5"/>
    </row>
    <row r="683" spans="20:39" x14ac:dyDescent="0.15">
      <c r="T683" s="5"/>
      <c r="V683" s="5"/>
      <c r="AK683" s="5"/>
      <c r="AM683" s="5"/>
    </row>
    <row r="684" spans="20:39" x14ac:dyDescent="0.15">
      <c r="T684" s="5"/>
      <c r="V684" s="5"/>
      <c r="AK684" s="5"/>
      <c r="AM684" s="5"/>
    </row>
    <row r="685" spans="20:39" x14ac:dyDescent="0.15">
      <c r="T685" s="5"/>
      <c r="V685" s="5"/>
      <c r="AK685" s="5"/>
      <c r="AM685" s="5"/>
    </row>
    <row r="686" spans="20:39" x14ac:dyDescent="0.15">
      <c r="T686" s="5"/>
      <c r="V686" s="5"/>
      <c r="AK686" s="5"/>
      <c r="AM686" s="5"/>
    </row>
    <row r="687" spans="20:39" x14ac:dyDescent="0.15">
      <c r="T687" s="5"/>
      <c r="V687" s="5"/>
      <c r="AK687" s="5"/>
      <c r="AM687" s="5"/>
    </row>
    <row r="688" spans="20:39" x14ac:dyDescent="0.15">
      <c r="T688" s="5"/>
      <c r="V688" s="5"/>
      <c r="AK688" s="5"/>
      <c r="AM688" s="5"/>
    </row>
    <row r="689" spans="20:39" x14ac:dyDescent="0.15">
      <c r="T689" s="5"/>
      <c r="V689" s="5"/>
      <c r="AK689" s="5"/>
      <c r="AM689" s="5"/>
    </row>
    <row r="690" spans="20:39" x14ac:dyDescent="0.15">
      <c r="T690" s="5"/>
      <c r="V690" s="5"/>
      <c r="AK690" s="5"/>
      <c r="AM690" s="5"/>
    </row>
    <row r="691" spans="20:39" x14ac:dyDescent="0.15">
      <c r="T691" s="5"/>
      <c r="V691" s="5"/>
      <c r="AK691" s="5"/>
      <c r="AM691" s="5"/>
    </row>
    <row r="692" spans="20:39" x14ac:dyDescent="0.15">
      <c r="T692" s="5"/>
      <c r="V692" s="5"/>
      <c r="AK692" s="5"/>
      <c r="AM692" s="5"/>
    </row>
    <row r="693" spans="20:39" x14ac:dyDescent="0.15">
      <c r="T693" s="5"/>
      <c r="V693" s="5"/>
      <c r="AK693" s="5"/>
      <c r="AM693" s="5"/>
    </row>
    <row r="694" spans="20:39" x14ac:dyDescent="0.15">
      <c r="T694" s="5"/>
      <c r="V694" s="5"/>
      <c r="AK694" s="5"/>
      <c r="AM694" s="5"/>
    </row>
    <row r="695" spans="20:39" x14ac:dyDescent="0.15">
      <c r="T695" s="5"/>
      <c r="V695" s="5"/>
      <c r="AK695" s="5"/>
      <c r="AM695" s="5"/>
    </row>
    <row r="696" spans="20:39" x14ac:dyDescent="0.15">
      <c r="T696" s="5"/>
      <c r="V696" s="5"/>
      <c r="AK696" s="5"/>
      <c r="AM696" s="5"/>
    </row>
    <row r="697" spans="20:39" x14ac:dyDescent="0.15">
      <c r="T697" s="5"/>
      <c r="V697" s="5"/>
      <c r="AK697" s="5"/>
      <c r="AM697" s="5"/>
    </row>
    <row r="698" spans="20:39" x14ac:dyDescent="0.15">
      <c r="T698" s="5"/>
      <c r="V698" s="5"/>
      <c r="AK698" s="5"/>
      <c r="AM698" s="5"/>
    </row>
    <row r="699" spans="20:39" x14ac:dyDescent="0.15">
      <c r="T699" s="5"/>
      <c r="V699" s="5"/>
      <c r="AK699" s="5"/>
      <c r="AM699" s="5"/>
    </row>
    <row r="700" spans="20:39" x14ac:dyDescent="0.15">
      <c r="T700" s="5"/>
      <c r="V700" s="5"/>
      <c r="AK700" s="5"/>
      <c r="AM700" s="5"/>
    </row>
    <row r="701" spans="20:39" x14ac:dyDescent="0.15">
      <c r="T701" s="5"/>
      <c r="V701" s="5"/>
      <c r="AK701" s="5"/>
      <c r="AM701" s="5"/>
    </row>
    <row r="702" spans="20:39" x14ac:dyDescent="0.15">
      <c r="T702" s="5"/>
      <c r="V702" s="5"/>
      <c r="AK702" s="5"/>
      <c r="AM702" s="5"/>
    </row>
    <row r="703" spans="20:39" x14ac:dyDescent="0.15">
      <c r="T703" s="5"/>
      <c r="V703" s="5"/>
      <c r="AK703" s="5"/>
      <c r="AM703" s="5"/>
    </row>
    <row r="704" spans="20:39" x14ac:dyDescent="0.15">
      <c r="T704" s="5"/>
      <c r="V704" s="5"/>
      <c r="AK704" s="5"/>
      <c r="AM704" s="5"/>
    </row>
    <row r="705" spans="20:39" x14ac:dyDescent="0.15">
      <c r="T705" s="5"/>
      <c r="V705" s="5"/>
      <c r="AK705" s="5"/>
      <c r="AM705" s="5"/>
    </row>
    <row r="706" spans="20:39" x14ac:dyDescent="0.15">
      <c r="T706" s="5"/>
      <c r="V706" s="5"/>
      <c r="AK706" s="5"/>
      <c r="AM706" s="5"/>
    </row>
    <row r="707" spans="20:39" x14ac:dyDescent="0.15">
      <c r="T707" s="5"/>
      <c r="V707" s="5"/>
      <c r="AK707" s="5"/>
      <c r="AM707" s="5"/>
    </row>
    <row r="708" spans="20:39" x14ac:dyDescent="0.15">
      <c r="T708" s="5"/>
      <c r="V708" s="5"/>
      <c r="AK708" s="5"/>
      <c r="AM708" s="5"/>
    </row>
    <row r="709" spans="20:39" x14ac:dyDescent="0.15">
      <c r="T709" s="5"/>
      <c r="V709" s="5"/>
      <c r="AK709" s="5"/>
      <c r="AM709" s="5"/>
    </row>
    <row r="710" spans="20:39" x14ac:dyDescent="0.15">
      <c r="T710" s="5"/>
      <c r="V710" s="5"/>
      <c r="AK710" s="5"/>
      <c r="AM710" s="5"/>
    </row>
    <row r="711" spans="20:39" x14ac:dyDescent="0.15">
      <c r="T711" s="5"/>
      <c r="V711" s="5"/>
      <c r="AK711" s="5"/>
      <c r="AM711" s="5"/>
    </row>
    <row r="712" spans="20:39" x14ac:dyDescent="0.15">
      <c r="T712" s="5"/>
      <c r="V712" s="5"/>
      <c r="AK712" s="5"/>
      <c r="AM712" s="5"/>
    </row>
    <row r="713" spans="20:39" x14ac:dyDescent="0.15">
      <c r="T713" s="5"/>
      <c r="V713" s="5"/>
      <c r="AK713" s="5"/>
      <c r="AM713" s="5"/>
    </row>
    <row r="714" spans="20:39" x14ac:dyDescent="0.15">
      <c r="T714" s="5"/>
      <c r="V714" s="5"/>
      <c r="AK714" s="5"/>
      <c r="AM714" s="5"/>
    </row>
    <row r="715" spans="20:39" x14ac:dyDescent="0.15">
      <c r="T715" s="5"/>
      <c r="V715" s="5"/>
      <c r="AK715" s="5"/>
      <c r="AM715" s="5"/>
    </row>
    <row r="716" spans="20:39" x14ac:dyDescent="0.15">
      <c r="T716" s="5"/>
      <c r="V716" s="5"/>
      <c r="AK716" s="5"/>
      <c r="AM716" s="5"/>
    </row>
    <row r="717" spans="20:39" x14ac:dyDescent="0.15">
      <c r="T717" s="5"/>
      <c r="V717" s="5"/>
      <c r="AK717" s="5"/>
      <c r="AM717" s="5"/>
    </row>
    <row r="718" spans="20:39" x14ac:dyDescent="0.15">
      <c r="T718" s="5"/>
      <c r="V718" s="5"/>
      <c r="AK718" s="5"/>
      <c r="AM718" s="5"/>
    </row>
    <row r="719" spans="20:39" x14ac:dyDescent="0.15">
      <c r="T719" s="5"/>
      <c r="V719" s="5"/>
      <c r="AK719" s="5"/>
      <c r="AM719" s="5"/>
    </row>
    <row r="720" spans="20:39" x14ac:dyDescent="0.15">
      <c r="T720" s="5"/>
      <c r="V720" s="5"/>
      <c r="AK720" s="5"/>
      <c r="AM720" s="5"/>
    </row>
    <row r="721" spans="20:39" x14ac:dyDescent="0.15">
      <c r="T721" s="5"/>
      <c r="V721" s="5"/>
      <c r="AK721" s="5"/>
      <c r="AM721" s="5"/>
    </row>
    <row r="722" spans="20:39" x14ac:dyDescent="0.15">
      <c r="T722" s="5"/>
      <c r="V722" s="5"/>
      <c r="AK722" s="5"/>
      <c r="AM722" s="5"/>
    </row>
    <row r="723" spans="20:39" x14ac:dyDescent="0.15">
      <c r="T723" s="5"/>
      <c r="V723" s="5"/>
      <c r="AK723" s="5"/>
      <c r="AM723" s="5"/>
    </row>
    <row r="724" spans="20:39" x14ac:dyDescent="0.15">
      <c r="T724" s="5"/>
      <c r="V724" s="5"/>
      <c r="AK724" s="5"/>
      <c r="AM724" s="5"/>
    </row>
    <row r="725" spans="20:39" x14ac:dyDescent="0.15">
      <c r="T725" s="5"/>
      <c r="V725" s="5"/>
      <c r="AK725" s="5"/>
      <c r="AM725" s="5"/>
    </row>
    <row r="726" spans="20:39" x14ac:dyDescent="0.15">
      <c r="T726" s="5"/>
      <c r="V726" s="5"/>
      <c r="AK726" s="5"/>
      <c r="AM726" s="5"/>
    </row>
    <row r="727" spans="20:39" x14ac:dyDescent="0.15">
      <c r="T727" s="5"/>
      <c r="V727" s="5"/>
      <c r="AK727" s="5"/>
      <c r="AM727" s="5"/>
    </row>
    <row r="728" spans="20:39" x14ac:dyDescent="0.15">
      <c r="T728" s="5"/>
      <c r="V728" s="5"/>
      <c r="AK728" s="5"/>
      <c r="AM728" s="5"/>
    </row>
    <row r="729" spans="20:39" x14ac:dyDescent="0.15">
      <c r="T729" s="5"/>
      <c r="V729" s="5"/>
      <c r="AK729" s="5"/>
      <c r="AM729" s="5"/>
    </row>
    <row r="730" spans="20:39" x14ac:dyDescent="0.15">
      <c r="T730" s="5"/>
      <c r="V730" s="5"/>
      <c r="AK730" s="5"/>
      <c r="AM730" s="5"/>
    </row>
    <row r="731" spans="20:39" x14ac:dyDescent="0.15">
      <c r="T731" s="5"/>
      <c r="V731" s="5"/>
      <c r="AK731" s="5"/>
      <c r="AM731" s="5"/>
    </row>
    <row r="732" spans="20:39" x14ac:dyDescent="0.15">
      <c r="T732" s="5"/>
      <c r="V732" s="5"/>
      <c r="AK732" s="5"/>
      <c r="AM732" s="5"/>
    </row>
    <row r="733" spans="20:39" x14ac:dyDescent="0.15">
      <c r="T733" s="5"/>
      <c r="V733" s="5"/>
      <c r="AK733" s="5"/>
      <c r="AM733" s="5"/>
    </row>
    <row r="734" spans="20:39" x14ac:dyDescent="0.15">
      <c r="T734" s="5"/>
      <c r="V734" s="5"/>
      <c r="AK734" s="5"/>
      <c r="AM734" s="5"/>
    </row>
    <row r="735" spans="20:39" x14ac:dyDescent="0.15">
      <c r="T735" s="5"/>
      <c r="V735" s="5"/>
      <c r="AK735" s="5"/>
      <c r="AM735" s="5"/>
    </row>
    <row r="736" spans="20:39" x14ac:dyDescent="0.15">
      <c r="T736" s="5"/>
      <c r="V736" s="5"/>
      <c r="AK736" s="5"/>
      <c r="AM736" s="5"/>
    </row>
    <row r="737" spans="20:39" x14ac:dyDescent="0.15">
      <c r="T737" s="5"/>
      <c r="V737" s="5"/>
      <c r="AK737" s="5"/>
      <c r="AM737" s="5"/>
    </row>
    <row r="738" spans="20:39" x14ac:dyDescent="0.15">
      <c r="T738" s="5"/>
      <c r="V738" s="5"/>
      <c r="AK738" s="5"/>
      <c r="AM738" s="5"/>
    </row>
    <row r="739" spans="20:39" x14ac:dyDescent="0.15">
      <c r="T739" s="5"/>
      <c r="V739" s="5"/>
      <c r="AK739" s="5"/>
      <c r="AM739" s="5"/>
    </row>
    <row r="740" spans="20:39" x14ac:dyDescent="0.15">
      <c r="T740" s="5"/>
      <c r="V740" s="5"/>
      <c r="AK740" s="5"/>
      <c r="AM740" s="5"/>
    </row>
    <row r="741" spans="20:39" x14ac:dyDescent="0.15">
      <c r="T741" s="5"/>
      <c r="V741" s="5"/>
      <c r="AK741" s="5"/>
      <c r="AM741" s="5"/>
    </row>
    <row r="742" spans="20:39" x14ac:dyDescent="0.15">
      <c r="T742" s="5"/>
      <c r="V742" s="5"/>
      <c r="AK742" s="5"/>
      <c r="AM742" s="5"/>
    </row>
    <row r="743" spans="20:39" x14ac:dyDescent="0.15">
      <c r="T743" s="5"/>
      <c r="V743" s="5"/>
      <c r="AK743" s="5"/>
      <c r="AM743" s="5"/>
    </row>
    <row r="744" spans="20:39" x14ac:dyDescent="0.15">
      <c r="T744" s="5"/>
      <c r="V744" s="5"/>
      <c r="AK744" s="5"/>
      <c r="AM744" s="5"/>
    </row>
    <row r="745" spans="20:39" x14ac:dyDescent="0.15">
      <c r="T745" s="5"/>
      <c r="V745" s="5"/>
      <c r="AK745" s="5"/>
      <c r="AM745" s="5"/>
    </row>
    <row r="746" spans="20:39" x14ac:dyDescent="0.15">
      <c r="T746" s="5"/>
      <c r="V746" s="5"/>
      <c r="AK746" s="5"/>
      <c r="AM746" s="5"/>
    </row>
    <row r="747" spans="20:39" x14ac:dyDescent="0.15">
      <c r="T747" s="5"/>
      <c r="V747" s="5"/>
      <c r="AK747" s="5"/>
      <c r="AM747" s="5"/>
    </row>
    <row r="748" spans="20:39" x14ac:dyDescent="0.15">
      <c r="T748" s="5"/>
      <c r="V748" s="5"/>
      <c r="AK748" s="5"/>
      <c r="AM748" s="5"/>
    </row>
    <row r="749" spans="20:39" x14ac:dyDescent="0.15">
      <c r="T749" s="5"/>
      <c r="V749" s="5"/>
      <c r="AK749" s="5"/>
      <c r="AM749" s="5"/>
    </row>
    <row r="750" spans="20:39" x14ac:dyDescent="0.15">
      <c r="T750" s="5"/>
      <c r="V750" s="5"/>
      <c r="AK750" s="5"/>
      <c r="AM750" s="5"/>
    </row>
    <row r="751" spans="20:39" x14ac:dyDescent="0.15">
      <c r="T751" s="5"/>
      <c r="V751" s="5"/>
      <c r="AK751" s="5"/>
      <c r="AM751" s="5"/>
    </row>
    <row r="752" spans="20:39" x14ac:dyDescent="0.15">
      <c r="T752" s="5"/>
      <c r="V752" s="5"/>
      <c r="AK752" s="5"/>
      <c r="AM752" s="5"/>
    </row>
    <row r="753" spans="20:39" x14ac:dyDescent="0.15">
      <c r="T753" s="5"/>
      <c r="V753" s="5"/>
      <c r="AK753" s="5"/>
      <c r="AM753" s="5"/>
    </row>
    <row r="754" spans="20:39" x14ac:dyDescent="0.15">
      <c r="T754" s="5"/>
      <c r="V754" s="5"/>
      <c r="AK754" s="5"/>
      <c r="AM754" s="5"/>
    </row>
    <row r="755" spans="20:39" x14ac:dyDescent="0.15">
      <c r="T755" s="5"/>
      <c r="V755" s="5"/>
      <c r="AK755" s="5"/>
      <c r="AM755" s="5"/>
    </row>
    <row r="756" spans="20:39" x14ac:dyDescent="0.15">
      <c r="T756" s="5"/>
      <c r="V756" s="5"/>
      <c r="AK756" s="5"/>
      <c r="AM756" s="5"/>
    </row>
    <row r="757" spans="20:39" x14ac:dyDescent="0.15">
      <c r="T757" s="5"/>
      <c r="V757" s="5"/>
      <c r="AK757" s="5"/>
      <c r="AM757" s="5"/>
    </row>
    <row r="758" spans="20:39" x14ac:dyDescent="0.15">
      <c r="T758" s="5"/>
      <c r="V758" s="5"/>
      <c r="AK758" s="5"/>
      <c r="AM758" s="5"/>
    </row>
    <row r="759" spans="20:39" x14ac:dyDescent="0.15">
      <c r="T759" s="5"/>
      <c r="V759" s="5"/>
      <c r="AK759" s="5"/>
      <c r="AM759" s="5"/>
    </row>
    <row r="760" spans="20:39" x14ac:dyDescent="0.15">
      <c r="T760" s="5"/>
      <c r="V760" s="5"/>
      <c r="AK760" s="5"/>
      <c r="AM760" s="5"/>
    </row>
    <row r="761" spans="20:39" x14ac:dyDescent="0.15">
      <c r="T761" s="5"/>
      <c r="V761" s="5"/>
      <c r="AK761" s="5"/>
      <c r="AM761" s="5"/>
    </row>
    <row r="762" spans="20:39" x14ac:dyDescent="0.15">
      <c r="T762" s="5"/>
      <c r="V762" s="5"/>
      <c r="AK762" s="5"/>
      <c r="AM762" s="5"/>
    </row>
    <row r="763" spans="20:39" x14ac:dyDescent="0.15">
      <c r="T763" s="5"/>
      <c r="V763" s="5"/>
      <c r="AK763" s="5"/>
      <c r="AM763" s="5"/>
    </row>
    <row r="764" spans="20:39" x14ac:dyDescent="0.15">
      <c r="T764" s="5"/>
      <c r="V764" s="5"/>
      <c r="AK764" s="5"/>
      <c r="AM764" s="5"/>
    </row>
    <row r="765" spans="20:39" x14ac:dyDescent="0.15">
      <c r="T765" s="5"/>
      <c r="V765" s="5"/>
      <c r="AK765" s="5"/>
      <c r="AM765" s="5"/>
    </row>
    <row r="766" spans="20:39" x14ac:dyDescent="0.15">
      <c r="T766" s="5"/>
      <c r="V766" s="5"/>
      <c r="AK766" s="5"/>
      <c r="AM766" s="5"/>
    </row>
    <row r="767" spans="20:39" x14ac:dyDescent="0.15">
      <c r="T767" s="5"/>
      <c r="V767" s="5"/>
      <c r="AK767" s="5"/>
      <c r="AM767" s="5"/>
    </row>
    <row r="768" spans="20:39" x14ac:dyDescent="0.15">
      <c r="T768" s="5"/>
      <c r="V768" s="5"/>
      <c r="AK768" s="5"/>
      <c r="AM768" s="5"/>
    </row>
    <row r="769" spans="20:39" x14ac:dyDescent="0.15">
      <c r="T769" s="5"/>
      <c r="V769" s="5"/>
      <c r="AK769" s="5"/>
      <c r="AM769" s="5"/>
    </row>
    <row r="770" spans="20:39" x14ac:dyDescent="0.15">
      <c r="T770" s="5"/>
      <c r="V770" s="5"/>
      <c r="AK770" s="5"/>
      <c r="AM770" s="5"/>
    </row>
    <row r="771" spans="20:39" x14ac:dyDescent="0.15">
      <c r="T771" s="5"/>
      <c r="V771" s="5"/>
      <c r="AK771" s="5"/>
      <c r="AM771" s="5"/>
    </row>
    <row r="772" spans="20:39" x14ac:dyDescent="0.15">
      <c r="T772" s="5"/>
      <c r="V772" s="5"/>
      <c r="AK772" s="5"/>
      <c r="AM772" s="5"/>
    </row>
    <row r="773" spans="20:39" x14ac:dyDescent="0.15">
      <c r="T773" s="5"/>
      <c r="V773" s="5"/>
      <c r="AK773" s="5"/>
      <c r="AM773" s="5"/>
    </row>
    <row r="774" spans="20:39" x14ac:dyDescent="0.15">
      <c r="T774" s="5"/>
      <c r="V774" s="5"/>
      <c r="AK774" s="5"/>
      <c r="AM774" s="5"/>
    </row>
    <row r="775" spans="20:39" x14ac:dyDescent="0.15">
      <c r="T775" s="5"/>
      <c r="V775" s="5"/>
      <c r="AK775" s="5"/>
      <c r="AM775" s="5"/>
    </row>
    <row r="776" spans="20:39" x14ac:dyDescent="0.15">
      <c r="T776" s="5"/>
      <c r="V776" s="5"/>
      <c r="AK776" s="5"/>
      <c r="AM776" s="5"/>
    </row>
    <row r="777" spans="20:39" x14ac:dyDescent="0.15">
      <c r="T777" s="5"/>
      <c r="V777" s="5"/>
      <c r="AK777" s="5"/>
      <c r="AM777" s="5"/>
    </row>
    <row r="778" spans="20:39" x14ac:dyDescent="0.15">
      <c r="T778" s="5"/>
      <c r="V778" s="5"/>
      <c r="AK778" s="5"/>
      <c r="AM778" s="5"/>
    </row>
    <row r="779" spans="20:39" x14ac:dyDescent="0.15">
      <c r="T779" s="5"/>
      <c r="V779" s="5"/>
      <c r="AK779" s="5"/>
      <c r="AM779" s="5"/>
    </row>
    <row r="780" spans="20:39" x14ac:dyDescent="0.15">
      <c r="T780" s="5"/>
      <c r="V780" s="5"/>
      <c r="AK780" s="5"/>
      <c r="AM780" s="5"/>
    </row>
    <row r="781" spans="20:39" x14ac:dyDescent="0.15">
      <c r="T781" s="5"/>
      <c r="V781" s="5"/>
      <c r="AK781" s="5"/>
      <c r="AM781" s="5"/>
    </row>
    <row r="782" spans="20:39" x14ac:dyDescent="0.15">
      <c r="T782" s="5"/>
      <c r="V782" s="5"/>
      <c r="AK782" s="5"/>
      <c r="AM782" s="5"/>
    </row>
    <row r="783" spans="20:39" x14ac:dyDescent="0.15">
      <c r="T783" s="5"/>
      <c r="V783" s="5"/>
      <c r="AK783" s="5"/>
      <c r="AM783" s="5"/>
    </row>
    <row r="784" spans="20:39" x14ac:dyDescent="0.15">
      <c r="T784" s="5"/>
      <c r="V784" s="5"/>
      <c r="AK784" s="5"/>
      <c r="AM784" s="5"/>
    </row>
    <row r="785" spans="20:39" x14ac:dyDescent="0.15">
      <c r="T785" s="5"/>
      <c r="V785" s="5"/>
      <c r="AK785" s="5"/>
      <c r="AM785" s="5"/>
    </row>
    <row r="786" spans="20:39" x14ac:dyDescent="0.15">
      <c r="T786" s="5"/>
      <c r="V786" s="5"/>
      <c r="AK786" s="5"/>
      <c r="AM786" s="5"/>
    </row>
    <row r="787" spans="20:39" x14ac:dyDescent="0.15">
      <c r="T787" s="5"/>
      <c r="V787" s="5"/>
      <c r="AK787" s="5"/>
      <c r="AM787" s="5"/>
    </row>
    <row r="788" spans="20:39" x14ac:dyDescent="0.15">
      <c r="T788" s="5"/>
      <c r="V788" s="5"/>
      <c r="AK788" s="5"/>
      <c r="AM788" s="5"/>
    </row>
    <row r="789" spans="20:39" x14ac:dyDescent="0.15">
      <c r="T789" s="5"/>
      <c r="V789" s="5"/>
      <c r="AK789" s="5"/>
      <c r="AM789" s="5"/>
    </row>
    <row r="790" spans="20:39" x14ac:dyDescent="0.15">
      <c r="T790" s="5"/>
      <c r="V790" s="5"/>
      <c r="AK790" s="5"/>
      <c r="AM790" s="5"/>
    </row>
    <row r="791" spans="20:39" x14ac:dyDescent="0.15">
      <c r="T791" s="5"/>
      <c r="V791" s="5"/>
      <c r="AK791" s="5"/>
      <c r="AM791" s="5"/>
    </row>
    <row r="792" spans="20:39" x14ac:dyDescent="0.15">
      <c r="T792" s="5"/>
      <c r="V792" s="5"/>
      <c r="AK792" s="5"/>
      <c r="AM792" s="5"/>
    </row>
    <row r="793" spans="20:39" x14ac:dyDescent="0.15">
      <c r="T793" s="5"/>
      <c r="V793" s="5"/>
      <c r="AK793" s="5"/>
      <c r="AM793" s="5"/>
    </row>
    <row r="794" spans="20:39" x14ac:dyDescent="0.15">
      <c r="T794" s="5"/>
      <c r="V794" s="5"/>
      <c r="AK794" s="5"/>
      <c r="AM794" s="5"/>
    </row>
    <row r="795" spans="20:39" x14ac:dyDescent="0.15">
      <c r="T795" s="5"/>
      <c r="V795" s="5"/>
      <c r="AK795" s="5"/>
      <c r="AM795" s="5"/>
    </row>
    <row r="796" spans="20:39" x14ac:dyDescent="0.15">
      <c r="T796" s="5"/>
      <c r="V796" s="5"/>
      <c r="AK796" s="5"/>
      <c r="AM796" s="5"/>
    </row>
    <row r="797" spans="20:39" x14ac:dyDescent="0.15">
      <c r="T797" s="5"/>
      <c r="V797" s="5"/>
      <c r="AK797" s="5"/>
      <c r="AM797" s="5"/>
    </row>
    <row r="798" spans="20:39" x14ac:dyDescent="0.15">
      <c r="T798" s="5"/>
      <c r="V798" s="5"/>
      <c r="AK798" s="5"/>
      <c r="AM798" s="5"/>
    </row>
    <row r="799" spans="20:39" x14ac:dyDescent="0.15">
      <c r="T799" s="5"/>
      <c r="V799" s="5"/>
      <c r="AK799" s="5"/>
      <c r="AM799" s="5"/>
    </row>
    <row r="800" spans="20:39" x14ac:dyDescent="0.15">
      <c r="T800" s="5"/>
      <c r="V800" s="5"/>
      <c r="AK800" s="5"/>
      <c r="AM800" s="5"/>
    </row>
    <row r="801" spans="20:39" x14ac:dyDescent="0.15">
      <c r="T801" s="5"/>
      <c r="V801" s="5"/>
      <c r="AK801" s="5"/>
      <c r="AM801" s="5"/>
    </row>
    <row r="802" spans="20:39" x14ac:dyDescent="0.15">
      <c r="T802" s="5"/>
      <c r="V802" s="5"/>
      <c r="AK802" s="5"/>
      <c r="AM802" s="5"/>
    </row>
    <row r="803" spans="20:39" x14ac:dyDescent="0.15">
      <c r="T803" s="5"/>
      <c r="V803" s="5"/>
      <c r="AK803" s="5"/>
      <c r="AM803" s="5"/>
    </row>
    <row r="804" spans="20:39" x14ac:dyDescent="0.15">
      <c r="T804" s="5"/>
      <c r="V804" s="5"/>
      <c r="AK804" s="5"/>
      <c r="AM804" s="5"/>
    </row>
    <row r="805" spans="20:39" x14ac:dyDescent="0.15">
      <c r="T805" s="5"/>
      <c r="V805" s="5"/>
      <c r="AK805" s="5"/>
      <c r="AM805" s="5"/>
    </row>
    <row r="806" spans="20:39" x14ac:dyDescent="0.15">
      <c r="T806" s="5"/>
      <c r="V806" s="5"/>
      <c r="AK806" s="5"/>
      <c r="AM806" s="5"/>
    </row>
    <row r="807" spans="20:39" x14ac:dyDescent="0.15">
      <c r="T807" s="5"/>
      <c r="V807" s="5"/>
      <c r="AK807" s="5"/>
      <c r="AM807" s="5"/>
    </row>
    <row r="808" spans="20:39" x14ac:dyDescent="0.15">
      <c r="T808" s="5"/>
      <c r="V808" s="5"/>
      <c r="AK808" s="5"/>
      <c r="AM808" s="5"/>
    </row>
    <row r="809" spans="20:39" x14ac:dyDescent="0.15">
      <c r="T809" s="5"/>
      <c r="V809" s="5"/>
      <c r="AK809" s="5"/>
      <c r="AM809" s="5"/>
    </row>
    <row r="810" spans="20:39" x14ac:dyDescent="0.15">
      <c r="T810" s="5"/>
      <c r="V810" s="5"/>
      <c r="AK810" s="5"/>
      <c r="AM810" s="5"/>
    </row>
    <row r="811" spans="20:39" x14ac:dyDescent="0.15">
      <c r="T811" s="5"/>
      <c r="V811" s="5"/>
      <c r="AK811" s="5"/>
      <c r="AM811" s="5"/>
    </row>
    <row r="812" spans="20:39" x14ac:dyDescent="0.15">
      <c r="T812" s="5"/>
      <c r="V812" s="5"/>
      <c r="AK812" s="5"/>
      <c r="AM812" s="5"/>
    </row>
    <row r="813" spans="20:39" x14ac:dyDescent="0.15">
      <c r="T813" s="5"/>
      <c r="V813" s="5"/>
      <c r="AK813" s="5"/>
      <c r="AM813" s="5"/>
    </row>
    <row r="814" spans="20:39" x14ac:dyDescent="0.15">
      <c r="T814" s="5"/>
      <c r="V814" s="5"/>
      <c r="AK814" s="5"/>
      <c r="AM814" s="5"/>
    </row>
    <row r="815" spans="20:39" x14ac:dyDescent="0.15">
      <c r="T815" s="5"/>
      <c r="V815" s="5"/>
      <c r="AK815" s="5"/>
      <c r="AM815" s="5"/>
    </row>
    <row r="816" spans="20:39" x14ac:dyDescent="0.15">
      <c r="T816" s="5"/>
      <c r="V816" s="5"/>
      <c r="AK816" s="5"/>
      <c r="AM816" s="5"/>
    </row>
    <row r="817" spans="20:39" x14ac:dyDescent="0.15">
      <c r="T817" s="5"/>
      <c r="V817" s="5"/>
      <c r="AK817" s="5"/>
      <c r="AM817" s="5"/>
    </row>
    <row r="818" spans="20:39" x14ac:dyDescent="0.15">
      <c r="T818" s="5"/>
      <c r="V818" s="5"/>
      <c r="AK818" s="5"/>
      <c r="AM818" s="5"/>
    </row>
    <row r="819" spans="20:39" x14ac:dyDescent="0.15">
      <c r="T819" s="5"/>
      <c r="V819" s="5"/>
      <c r="AK819" s="5"/>
      <c r="AM819" s="5"/>
    </row>
    <row r="820" spans="20:39" x14ac:dyDescent="0.15">
      <c r="T820" s="5"/>
      <c r="V820" s="5"/>
      <c r="AK820" s="5"/>
      <c r="AM820" s="5"/>
    </row>
    <row r="821" spans="20:39" x14ac:dyDescent="0.15">
      <c r="T821" s="5"/>
      <c r="V821" s="5"/>
      <c r="AK821" s="5"/>
      <c r="AM821" s="5"/>
    </row>
    <row r="822" spans="20:39" x14ac:dyDescent="0.15">
      <c r="T822" s="5"/>
      <c r="V822" s="5"/>
      <c r="AK822" s="5"/>
      <c r="AM822" s="5"/>
    </row>
    <row r="823" spans="20:39" x14ac:dyDescent="0.15">
      <c r="T823" s="5"/>
      <c r="V823" s="5"/>
      <c r="AK823" s="5"/>
      <c r="AM823" s="5"/>
    </row>
    <row r="824" spans="20:39" x14ac:dyDescent="0.15">
      <c r="T824" s="5"/>
      <c r="V824" s="5"/>
      <c r="AK824" s="5"/>
      <c r="AM824" s="5"/>
    </row>
    <row r="825" spans="20:39" x14ac:dyDescent="0.15">
      <c r="T825" s="5"/>
      <c r="V825" s="5"/>
      <c r="AK825" s="5"/>
      <c r="AM825" s="5"/>
    </row>
    <row r="826" spans="20:39" x14ac:dyDescent="0.15">
      <c r="T826" s="5"/>
      <c r="V826" s="5"/>
      <c r="AK826" s="5"/>
      <c r="AM826" s="5"/>
    </row>
    <row r="827" spans="20:39" x14ac:dyDescent="0.15">
      <c r="T827" s="5"/>
      <c r="V827" s="5"/>
      <c r="AK827" s="5"/>
      <c r="AM827" s="5"/>
    </row>
    <row r="828" spans="20:39" x14ac:dyDescent="0.15">
      <c r="T828" s="5"/>
      <c r="V828" s="5"/>
      <c r="AK828" s="5"/>
      <c r="AM828" s="5"/>
    </row>
    <row r="829" spans="20:39" x14ac:dyDescent="0.15">
      <c r="T829" s="5"/>
      <c r="V829" s="5"/>
      <c r="AK829" s="5"/>
      <c r="AM829" s="5"/>
    </row>
    <row r="830" spans="20:39" x14ac:dyDescent="0.15">
      <c r="T830" s="5"/>
      <c r="V830" s="5"/>
      <c r="AK830" s="5"/>
      <c r="AM830" s="5"/>
    </row>
    <row r="831" spans="20:39" x14ac:dyDescent="0.15">
      <c r="T831" s="5"/>
      <c r="V831" s="5"/>
      <c r="AK831" s="5"/>
      <c r="AM831" s="5"/>
    </row>
    <row r="832" spans="20:39" x14ac:dyDescent="0.15">
      <c r="T832" s="5"/>
      <c r="V832" s="5"/>
      <c r="AK832" s="5"/>
      <c r="AM832" s="5"/>
    </row>
    <row r="833" spans="20:39" x14ac:dyDescent="0.15">
      <c r="T833" s="5"/>
      <c r="V833" s="5"/>
      <c r="AK833" s="5"/>
      <c r="AM833" s="5"/>
    </row>
    <row r="834" spans="20:39" x14ac:dyDescent="0.15">
      <c r="T834" s="5"/>
      <c r="V834" s="5"/>
      <c r="AK834" s="5"/>
      <c r="AM834" s="5"/>
    </row>
    <row r="835" spans="20:39" x14ac:dyDescent="0.15">
      <c r="T835" s="5"/>
      <c r="V835" s="5"/>
      <c r="AK835" s="5"/>
      <c r="AM835" s="5"/>
    </row>
    <row r="836" spans="20:39" x14ac:dyDescent="0.15">
      <c r="T836" s="5"/>
      <c r="V836" s="5"/>
      <c r="AK836" s="5"/>
      <c r="AM836" s="5"/>
    </row>
    <row r="837" spans="20:39" x14ac:dyDescent="0.15">
      <c r="T837" s="5"/>
      <c r="V837" s="5"/>
      <c r="AK837" s="5"/>
      <c r="AM837" s="5"/>
    </row>
    <row r="838" spans="20:39" x14ac:dyDescent="0.15">
      <c r="T838" s="5"/>
      <c r="V838" s="5"/>
      <c r="AK838" s="5"/>
      <c r="AM838" s="5"/>
    </row>
    <row r="839" spans="20:39" x14ac:dyDescent="0.15">
      <c r="T839" s="5"/>
      <c r="V839" s="5"/>
      <c r="AK839" s="5"/>
      <c r="AM839" s="5"/>
    </row>
    <row r="840" spans="20:39" x14ac:dyDescent="0.15">
      <c r="T840" s="5"/>
      <c r="V840" s="5"/>
      <c r="AK840" s="5"/>
      <c r="AM840" s="5"/>
    </row>
    <row r="841" spans="20:39" x14ac:dyDescent="0.15">
      <c r="T841" s="5"/>
      <c r="V841" s="5"/>
      <c r="AK841" s="5"/>
      <c r="AM841" s="5"/>
    </row>
    <row r="842" spans="20:39" x14ac:dyDescent="0.15">
      <c r="T842" s="5"/>
      <c r="V842" s="5"/>
      <c r="AK842" s="5"/>
      <c r="AM842" s="5"/>
    </row>
    <row r="843" spans="20:39" x14ac:dyDescent="0.15">
      <c r="T843" s="5"/>
      <c r="V843" s="5"/>
      <c r="AK843" s="5"/>
      <c r="AM843" s="5"/>
    </row>
    <row r="844" spans="20:39" x14ac:dyDescent="0.15">
      <c r="T844" s="5"/>
      <c r="V844" s="5"/>
      <c r="AK844" s="5"/>
      <c r="AM844" s="5"/>
    </row>
    <row r="845" spans="20:39" x14ac:dyDescent="0.15">
      <c r="T845" s="5"/>
      <c r="V845" s="5"/>
      <c r="AK845" s="5"/>
      <c r="AM845" s="5"/>
    </row>
    <row r="846" spans="20:39" x14ac:dyDescent="0.15">
      <c r="T846" s="5"/>
      <c r="V846" s="5"/>
      <c r="AK846" s="5"/>
      <c r="AM846" s="5"/>
    </row>
    <row r="847" spans="20:39" x14ac:dyDescent="0.15">
      <c r="T847" s="5"/>
      <c r="V847" s="5"/>
      <c r="AK847" s="5"/>
      <c r="AM847" s="5"/>
    </row>
    <row r="848" spans="20:39" x14ac:dyDescent="0.15">
      <c r="T848" s="5"/>
      <c r="V848" s="5"/>
      <c r="AK848" s="5"/>
      <c r="AM848" s="5"/>
    </row>
    <row r="849" spans="20:39" x14ac:dyDescent="0.15">
      <c r="T849" s="5"/>
      <c r="V849" s="5"/>
      <c r="AK849" s="5"/>
      <c r="AM849" s="5"/>
    </row>
    <row r="850" spans="20:39" x14ac:dyDescent="0.15">
      <c r="T850" s="5"/>
      <c r="V850" s="5"/>
      <c r="AK850" s="5"/>
      <c r="AM850" s="5"/>
    </row>
    <row r="851" spans="20:39" x14ac:dyDescent="0.15">
      <c r="T851" s="5"/>
      <c r="V851" s="5"/>
      <c r="AK851" s="5"/>
      <c r="AM851" s="5"/>
    </row>
    <row r="852" spans="20:39" x14ac:dyDescent="0.15">
      <c r="T852" s="5"/>
      <c r="V852" s="5"/>
      <c r="AK852" s="5"/>
      <c r="AM852" s="5"/>
    </row>
    <row r="853" spans="20:39" x14ac:dyDescent="0.15">
      <c r="T853" s="5"/>
      <c r="V853" s="5"/>
      <c r="AK853" s="5"/>
      <c r="AM853" s="5"/>
    </row>
    <row r="854" spans="20:39" x14ac:dyDescent="0.15">
      <c r="T854" s="5"/>
      <c r="V854" s="5"/>
      <c r="AK854" s="5"/>
      <c r="AM854" s="5"/>
    </row>
    <row r="855" spans="20:39" x14ac:dyDescent="0.15">
      <c r="T855" s="5"/>
      <c r="V855" s="5"/>
      <c r="AK855" s="5"/>
      <c r="AM855" s="5"/>
    </row>
    <row r="856" spans="20:39" x14ac:dyDescent="0.15">
      <c r="T856" s="5"/>
      <c r="V856" s="5"/>
      <c r="AK856" s="5"/>
      <c r="AM856" s="5"/>
    </row>
    <row r="857" spans="20:39" x14ac:dyDescent="0.15">
      <c r="T857" s="5"/>
      <c r="V857" s="5"/>
      <c r="AK857" s="5"/>
      <c r="AM857" s="5"/>
    </row>
    <row r="858" spans="20:39" x14ac:dyDescent="0.15">
      <c r="T858" s="5"/>
      <c r="V858" s="5"/>
      <c r="AK858" s="5"/>
      <c r="AM858" s="5"/>
    </row>
    <row r="859" spans="20:39" x14ac:dyDescent="0.15">
      <c r="T859" s="5"/>
      <c r="V859" s="5"/>
      <c r="AK859" s="5"/>
      <c r="AM859" s="5"/>
    </row>
    <row r="860" spans="20:39" x14ac:dyDescent="0.15">
      <c r="T860" s="5"/>
      <c r="V860" s="5"/>
      <c r="AK860" s="5"/>
      <c r="AM860" s="5"/>
    </row>
    <row r="861" spans="20:39" x14ac:dyDescent="0.15">
      <c r="T861" s="5"/>
      <c r="V861" s="5"/>
      <c r="AK861" s="5"/>
      <c r="AM861" s="5"/>
    </row>
    <row r="862" spans="20:39" x14ac:dyDescent="0.15">
      <c r="T862" s="5"/>
      <c r="V862" s="5"/>
      <c r="AK862" s="5"/>
      <c r="AM862" s="5"/>
    </row>
    <row r="863" spans="20:39" x14ac:dyDescent="0.15">
      <c r="T863" s="5"/>
      <c r="V863" s="5"/>
      <c r="AK863" s="5"/>
      <c r="AM863" s="5"/>
    </row>
    <row r="864" spans="20:39" x14ac:dyDescent="0.15">
      <c r="T864" s="5"/>
      <c r="V864" s="5"/>
      <c r="AK864" s="5"/>
      <c r="AM864" s="5"/>
    </row>
    <row r="865" spans="20:39" x14ac:dyDescent="0.15">
      <c r="T865" s="5"/>
      <c r="V865" s="5"/>
      <c r="AK865" s="5"/>
      <c r="AM865" s="5"/>
    </row>
    <row r="866" spans="20:39" x14ac:dyDescent="0.15">
      <c r="T866" s="5"/>
      <c r="V866" s="5"/>
      <c r="AK866" s="5"/>
      <c r="AM866" s="5"/>
    </row>
    <row r="867" spans="20:39" x14ac:dyDescent="0.15">
      <c r="T867" s="5"/>
      <c r="V867" s="5"/>
      <c r="AK867" s="5"/>
      <c r="AM867" s="5"/>
    </row>
    <row r="868" spans="20:39" x14ac:dyDescent="0.15">
      <c r="T868" s="5"/>
      <c r="V868" s="5"/>
      <c r="AK868" s="5"/>
      <c r="AM868" s="5"/>
    </row>
    <row r="869" spans="20:39" x14ac:dyDescent="0.15">
      <c r="T869" s="5"/>
      <c r="V869" s="5"/>
      <c r="AK869" s="5"/>
      <c r="AM869" s="5"/>
    </row>
    <row r="870" spans="20:39" x14ac:dyDescent="0.15">
      <c r="T870" s="5"/>
      <c r="V870" s="5"/>
      <c r="AK870" s="5"/>
      <c r="AM870" s="5"/>
    </row>
    <row r="871" spans="20:39" x14ac:dyDescent="0.15">
      <c r="T871" s="5"/>
      <c r="V871" s="5"/>
      <c r="AK871" s="5"/>
      <c r="AM871" s="5"/>
    </row>
    <row r="872" spans="20:39" x14ac:dyDescent="0.15">
      <c r="T872" s="5"/>
      <c r="V872" s="5"/>
      <c r="AK872" s="5"/>
      <c r="AM872" s="5"/>
    </row>
    <row r="873" spans="20:39" x14ac:dyDescent="0.15">
      <c r="T873" s="5"/>
      <c r="V873" s="5"/>
      <c r="AK873" s="5"/>
      <c r="AM873" s="5"/>
    </row>
    <row r="874" spans="20:39" x14ac:dyDescent="0.15">
      <c r="T874" s="5"/>
      <c r="V874" s="5"/>
      <c r="AK874" s="5"/>
      <c r="AM874" s="5"/>
    </row>
    <row r="875" spans="20:39" x14ac:dyDescent="0.15">
      <c r="T875" s="5"/>
      <c r="V875" s="5"/>
      <c r="AK875" s="5"/>
      <c r="AM875" s="5"/>
    </row>
    <row r="876" spans="20:39" x14ac:dyDescent="0.15">
      <c r="T876" s="5"/>
      <c r="V876" s="5"/>
      <c r="AK876" s="5"/>
      <c r="AM876" s="5"/>
    </row>
    <row r="877" spans="20:39" x14ac:dyDescent="0.15">
      <c r="T877" s="5"/>
      <c r="V877" s="5"/>
      <c r="AK877" s="5"/>
      <c r="AM877" s="5"/>
    </row>
    <row r="878" spans="20:39" x14ac:dyDescent="0.15">
      <c r="T878" s="5"/>
      <c r="V878" s="5"/>
      <c r="AK878" s="5"/>
      <c r="AM878" s="5"/>
    </row>
    <row r="879" spans="20:39" x14ac:dyDescent="0.15">
      <c r="T879" s="5"/>
      <c r="V879" s="5"/>
      <c r="AK879" s="5"/>
      <c r="AM879" s="5"/>
    </row>
    <row r="880" spans="20:39" x14ac:dyDescent="0.15">
      <c r="T880" s="5"/>
      <c r="V880" s="5"/>
      <c r="AK880" s="5"/>
      <c r="AM880" s="5"/>
    </row>
    <row r="881" spans="20:39" x14ac:dyDescent="0.15">
      <c r="T881" s="5"/>
      <c r="V881" s="5"/>
      <c r="AK881" s="5"/>
      <c r="AM881" s="5"/>
    </row>
    <row r="882" spans="20:39" x14ac:dyDescent="0.15">
      <c r="T882" s="5"/>
      <c r="V882" s="5"/>
      <c r="AK882" s="5"/>
      <c r="AM882" s="5"/>
    </row>
    <row r="883" spans="20:39" x14ac:dyDescent="0.15">
      <c r="T883" s="5"/>
      <c r="V883" s="5"/>
      <c r="AK883" s="5"/>
      <c r="AM883" s="5"/>
    </row>
    <row r="884" spans="20:39" x14ac:dyDescent="0.15">
      <c r="T884" s="5"/>
      <c r="V884" s="5"/>
      <c r="AK884" s="5"/>
      <c r="AM884" s="5"/>
    </row>
    <row r="885" spans="20:39" x14ac:dyDescent="0.15">
      <c r="T885" s="5"/>
      <c r="V885" s="5"/>
      <c r="AK885" s="5"/>
      <c r="AM885" s="5"/>
    </row>
    <row r="886" spans="20:39" x14ac:dyDescent="0.15">
      <c r="T886" s="5"/>
      <c r="V886" s="5"/>
      <c r="AK886" s="5"/>
      <c r="AM886" s="5"/>
    </row>
    <row r="887" spans="20:39" x14ac:dyDescent="0.15">
      <c r="T887" s="5"/>
      <c r="V887" s="5"/>
      <c r="AK887" s="5"/>
      <c r="AM887" s="5"/>
    </row>
    <row r="888" spans="20:39" x14ac:dyDescent="0.15">
      <c r="T888" s="5"/>
      <c r="V888" s="5"/>
      <c r="AK888" s="5"/>
      <c r="AM888" s="5"/>
    </row>
    <row r="889" spans="20:39" x14ac:dyDescent="0.15">
      <c r="T889" s="5"/>
      <c r="V889" s="5"/>
      <c r="AK889" s="5"/>
      <c r="AM889" s="5"/>
    </row>
    <row r="890" spans="20:39" x14ac:dyDescent="0.15">
      <c r="T890" s="5"/>
      <c r="V890" s="5"/>
      <c r="AK890" s="5"/>
      <c r="AM890" s="5"/>
    </row>
    <row r="891" spans="20:39" x14ac:dyDescent="0.15">
      <c r="T891" s="5"/>
      <c r="V891" s="5"/>
      <c r="AK891" s="5"/>
      <c r="AM891" s="5"/>
    </row>
    <row r="892" spans="20:39" x14ac:dyDescent="0.15">
      <c r="T892" s="5"/>
      <c r="V892" s="5"/>
      <c r="AK892" s="5"/>
      <c r="AM892" s="5"/>
    </row>
    <row r="893" spans="20:39" x14ac:dyDescent="0.15">
      <c r="T893" s="5"/>
      <c r="V893" s="5"/>
      <c r="AK893" s="5"/>
      <c r="AM893" s="5"/>
    </row>
    <row r="894" spans="20:39" x14ac:dyDescent="0.15">
      <c r="T894" s="5"/>
      <c r="V894" s="5"/>
      <c r="AK894" s="5"/>
      <c r="AM894" s="5"/>
    </row>
    <row r="895" spans="20:39" x14ac:dyDescent="0.15">
      <c r="T895" s="5"/>
      <c r="V895" s="5"/>
      <c r="AK895" s="5"/>
      <c r="AM895" s="5"/>
    </row>
    <row r="896" spans="20:39" x14ac:dyDescent="0.15">
      <c r="T896" s="5"/>
      <c r="V896" s="5"/>
      <c r="AK896" s="5"/>
      <c r="AM896" s="5"/>
    </row>
    <row r="897" spans="20:39" x14ac:dyDescent="0.15">
      <c r="T897" s="5"/>
      <c r="V897" s="5"/>
      <c r="AK897" s="5"/>
      <c r="AM897" s="5"/>
    </row>
    <row r="898" spans="20:39" x14ac:dyDescent="0.15">
      <c r="T898" s="5"/>
      <c r="V898" s="5"/>
      <c r="AK898" s="5"/>
      <c r="AM898" s="5"/>
    </row>
    <row r="899" spans="20:39" x14ac:dyDescent="0.15">
      <c r="T899" s="5"/>
      <c r="V899" s="5"/>
      <c r="AK899" s="5"/>
      <c r="AM899" s="5"/>
    </row>
    <row r="900" spans="20:39" x14ac:dyDescent="0.15">
      <c r="T900" s="5"/>
      <c r="V900" s="5"/>
      <c r="AK900" s="5"/>
      <c r="AM900" s="5"/>
    </row>
    <row r="901" spans="20:39" x14ac:dyDescent="0.15">
      <c r="T901" s="5"/>
      <c r="V901" s="5"/>
      <c r="AK901" s="5"/>
      <c r="AM901" s="5"/>
    </row>
    <row r="902" spans="20:39" x14ac:dyDescent="0.15">
      <c r="T902" s="5"/>
      <c r="V902" s="5"/>
      <c r="AK902" s="5"/>
      <c r="AM902" s="5"/>
    </row>
    <row r="903" spans="20:39" x14ac:dyDescent="0.15">
      <c r="T903" s="5"/>
      <c r="V903" s="5"/>
      <c r="AK903" s="5"/>
      <c r="AM903" s="5"/>
    </row>
    <row r="904" spans="20:39" x14ac:dyDescent="0.15">
      <c r="T904" s="5"/>
      <c r="V904" s="5"/>
      <c r="AK904" s="5"/>
      <c r="AM904" s="5"/>
    </row>
    <row r="905" spans="20:39" x14ac:dyDescent="0.15">
      <c r="T905" s="5"/>
      <c r="V905" s="5"/>
      <c r="AK905" s="5"/>
      <c r="AM905" s="5"/>
    </row>
    <row r="906" spans="20:39" x14ac:dyDescent="0.15">
      <c r="T906" s="5"/>
      <c r="V906" s="5"/>
      <c r="AK906" s="5"/>
      <c r="AM906" s="5"/>
    </row>
    <row r="907" spans="20:39" x14ac:dyDescent="0.15">
      <c r="T907" s="5"/>
      <c r="V907" s="5"/>
      <c r="AK907" s="5"/>
      <c r="AM907" s="5"/>
    </row>
    <row r="908" spans="20:39" x14ac:dyDescent="0.15">
      <c r="T908" s="5"/>
      <c r="V908" s="5"/>
      <c r="AK908" s="5"/>
      <c r="AM908" s="5"/>
    </row>
    <row r="909" spans="20:39" x14ac:dyDescent="0.15">
      <c r="T909" s="5"/>
      <c r="V909" s="5"/>
      <c r="AK909" s="5"/>
      <c r="AM909" s="5"/>
    </row>
    <row r="910" spans="20:39" x14ac:dyDescent="0.15">
      <c r="T910" s="5"/>
      <c r="V910" s="5"/>
      <c r="AK910" s="5"/>
      <c r="AM910" s="5"/>
    </row>
    <row r="911" spans="20:39" x14ac:dyDescent="0.15">
      <c r="T911" s="5"/>
      <c r="V911" s="5"/>
      <c r="AK911" s="5"/>
      <c r="AM911" s="5"/>
    </row>
    <row r="912" spans="20:39" x14ac:dyDescent="0.15">
      <c r="T912" s="5"/>
      <c r="V912" s="5"/>
      <c r="AK912" s="5"/>
      <c r="AM912" s="5"/>
    </row>
    <row r="913" spans="20:39" x14ac:dyDescent="0.15">
      <c r="T913" s="5"/>
      <c r="V913" s="5"/>
      <c r="AK913" s="5"/>
      <c r="AM913" s="5"/>
    </row>
    <row r="914" spans="20:39" x14ac:dyDescent="0.15">
      <c r="T914" s="5"/>
      <c r="V914" s="5"/>
      <c r="AK914" s="5"/>
      <c r="AM914" s="5"/>
    </row>
    <row r="915" spans="20:39" x14ac:dyDescent="0.15">
      <c r="T915" s="5"/>
      <c r="V915" s="5"/>
      <c r="AK915" s="5"/>
      <c r="AM915" s="5"/>
    </row>
    <row r="916" spans="20:39" x14ac:dyDescent="0.15">
      <c r="T916" s="5"/>
      <c r="V916" s="5"/>
      <c r="AK916" s="5"/>
      <c r="AM916" s="5"/>
    </row>
    <row r="917" spans="20:39" x14ac:dyDescent="0.15">
      <c r="T917" s="5"/>
      <c r="V917" s="5"/>
      <c r="AK917" s="5"/>
      <c r="AM917" s="5"/>
    </row>
    <row r="918" spans="20:39" x14ac:dyDescent="0.15">
      <c r="T918" s="5"/>
      <c r="V918" s="5"/>
      <c r="AK918" s="5"/>
      <c r="AM918" s="5"/>
    </row>
    <row r="919" spans="20:39" x14ac:dyDescent="0.15">
      <c r="T919" s="5"/>
      <c r="V919" s="5"/>
      <c r="AK919" s="5"/>
      <c r="AM919" s="5"/>
    </row>
    <row r="920" spans="20:39" x14ac:dyDescent="0.15">
      <c r="T920" s="5"/>
      <c r="V920" s="5"/>
      <c r="AK920" s="5"/>
      <c r="AM920" s="5"/>
    </row>
    <row r="921" spans="20:39" x14ac:dyDescent="0.15">
      <c r="T921" s="5"/>
      <c r="V921" s="5"/>
      <c r="AK921" s="5"/>
      <c r="AM921" s="5"/>
    </row>
    <row r="922" spans="20:39" x14ac:dyDescent="0.15">
      <c r="T922" s="5"/>
      <c r="V922" s="5"/>
      <c r="AK922" s="5"/>
      <c r="AM922" s="5"/>
    </row>
    <row r="923" spans="20:39" x14ac:dyDescent="0.15">
      <c r="T923" s="5"/>
      <c r="V923" s="5"/>
      <c r="AK923" s="5"/>
      <c r="AM923" s="5"/>
    </row>
    <row r="924" spans="20:39" x14ac:dyDescent="0.15">
      <c r="T924" s="5"/>
      <c r="V924" s="5"/>
      <c r="AK924" s="5"/>
      <c r="AM924" s="5"/>
    </row>
    <row r="925" spans="20:39" x14ac:dyDescent="0.15">
      <c r="T925" s="5"/>
      <c r="V925" s="5"/>
      <c r="AK925" s="5"/>
      <c r="AM925" s="5"/>
    </row>
    <row r="926" spans="20:39" x14ac:dyDescent="0.15">
      <c r="T926" s="5"/>
      <c r="V926" s="5"/>
      <c r="AK926" s="5"/>
      <c r="AM926" s="5"/>
    </row>
    <row r="927" spans="20:39" x14ac:dyDescent="0.15">
      <c r="T927" s="5"/>
      <c r="V927" s="5"/>
      <c r="AK927" s="5"/>
      <c r="AM927" s="5"/>
    </row>
    <row r="928" spans="20:39" x14ac:dyDescent="0.15">
      <c r="T928" s="5"/>
      <c r="V928" s="5"/>
      <c r="AK928" s="5"/>
      <c r="AM928" s="5"/>
    </row>
    <row r="929" spans="20:39" x14ac:dyDescent="0.15">
      <c r="T929" s="5"/>
      <c r="V929" s="5"/>
      <c r="AK929" s="5"/>
      <c r="AM929" s="5"/>
    </row>
    <row r="930" spans="20:39" x14ac:dyDescent="0.15">
      <c r="T930" s="5"/>
      <c r="V930" s="5"/>
      <c r="AK930" s="5"/>
      <c r="AM930" s="5"/>
    </row>
    <row r="931" spans="20:39" x14ac:dyDescent="0.15">
      <c r="T931" s="5"/>
      <c r="V931" s="5"/>
      <c r="AK931" s="5"/>
      <c r="AM931" s="5"/>
    </row>
    <row r="932" spans="20:39" x14ac:dyDescent="0.15">
      <c r="T932" s="5"/>
      <c r="V932" s="5"/>
      <c r="AK932" s="5"/>
      <c r="AM932" s="5"/>
    </row>
    <row r="933" spans="20:39" x14ac:dyDescent="0.15">
      <c r="T933" s="5"/>
      <c r="V933" s="5"/>
      <c r="AK933" s="5"/>
      <c r="AM933" s="5"/>
    </row>
    <row r="934" spans="20:39" x14ac:dyDescent="0.15">
      <c r="T934" s="5"/>
      <c r="V934" s="5"/>
      <c r="AK934" s="5"/>
      <c r="AM934" s="5"/>
    </row>
    <row r="935" spans="20:39" x14ac:dyDescent="0.15">
      <c r="T935" s="5"/>
      <c r="V935" s="5"/>
      <c r="AK935" s="5"/>
      <c r="AM935" s="5"/>
    </row>
    <row r="936" spans="20:39" x14ac:dyDescent="0.15">
      <c r="T936" s="5"/>
      <c r="V936" s="5"/>
      <c r="AK936" s="5"/>
      <c r="AM936" s="5"/>
    </row>
    <row r="937" spans="20:39" x14ac:dyDescent="0.15">
      <c r="T937" s="5"/>
      <c r="V937" s="5"/>
      <c r="AK937" s="5"/>
      <c r="AM937" s="5"/>
    </row>
    <row r="938" spans="20:39" x14ac:dyDescent="0.15">
      <c r="T938" s="5"/>
      <c r="V938" s="5"/>
      <c r="AK938" s="5"/>
      <c r="AM938" s="5"/>
    </row>
    <row r="939" spans="20:39" x14ac:dyDescent="0.15">
      <c r="T939" s="5"/>
      <c r="V939" s="5"/>
      <c r="AK939" s="5"/>
      <c r="AM939" s="5"/>
    </row>
    <row r="940" spans="20:39" x14ac:dyDescent="0.15">
      <c r="T940" s="5"/>
      <c r="V940" s="5"/>
      <c r="AK940" s="5"/>
      <c r="AM940" s="5"/>
    </row>
    <row r="941" spans="20:39" x14ac:dyDescent="0.15">
      <c r="T941" s="5"/>
      <c r="V941" s="5"/>
      <c r="AK941" s="5"/>
      <c r="AM941" s="5"/>
    </row>
    <row r="942" spans="20:39" x14ac:dyDescent="0.15">
      <c r="T942" s="5"/>
      <c r="V942" s="5"/>
      <c r="AK942" s="5"/>
      <c r="AM942" s="5"/>
    </row>
    <row r="943" spans="20:39" x14ac:dyDescent="0.15">
      <c r="T943" s="5"/>
      <c r="V943" s="5"/>
      <c r="AK943" s="5"/>
      <c r="AM943" s="5"/>
    </row>
    <row r="944" spans="20:39" x14ac:dyDescent="0.15">
      <c r="T944" s="5"/>
      <c r="V944" s="5"/>
      <c r="AK944" s="5"/>
      <c r="AM944" s="5"/>
    </row>
    <row r="945" spans="20:39" x14ac:dyDescent="0.15">
      <c r="T945" s="5"/>
      <c r="V945" s="5"/>
      <c r="AK945" s="5"/>
      <c r="AM945" s="5"/>
    </row>
    <row r="946" spans="20:39" x14ac:dyDescent="0.15">
      <c r="T946" s="5"/>
      <c r="V946" s="5"/>
      <c r="AK946" s="5"/>
      <c r="AM946" s="5"/>
    </row>
    <row r="947" spans="20:39" x14ac:dyDescent="0.15">
      <c r="T947" s="5"/>
      <c r="V947" s="5"/>
      <c r="AK947" s="5"/>
      <c r="AM947" s="5"/>
    </row>
    <row r="948" spans="20:39" x14ac:dyDescent="0.15">
      <c r="T948" s="5"/>
      <c r="V948" s="5"/>
      <c r="AK948" s="5"/>
      <c r="AM948" s="5"/>
    </row>
    <row r="949" spans="20:39" x14ac:dyDescent="0.15">
      <c r="T949" s="5"/>
      <c r="V949" s="5"/>
      <c r="AK949" s="5"/>
      <c r="AM949" s="5"/>
    </row>
    <row r="950" spans="20:39" x14ac:dyDescent="0.15">
      <c r="T950" s="5"/>
      <c r="V950" s="5"/>
      <c r="AK950" s="5"/>
      <c r="AM950" s="5"/>
    </row>
    <row r="951" spans="20:39" x14ac:dyDescent="0.15">
      <c r="T951" s="5"/>
      <c r="V951" s="5"/>
      <c r="AK951" s="5"/>
      <c r="AM951" s="5"/>
    </row>
    <row r="952" spans="20:39" x14ac:dyDescent="0.15">
      <c r="T952" s="5"/>
      <c r="V952" s="5"/>
      <c r="AK952" s="5"/>
      <c r="AM952" s="5"/>
    </row>
    <row r="953" spans="20:39" x14ac:dyDescent="0.15">
      <c r="T953" s="5"/>
      <c r="V953" s="5"/>
      <c r="AK953" s="5"/>
      <c r="AM953" s="5"/>
    </row>
    <row r="954" spans="20:39" x14ac:dyDescent="0.15">
      <c r="T954" s="5"/>
      <c r="V954" s="5"/>
      <c r="AK954" s="5"/>
      <c r="AM954" s="5"/>
    </row>
    <row r="955" spans="20:39" x14ac:dyDescent="0.15">
      <c r="T955" s="5"/>
      <c r="V955" s="5"/>
      <c r="AK955" s="5"/>
      <c r="AM955" s="5"/>
    </row>
    <row r="956" spans="20:39" x14ac:dyDescent="0.15">
      <c r="T956" s="5"/>
      <c r="V956" s="5"/>
      <c r="AK956" s="5"/>
      <c r="AM956" s="5"/>
    </row>
    <row r="957" spans="20:39" x14ac:dyDescent="0.15">
      <c r="T957" s="5"/>
      <c r="V957" s="5"/>
      <c r="AK957" s="5"/>
      <c r="AM957" s="5"/>
    </row>
    <row r="958" spans="20:39" x14ac:dyDescent="0.15">
      <c r="T958" s="5"/>
      <c r="V958" s="5"/>
      <c r="AK958" s="5"/>
      <c r="AM958" s="5"/>
    </row>
    <row r="959" spans="20:39" x14ac:dyDescent="0.15">
      <c r="T959" s="5"/>
      <c r="V959" s="5"/>
      <c r="AK959" s="5"/>
      <c r="AM959" s="5"/>
    </row>
    <row r="960" spans="20:39" x14ac:dyDescent="0.15">
      <c r="T960" s="5"/>
      <c r="V960" s="5"/>
      <c r="AK960" s="5"/>
      <c r="AM960" s="5"/>
    </row>
    <row r="961" spans="20:39" x14ac:dyDescent="0.15">
      <c r="T961" s="5"/>
      <c r="V961" s="5"/>
      <c r="AK961" s="5"/>
      <c r="AM961" s="5"/>
    </row>
    <row r="962" spans="20:39" x14ac:dyDescent="0.15">
      <c r="T962" s="5"/>
      <c r="V962" s="5"/>
      <c r="AK962" s="5"/>
      <c r="AM962" s="5"/>
    </row>
    <row r="963" spans="20:39" x14ac:dyDescent="0.15">
      <c r="T963" s="5"/>
      <c r="V963" s="5"/>
      <c r="AK963" s="5"/>
      <c r="AM963" s="5"/>
    </row>
    <row r="964" spans="20:39" x14ac:dyDescent="0.15">
      <c r="T964" s="5"/>
      <c r="V964" s="5"/>
      <c r="AK964" s="5"/>
      <c r="AM964" s="5"/>
    </row>
    <row r="965" spans="20:39" x14ac:dyDescent="0.15">
      <c r="T965" s="5"/>
      <c r="V965" s="5"/>
      <c r="AK965" s="5"/>
      <c r="AM965" s="5"/>
    </row>
    <row r="966" spans="20:39" x14ac:dyDescent="0.15">
      <c r="T966" s="5"/>
      <c r="V966" s="5"/>
      <c r="AK966" s="5"/>
      <c r="AM966" s="5"/>
    </row>
    <row r="967" spans="20:39" x14ac:dyDescent="0.15">
      <c r="T967" s="5"/>
      <c r="V967" s="5"/>
      <c r="AK967" s="5"/>
      <c r="AM967" s="5"/>
    </row>
    <row r="968" spans="20:39" x14ac:dyDescent="0.15">
      <c r="T968" s="5"/>
      <c r="V968" s="5"/>
      <c r="AK968" s="5"/>
      <c r="AM968" s="5"/>
    </row>
    <row r="969" spans="20:39" x14ac:dyDescent="0.15">
      <c r="T969" s="5"/>
      <c r="V969" s="5"/>
      <c r="AK969" s="5"/>
      <c r="AM969" s="5"/>
    </row>
    <row r="970" spans="20:39" x14ac:dyDescent="0.15">
      <c r="T970" s="5"/>
      <c r="V970" s="5"/>
      <c r="AK970" s="5"/>
      <c r="AM970" s="5"/>
    </row>
    <row r="971" spans="20:39" x14ac:dyDescent="0.15">
      <c r="T971" s="5"/>
      <c r="V971" s="5"/>
      <c r="AK971" s="5"/>
      <c r="AM971" s="5"/>
    </row>
    <row r="972" spans="20:39" x14ac:dyDescent="0.15">
      <c r="T972" s="5"/>
      <c r="V972" s="5"/>
      <c r="AK972" s="5"/>
      <c r="AM972" s="5"/>
    </row>
    <row r="973" spans="20:39" x14ac:dyDescent="0.15">
      <c r="T973" s="5"/>
      <c r="V973" s="5"/>
      <c r="AK973" s="5"/>
      <c r="AM973" s="5"/>
    </row>
    <row r="974" spans="20:39" x14ac:dyDescent="0.15">
      <c r="T974" s="5"/>
      <c r="V974" s="5"/>
      <c r="AK974" s="5"/>
      <c r="AM974" s="5"/>
    </row>
    <row r="975" spans="20:39" x14ac:dyDescent="0.15">
      <c r="T975" s="5"/>
      <c r="V975" s="5"/>
      <c r="AK975" s="5"/>
      <c r="AM975" s="5"/>
    </row>
    <row r="976" spans="20:39" x14ac:dyDescent="0.15">
      <c r="T976" s="5"/>
      <c r="V976" s="5"/>
      <c r="AK976" s="5"/>
      <c r="AM976" s="5"/>
    </row>
    <row r="977" spans="20:39" x14ac:dyDescent="0.15">
      <c r="T977" s="5"/>
      <c r="V977" s="5"/>
      <c r="AK977" s="5"/>
      <c r="AM977" s="5"/>
    </row>
    <row r="978" spans="20:39" x14ac:dyDescent="0.15">
      <c r="T978" s="5"/>
      <c r="V978" s="5"/>
      <c r="AK978" s="5"/>
      <c r="AM978" s="5"/>
    </row>
    <row r="979" spans="20:39" x14ac:dyDescent="0.15">
      <c r="T979" s="5"/>
      <c r="V979" s="5"/>
      <c r="AK979" s="5"/>
      <c r="AM979" s="5"/>
    </row>
    <row r="980" spans="20:39" x14ac:dyDescent="0.15">
      <c r="T980" s="5"/>
      <c r="V980" s="5"/>
      <c r="AK980" s="5"/>
      <c r="AM980" s="5"/>
    </row>
    <row r="981" spans="20:39" x14ac:dyDescent="0.15">
      <c r="T981" s="5"/>
      <c r="V981" s="5"/>
      <c r="AK981" s="5"/>
      <c r="AM981" s="5"/>
    </row>
    <row r="982" spans="20:39" x14ac:dyDescent="0.15">
      <c r="T982" s="5"/>
      <c r="V982" s="5"/>
      <c r="AK982" s="5"/>
      <c r="AM982" s="5"/>
    </row>
    <row r="983" spans="20:39" x14ac:dyDescent="0.15">
      <c r="T983" s="5"/>
      <c r="V983" s="5"/>
      <c r="AK983" s="5"/>
      <c r="AM983" s="5"/>
    </row>
    <row r="984" spans="20:39" x14ac:dyDescent="0.15">
      <c r="T984" s="5"/>
      <c r="V984" s="5"/>
      <c r="AK984" s="5"/>
      <c r="AM984" s="5"/>
    </row>
    <row r="985" spans="20:39" x14ac:dyDescent="0.15">
      <c r="T985" s="5"/>
      <c r="V985" s="5"/>
      <c r="AK985" s="5"/>
      <c r="AM985" s="5"/>
    </row>
    <row r="986" spans="20:39" x14ac:dyDescent="0.15">
      <c r="T986" s="5"/>
      <c r="V986" s="5"/>
      <c r="AK986" s="5"/>
      <c r="AM986" s="5"/>
    </row>
    <row r="987" spans="20:39" x14ac:dyDescent="0.15">
      <c r="T987" s="5"/>
      <c r="V987" s="5"/>
      <c r="AK987" s="5"/>
      <c r="AM987" s="5"/>
    </row>
    <row r="988" spans="20:39" x14ac:dyDescent="0.15">
      <c r="T988" s="5"/>
      <c r="V988" s="5"/>
      <c r="AK988" s="5"/>
      <c r="AM988" s="5"/>
    </row>
    <row r="989" spans="20:39" x14ac:dyDescent="0.15">
      <c r="T989" s="5"/>
      <c r="V989" s="5"/>
      <c r="AK989" s="5"/>
      <c r="AM989" s="5"/>
    </row>
    <row r="990" spans="20:39" x14ac:dyDescent="0.15">
      <c r="T990" s="5"/>
      <c r="V990" s="5"/>
      <c r="AK990" s="5"/>
      <c r="AM990" s="5"/>
    </row>
    <row r="991" spans="20:39" x14ac:dyDescent="0.15">
      <c r="T991" s="5"/>
      <c r="V991" s="5"/>
      <c r="AK991" s="5"/>
      <c r="AM991" s="5"/>
    </row>
    <row r="992" spans="20:39" x14ac:dyDescent="0.15">
      <c r="T992" s="5"/>
      <c r="V992" s="5"/>
      <c r="AK992" s="5"/>
      <c r="AM992" s="5"/>
    </row>
    <row r="993" spans="20:39" x14ac:dyDescent="0.15">
      <c r="T993" s="5"/>
      <c r="V993" s="5"/>
      <c r="AK993" s="5"/>
      <c r="AM993" s="5"/>
    </row>
    <row r="994" spans="20:39" x14ac:dyDescent="0.15">
      <c r="T994" s="5"/>
      <c r="V994" s="5"/>
      <c r="AK994" s="5"/>
      <c r="AM994" s="5"/>
    </row>
    <row r="995" spans="20:39" x14ac:dyDescent="0.15">
      <c r="T995" s="5"/>
      <c r="V995" s="5"/>
      <c r="AK995" s="5"/>
      <c r="AM995" s="5"/>
    </row>
    <row r="996" spans="20:39" x14ac:dyDescent="0.15">
      <c r="T996" s="5"/>
      <c r="V996" s="5"/>
      <c r="AK996" s="5"/>
      <c r="AM996" s="5"/>
    </row>
    <row r="997" spans="20:39" x14ac:dyDescent="0.15">
      <c r="T997" s="5"/>
      <c r="V997" s="5"/>
      <c r="AK997" s="5"/>
      <c r="AM997" s="5"/>
    </row>
    <row r="998" spans="20:39" x14ac:dyDescent="0.15">
      <c r="T998" s="5"/>
      <c r="V998" s="5"/>
      <c r="AK998" s="5"/>
      <c r="AM998" s="5"/>
    </row>
    <row r="999" spans="20:39" x14ac:dyDescent="0.15">
      <c r="T999" s="5"/>
      <c r="V999" s="5"/>
      <c r="AK999" s="5"/>
      <c r="AM999" s="5"/>
    </row>
    <row r="1000" spans="20:39" x14ac:dyDescent="0.15">
      <c r="T1000" s="5"/>
      <c r="V1000" s="5"/>
      <c r="AK1000" s="5"/>
      <c r="AM1000" s="5"/>
    </row>
    <row r="1001" spans="20:39" x14ac:dyDescent="0.15">
      <c r="T1001" s="5"/>
      <c r="V1001" s="5"/>
      <c r="AK1001" s="5"/>
      <c r="AM1001" s="5"/>
    </row>
    <row r="1002" spans="20:39" x14ac:dyDescent="0.15">
      <c r="T1002" s="5"/>
      <c r="V1002" s="5"/>
      <c r="AK1002" s="5"/>
      <c r="AM1002" s="5"/>
    </row>
    <row r="1003" spans="20:39" x14ac:dyDescent="0.15">
      <c r="T1003" s="5"/>
      <c r="V1003" s="5"/>
      <c r="AK1003" s="5"/>
      <c r="AM1003" s="5"/>
    </row>
    <row r="1004" spans="20:39" x14ac:dyDescent="0.15">
      <c r="T1004" s="5"/>
      <c r="V1004" s="5"/>
      <c r="AK1004" s="5"/>
      <c r="AM1004" s="5"/>
    </row>
    <row r="1005" spans="20:39" x14ac:dyDescent="0.15">
      <c r="T1005" s="5"/>
      <c r="V1005" s="5"/>
      <c r="AK1005" s="5"/>
      <c r="AM1005" s="5"/>
    </row>
    <row r="1006" spans="20:39" x14ac:dyDescent="0.15">
      <c r="T1006" s="5"/>
      <c r="V1006" s="5"/>
      <c r="AK1006" s="5"/>
      <c r="AM1006" s="5"/>
    </row>
    <row r="1007" spans="20:39" x14ac:dyDescent="0.15">
      <c r="T1007" s="5"/>
      <c r="V1007" s="5"/>
      <c r="AK1007" s="5"/>
      <c r="AM1007" s="5"/>
    </row>
    <row r="1008" spans="20:39" x14ac:dyDescent="0.15">
      <c r="T1008" s="5"/>
      <c r="V1008" s="5"/>
      <c r="AK1008" s="5"/>
      <c r="AM1008" s="5"/>
    </row>
    <row r="1009" spans="20:39" x14ac:dyDescent="0.15">
      <c r="T1009" s="5"/>
      <c r="V1009" s="5"/>
      <c r="AK1009" s="5"/>
      <c r="AM1009" s="5"/>
    </row>
    <row r="1010" spans="20:39" x14ac:dyDescent="0.15">
      <c r="T1010" s="5"/>
      <c r="V1010" s="5"/>
      <c r="AK1010" s="5"/>
      <c r="AM1010" s="5"/>
    </row>
    <row r="1011" spans="20:39" x14ac:dyDescent="0.15">
      <c r="T1011" s="5"/>
      <c r="V1011" s="5"/>
      <c r="AK1011" s="5"/>
      <c r="AM1011" s="5"/>
    </row>
    <row r="1012" spans="20:39" x14ac:dyDescent="0.15">
      <c r="T1012" s="5"/>
      <c r="V1012" s="5"/>
      <c r="AK1012" s="5"/>
      <c r="AM1012" s="5"/>
    </row>
    <row r="1013" spans="20:39" x14ac:dyDescent="0.15">
      <c r="T1013" s="5"/>
      <c r="V1013" s="5"/>
      <c r="AK1013" s="5"/>
      <c r="AM1013" s="5"/>
    </row>
    <row r="1014" spans="20:39" x14ac:dyDescent="0.15">
      <c r="T1014" s="5"/>
      <c r="V1014" s="5"/>
      <c r="AK1014" s="5"/>
      <c r="AM1014" s="5"/>
    </row>
    <row r="1015" spans="20:39" x14ac:dyDescent="0.15">
      <c r="T1015" s="5"/>
      <c r="V1015" s="5"/>
      <c r="AK1015" s="5"/>
      <c r="AM1015" s="5"/>
    </row>
    <row r="1016" spans="20:39" x14ac:dyDescent="0.15">
      <c r="T1016" s="5"/>
      <c r="V1016" s="5"/>
      <c r="AK1016" s="5"/>
      <c r="AM1016" s="5"/>
    </row>
    <row r="1017" spans="20:39" x14ac:dyDescent="0.15">
      <c r="T1017" s="5"/>
      <c r="V1017" s="5"/>
      <c r="AK1017" s="5"/>
      <c r="AM1017" s="5"/>
    </row>
    <row r="1018" spans="20:39" x14ac:dyDescent="0.15">
      <c r="T1018" s="5"/>
      <c r="V1018" s="5"/>
      <c r="AK1018" s="5"/>
      <c r="AM1018" s="5"/>
    </row>
    <row r="1019" spans="20:39" x14ac:dyDescent="0.15">
      <c r="T1019" s="5"/>
      <c r="V1019" s="5"/>
      <c r="AK1019" s="5"/>
      <c r="AM1019" s="5"/>
    </row>
    <row r="1020" spans="20:39" x14ac:dyDescent="0.15">
      <c r="T1020" s="5"/>
      <c r="V1020" s="5"/>
      <c r="AK1020" s="5"/>
      <c r="AM1020" s="5"/>
    </row>
    <row r="1021" spans="20:39" x14ac:dyDescent="0.15">
      <c r="T1021" s="5"/>
      <c r="V1021" s="5"/>
      <c r="AK1021" s="5"/>
      <c r="AM1021" s="5"/>
    </row>
    <row r="1022" spans="20:39" x14ac:dyDescent="0.15">
      <c r="T1022" s="5"/>
      <c r="V1022" s="5"/>
      <c r="AK1022" s="5"/>
      <c r="AM1022" s="5"/>
    </row>
    <row r="1023" spans="20:39" x14ac:dyDescent="0.15">
      <c r="T1023" s="5"/>
      <c r="V1023" s="5"/>
      <c r="AK1023" s="5"/>
      <c r="AM1023" s="5"/>
    </row>
    <row r="1024" spans="20:39" x14ac:dyDescent="0.15">
      <c r="T1024" s="5"/>
      <c r="V1024" s="5"/>
      <c r="AK1024" s="5"/>
      <c r="AM1024" s="5"/>
    </row>
    <row r="1025" spans="20:39" x14ac:dyDescent="0.15">
      <c r="T1025" s="5"/>
      <c r="V1025" s="5"/>
      <c r="AK1025" s="5"/>
      <c r="AM1025" s="5"/>
    </row>
    <row r="1026" spans="20:39" x14ac:dyDescent="0.15">
      <c r="T1026" s="5"/>
      <c r="V1026" s="5"/>
      <c r="AK1026" s="5"/>
      <c r="AM1026" s="5"/>
    </row>
    <row r="1027" spans="20:39" x14ac:dyDescent="0.15">
      <c r="T1027" s="5"/>
      <c r="V1027" s="5"/>
      <c r="AK1027" s="5"/>
      <c r="AM1027" s="5"/>
    </row>
    <row r="1028" spans="20:39" x14ac:dyDescent="0.15">
      <c r="T1028" s="5"/>
      <c r="V1028" s="5"/>
      <c r="AK1028" s="5"/>
      <c r="AM1028" s="5"/>
    </row>
    <row r="1029" spans="20:39" x14ac:dyDescent="0.15">
      <c r="T1029" s="5"/>
      <c r="V1029" s="5"/>
      <c r="AK1029" s="5"/>
      <c r="AM1029" s="5"/>
    </row>
    <row r="1030" spans="20:39" x14ac:dyDescent="0.15">
      <c r="T1030" s="5"/>
      <c r="V1030" s="5"/>
      <c r="AK1030" s="5"/>
      <c r="AM1030" s="5"/>
    </row>
    <row r="1031" spans="20:39" x14ac:dyDescent="0.15">
      <c r="T1031" s="5"/>
      <c r="V1031" s="5"/>
      <c r="AK1031" s="5"/>
      <c r="AM1031" s="5"/>
    </row>
    <row r="1032" spans="20:39" x14ac:dyDescent="0.15">
      <c r="T1032" s="5"/>
      <c r="V1032" s="5"/>
      <c r="AK1032" s="5"/>
      <c r="AM1032" s="5"/>
    </row>
    <row r="1033" spans="20:39" x14ac:dyDescent="0.15">
      <c r="T1033" s="5"/>
      <c r="V1033" s="5"/>
      <c r="AK1033" s="5"/>
      <c r="AM1033" s="5"/>
    </row>
    <row r="1034" spans="20:39" x14ac:dyDescent="0.15">
      <c r="T1034" s="5"/>
      <c r="V1034" s="5"/>
      <c r="AK1034" s="5"/>
      <c r="AM1034" s="5"/>
    </row>
    <row r="1035" spans="20:39" x14ac:dyDescent="0.15">
      <c r="T1035" s="5"/>
      <c r="V1035" s="5"/>
      <c r="AK1035" s="5"/>
      <c r="AM1035" s="5"/>
    </row>
    <row r="1036" spans="20:39" x14ac:dyDescent="0.15">
      <c r="T1036" s="5"/>
      <c r="V1036" s="5"/>
      <c r="AK1036" s="5"/>
      <c r="AM1036" s="5"/>
    </row>
    <row r="1037" spans="20:39" x14ac:dyDescent="0.15">
      <c r="T1037" s="5"/>
      <c r="V1037" s="5"/>
      <c r="AK1037" s="5"/>
      <c r="AM1037" s="5"/>
    </row>
    <row r="1038" spans="20:39" x14ac:dyDescent="0.15">
      <c r="T1038" s="5"/>
      <c r="V1038" s="5"/>
      <c r="AK1038" s="5"/>
      <c r="AM1038" s="5"/>
    </row>
    <row r="1039" spans="20:39" x14ac:dyDescent="0.15">
      <c r="T1039" s="5"/>
      <c r="V1039" s="5"/>
      <c r="AK1039" s="5"/>
      <c r="AM1039" s="5"/>
    </row>
    <row r="1040" spans="20:39" x14ac:dyDescent="0.15">
      <c r="T1040" s="5"/>
      <c r="V1040" s="5"/>
      <c r="AK1040" s="5"/>
      <c r="AM1040" s="5"/>
    </row>
    <row r="1041" spans="20:39" x14ac:dyDescent="0.15">
      <c r="T1041" s="5"/>
      <c r="V1041" s="5"/>
      <c r="AK1041" s="5"/>
      <c r="AM1041" s="5"/>
    </row>
    <row r="1042" spans="20:39" x14ac:dyDescent="0.15">
      <c r="T1042" s="5"/>
      <c r="V1042" s="5"/>
      <c r="AK1042" s="5"/>
      <c r="AM1042" s="5"/>
    </row>
    <row r="1043" spans="20:39" x14ac:dyDescent="0.15">
      <c r="T1043" s="5"/>
      <c r="V1043" s="5"/>
      <c r="AK1043" s="5"/>
      <c r="AM1043" s="5"/>
    </row>
    <row r="1044" spans="20:39" x14ac:dyDescent="0.15">
      <c r="T1044" s="5"/>
      <c r="V1044" s="5"/>
      <c r="AK1044" s="5"/>
      <c r="AM1044" s="5"/>
    </row>
    <row r="1045" spans="20:39" x14ac:dyDescent="0.15">
      <c r="T1045" s="5"/>
      <c r="V1045" s="5"/>
      <c r="AK1045" s="5"/>
      <c r="AM1045" s="5"/>
    </row>
    <row r="1046" spans="20:39" x14ac:dyDescent="0.15">
      <c r="T1046" s="5"/>
      <c r="V1046" s="5"/>
      <c r="AK1046" s="5"/>
      <c r="AM1046" s="5"/>
    </row>
    <row r="1047" spans="20:39" x14ac:dyDescent="0.15">
      <c r="T1047" s="5"/>
      <c r="V1047" s="5"/>
      <c r="AK1047" s="5"/>
      <c r="AM1047" s="5"/>
    </row>
    <row r="1048" spans="20:39" x14ac:dyDescent="0.15">
      <c r="T1048" s="5"/>
      <c r="V1048" s="5"/>
      <c r="AK1048" s="5"/>
      <c r="AM1048" s="5"/>
    </row>
    <row r="1049" spans="20:39" x14ac:dyDescent="0.15">
      <c r="T1049" s="5"/>
      <c r="V1049" s="5"/>
      <c r="AK1049" s="5"/>
      <c r="AM1049" s="5"/>
    </row>
    <row r="1050" spans="20:39" x14ac:dyDescent="0.15">
      <c r="T1050" s="5"/>
      <c r="V1050" s="5"/>
      <c r="AK1050" s="5"/>
      <c r="AM1050" s="5"/>
    </row>
    <row r="1051" spans="20:39" x14ac:dyDescent="0.15">
      <c r="T1051" s="5"/>
      <c r="V1051" s="5"/>
      <c r="AK1051" s="5"/>
      <c r="AM1051" s="5"/>
    </row>
    <row r="1052" spans="20:39" x14ac:dyDescent="0.15">
      <c r="T1052" s="5"/>
      <c r="V1052" s="5"/>
      <c r="AK1052" s="5"/>
      <c r="AM1052" s="5"/>
    </row>
    <row r="1053" spans="20:39" x14ac:dyDescent="0.15">
      <c r="T1053" s="5"/>
      <c r="V1053" s="5"/>
      <c r="AK1053" s="5"/>
      <c r="AM1053" s="5"/>
    </row>
    <row r="1054" spans="20:39" x14ac:dyDescent="0.15">
      <c r="T1054" s="5"/>
      <c r="V1054" s="5"/>
      <c r="AK1054" s="5"/>
      <c r="AM1054" s="5"/>
    </row>
    <row r="1055" spans="20:39" x14ac:dyDescent="0.15">
      <c r="T1055" s="5"/>
      <c r="V1055" s="5"/>
      <c r="AK1055" s="5"/>
      <c r="AM1055" s="5"/>
    </row>
    <row r="1056" spans="20:39" x14ac:dyDescent="0.15">
      <c r="T1056" s="5"/>
      <c r="V1056" s="5"/>
      <c r="AK1056" s="5"/>
      <c r="AM1056" s="5"/>
    </row>
    <row r="1057" spans="20:39" x14ac:dyDescent="0.15">
      <c r="T1057" s="5"/>
      <c r="V1057" s="5"/>
      <c r="AK1057" s="5"/>
      <c r="AM1057" s="5"/>
    </row>
    <row r="1058" spans="20:39" x14ac:dyDescent="0.15">
      <c r="T1058" s="5"/>
      <c r="V1058" s="5"/>
      <c r="AK1058" s="5"/>
      <c r="AM1058" s="5"/>
    </row>
    <row r="1059" spans="20:39" x14ac:dyDescent="0.15">
      <c r="T1059" s="5"/>
      <c r="V1059" s="5"/>
      <c r="AK1059" s="5"/>
      <c r="AM1059" s="5"/>
    </row>
    <row r="1060" spans="20:39" x14ac:dyDescent="0.15">
      <c r="T1060" s="5"/>
      <c r="V1060" s="5"/>
      <c r="AK1060" s="5"/>
      <c r="AM1060" s="5"/>
    </row>
    <row r="1061" spans="20:39" x14ac:dyDescent="0.15">
      <c r="T1061" s="5"/>
      <c r="V1061" s="5"/>
      <c r="AK1061" s="5"/>
      <c r="AM1061" s="5"/>
    </row>
    <row r="1062" spans="20:39" x14ac:dyDescent="0.15">
      <c r="T1062" s="5"/>
      <c r="V1062" s="5"/>
      <c r="AK1062" s="5"/>
      <c r="AM1062" s="5"/>
    </row>
    <row r="1063" spans="20:39" x14ac:dyDescent="0.15">
      <c r="T1063" s="5"/>
      <c r="V1063" s="5"/>
      <c r="AK1063" s="5"/>
      <c r="AM1063" s="5"/>
    </row>
    <row r="1064" spans="20:39" x14ac:dyDescent="0.15">
      <c r="T1064" s="5"/>
      <c r="V1064" s="5"/>
      <c r="AK1064" s="5"/>
      <c r="AM1064" s="5"/>
    </row>
    <row r="1065" spans="20:39" x14ac:dyDescent="0.15">
      <c r="T1065" s="5"/>
      <c r="V1065" s="5"/>
      <c r="AK1065" s="5"/>
      <c r="AM1065" s="5"/>
    </row>
    <row r="1066" spans="20:39" x14ac:dyDescent="0.15">
      <c r="T1066" s="5"/>
      <c r="V1066" s="5"/>
      <c r="AK1066" s="5"/>
      <c r="AM1066" s="5"/>
    </row>
    <row r="1067" spans="20:39" x14ac:dyDescent="0.15">
      <c r="T1067" s="5"/>
      <c r="V1067" s="5"/>
      <c r="AK1067" s="5"/>
      <c r="AM1067" s="5"/>
    </row>
    <row r="1068" spans="20:39" x14ac:dyDescent="0.15">
      <c r="T1068" s="5"/>
      <c r="V1068" s="5"/>
      <c r="AK1068" s="5"/>
      <c r="AM1068" s="5"/>
    </row>
    <row r="1069" spans="20:39" x14ac:dyDescent="0.15">
      <c r="T1069" s="5"/>
      <c r="V1069" s="5"/>
      <c r="AK1069" s="5"/>
      <c r="AM1069" s="5"/>
    </row>
    <row r="1070" spans="20:39" x14ac:dyDescent="0.15">
      <c r="T1070" s="5"/>
      <c r="V1070" s="5"/>
      <c r="AK1070" s="5"/>
      <c r="AM1070" s="5"/>
    </row>
    <row r="1071" spans="20:39" x14ac:dyDescent="0.15">
      <c r="T1071" s="5"/>
      <c r="V1071" s="5"/>
      <c r="AK1071" s="5"/>
      <c r="AM1071" s="5"/>
    </row>
    <row r="1072" spans="20:39" x14ac:dyDescent="0.15">
      <c r="T1072" s="5"/>
      <c r="V1072" s="5"/>
      <c r="AK1072" s="5"/>
      <c r="AM1072" s="5"/>
    </row>
    <row r="1073" spans="20:39" x14ac:dyDescent="0.15">
      <c r="T1073" s="5"/>
      <c r="V1073" s="5"/>
      <c r="AK1073" s="5"/>
      <c r="AM1073" s="5"/>
    </row>
    <row r="1074" spans="20:39" x14ac:dyDescent="0.15">
      <c r="T1074" s="5"/>
      <c r="V1074" s="5"/>
      <c r="AK1074" s="5"/>
      <c r="AM1074" s="5"/>
    </row>
    <row r="1075" spans="20:39" x14ac:dyDescent="0.15">
      <c r="T1075" s="5"/>
      <c r="V1075" s="5"/>
      <c r="AK1075" s="5"/>
      <c r="AM1075" s="5"/>
    </row>
    <row r="1076" spans="20:39" x14ac:dyDescent="0.15">
      <c r="T1076" s="5"/>
      <c r="V1076" s="5"/>
      <c r="AK1076" s="5"/>
      <c r="AM1076" s="5"/>
    </row>
    <row r="1077" spans="20:39" x14ac:dyDescent="0.15">
      <c r="T1077" s="5"/>
      <c r="V1077" s="5"/>
      <c r="AK1077" s="5"/>
      <c r="AM1077" s="5"/>
    </row>
    <row r="1078" spans="20:39" x14ac:dyDescent="0.15">
      <c r="T1078" s="5"/>
      <c r="V1078" s="5"/>
      <c r="AK1078" s="5"/>
      <c r="AM1078" s="5"/>
    </row>
    <row r="1079" spans="20:39" x14ac:dyDescent="0.15">
      <c r="T1079" s="5"/>
      <c r="V1079" s="5"/>
      <c r="AK1079" s="5"/>
      <c r="AM1079" s="5"/>
    </row>
    <row r="1080" spans="20:39" x14ac:dyDescent="0.15">
      <c r="T1080" s="5"/>
      <c r="V1080" s="5"/>
      <c r="AK1080" s="5"/>
      <c r="AM1080" s="5"/>
    </row>
    <row r="1081" spans="20:39" x14ac:dyDescent="0.15">
      <c r="T1081" s="5"/>
      <c r="V1081" s="5"/>
      <c r="AK1081" s="5"/>
      <c r="AM1081" s="5"/>
    </row>
    <row r="1082" spans="20:39" x14ac:dyDescent="0.15">
      <c r="T1082" s="5"/>
      <c r="V1082" s="5"/>
      <c r="AK1082" s="5"/>
      <c r="AM1082" s="5"/>
    </row>
    <row r="1083" spans="20:39" x14ac:dyDescent="0.15">
      <c r="T1083" s="5"/>
      <c r="V1083" s="5"/>
      <c r="AK1083" s="5"/>
      <c r="AM1083" s="5"/>
    </row>
    <row r="1084" spans="20:39" x14ac:dyDescent="0.15">
      <c r="T1084" s="5"/>
      <c r="V1084" s="5"/>
      <c r="AK1084" s="5"/>
      <c r="AM1084" s="5"/>
    </row>
    <row r="1085" spans="20:39" x14ac:dyDescent="0.15">
      <c r="T1085" s="5"/>
      <c r="V1085" s="5"/>
      <c r="AK1085" s="5"/>
      <c r="AM1085" s="5"/>
    </row>
    <row r="1086" spans="20:39" x14ac:dyDescent="0.15">
      <c r="T1086" s="5"/>
      <c r="V1086" s="5"/>
      <c r="AK1086" s="5"/>
      <c r="AM1086" s="5"/>
    </row>
    <row r="1087" spans="20:39" x14ac:dyDescent="0.15">
      <c r="T1087" s="5"/>
      <c r="V1087" s="5"/>
      <c r="AK1087" s="5"/>
      <c r="AM1087" s="5"/>
    </row>
    <row r="1088" spans="20:39" x14ac:dyDescent="0.15">
      <c r="T1088" s="5"/>
      <c r="V1088" s="5"/>
      <c r="AK1088" s="5"/>
      <c r="AM1088" s="5"/>
    </row>
    <row r="1089" spans="20:39" x14ac:dyDescent="0.15">
      <c r="T1089" s="5"/>
      <c r="V1089" s="5"/>
      <c r="AK1089" s="5"/>
      <c r="AM1089" s="5"/>
    </row>
    <row r="1090" spans="20:39" x14ac:dyDescent="0.15">
      <c r="T1090" s="5"/>
      <c r="V1090" s="5"/>
      <c r="AK1090" s="5"/>
      <c r="AM1090" s="5"/>
    </row>
    <row r="1091" spans="20:39" x14ac:dyDescent="0.15">
      <c r="T1091" s="5"/>
      <c r="V1091" s="5"/>
      <c r="AK1091" s="5"/>
      <c r="AM1091" s="5"/>
    </row>
    <row r="1092" spans="20:39" x14ac:dyDescent="0.15">
      <c r="T1092" s="5"/>
      <c r="V1092" s="5"/>
      <c r="AK1092" s="5"/>
      <c r="AM1092" s="5"/>
    </row>
    <row r="1093" spans="20:39" x14ac:dyDescent="0.15">
      <c r="T1093" s="5"/>
      <c r="V1093" s="5"/>
      <c r="AK1093" s="5"/>
      <c r="AM1093" s="5"/>
    </row>
    <row r="1094" spans="20:39" x14ac:dyDescent="0.15">
      <c r="T1094" s="5"/>
      <c r="V1094" s="5"/>
      <c r="AK1094" s="5"/>
      <c r="AM1094" s="5"/>
    </row>
    <row r="1095" spans="20:39" x14ac:dyDescent="0.15">
      <c r="T1095" s="5"/>
      <c r="V1095" s="5"/>
      <c r="AK1095" s="5"/>
      <c r="AM1095" s="5"/>
    </row>
    <row r="1096" spans="20:39" x14ac:dyDescent="0.15">
      <c r="T1096" s="5"/>
      <c r="V1096" s="5"/>
      <c r="AK1096" s="5"/>
      <c r="AM1096" s="5"/>
    </row>
    <row r="1097" spans="20:39" x14ac:dyDescent="0.15">
      <c r="T1097" s="5"/>
      <c r="V1097" s="5"/>
      <c r="AK1097" s="5"/>
      <c r="AM1097" s="5"/>
    </row>
    <row r="1098" spans="20:39" x14ac:dyDescent="0.15">
      <c r="T1098" s="5"/>
      <c r="V1098" s="5"/>
      <c r="AK1098" s="5"/>
      <c r="AM1098" s="5"/>
    </row>
    <row r="1099" spans="20:39" x14ac:dyDescent="0.15">
      <c r="T1099" s="5"/>
      <c r="V1099" s="5"/>
      <c r="AK1099" s="5"/>
      <c r="AM1099" s="5"/>
    </row>
    <row r="1100" spans="20:39" x14ac:dyDescent="0.15">
      <c r="T1100" s="5"/>
      <c r="V1100" s="5"/>
      <c r="AK1100" s="5"/>
      <c r="AM1100" s="5"/>
    </row>
    <row r="1101" spans="20:39" x14ac:dyDescent="0.15">
      <c r="T1101" s="5"/>
      <c r="V1101" s="5"/>
      <c r="AK1101" s="5"/>
      <c r="AM1101" s="5"/>
    </row>
    <row r="1102" spans="20:39" x14ac:dyDescent="0.15">
      <c r="T1102" s="5"/>
      <c r="V1102" s="5"/>
      <c r="AK1102" s="5"/>
      <c r="AM1102" s="5"/>
    </row>
    <row r="1103" spans="20:39" x14ac:dyDescent="0.15">
      <c r="T1103" s="5"/>
      <c r="V1103" s="5"/>
      <c r="AK1103" s="5"/>
      <c r="AM1103" s="5"/>
    </row>
    <row r="1104" spans="20:39" x14ac:dyDescent="0.15">
      <c r="T1104" s="5"/>
      <c r="V1104" s="5"/>
      <c r="AK1104" s="5"/>
      <c r="AM1104" s="5"/>
    </row>
    <row r="1105" spans="20:39" x14ac:dyDescent="0.15">
      <c r="T1105" s="5"/>
      <c r="V1105" s="5"/>
      <c r="AK1105" s="5"/>
      <c r="AM1105" s="5"/>
    </row>
    <row r="1106" spans="20:39" x14ac:dyDescent="0.15">
      <c r="T1106" s="5"/>
      <c r="V1106" s="5"/>
      <c r="AK1106" s="5"/>
      <c r="AM1106" s="5"/>
    </row>
    <row r="1107" spans="20:39" x14ac:dyDescent="0.15">
      <c r="T1107" s="5"/>
      <c r="V1107" s="5"/>
      <c r="AK1107" s="5"/>
      <c r="AM1107" s="5"/>
    </row>
    <row r="1108" spans="20:39" x14ac:dyDescent="0.15">
      <c r="T1108" s="5"/>
      <c r="V1108" s="5"/>
      <c r="AK1108" s="5"/>
      <c r="AM1108" s="5"/>
    </row>
    <row r="1109" spans="20:39" x14ac:dyDescent="0.15">
      <c r="T1109" s="5"/>
      <c r="V1109" s="5"/>
      <c r="AK1109" s="5"/>
      <c r="AM1109" s="5"/>
    </row>
    <row r="1110" spans="20:39" x14ac:dyDescent="0.15">
      <c r="T1110" s="5"/>
      <c r="V1110" s="5"/>
      <c r="AK1110" s="5"/>
      <c r="AM1110" s="5"/>
    </row>
    <row r="1111" spans="20:39" x14ac:dyDescent="0.15">
      <c r="T1111" s="5"/>
      <c r="V1111" s="5"/>
      <c r="AK1111" s="5"/>
      <c r="AM1111" s="5"/>
    </row>
    <row r="1112" spans="20:39" x14ac:dyDescent="0.15">
      <c r="T1112" s="5"/>
      <c r="V1112" s="5"/>
      <c r="AK1112" s="5"/>
      <c r="AM1112" s="5"/>
    </row>
    <row r="1113" spans="20:39" x14ac:dyDescent="0.15">
      <c r="T1113" s="5"/>
      <c r="V1113" s="5"/>
      <c r="AK1113" s="5"/>
      <c r="AM1113" s="5"/>
    </row>
    <row r="1114" spans="20:39" x14ac:dyDescent="0.15">
      <c r="T1114" s="5"/>
      <c r="V1114" s="5"/>
      <c r="AK1114" s="5"/>
      <c r="AM1114" s="5"/>
    </row>
    <row r="1115" spans="20:39" x14ac:dyDescent="0.15">
      <c r="T1115" s="5"/>
      <c r="V1115" s="5"/>
      <c r="AK1115" s="5"/>
      <c r="AM1115" s="5"/>
    </row>
    <row r="1116" spans="20:39" x14ac:dyDescent="0.15">
      <c r="T1116" s="5"/>
      <c r="V1116" s="5"/>
      <c r="AK1116" s="5"/>
      <c r="AM1116" s="5"/>
    </row>
    <row r="1117" spans="20:39" x14ac:dyDescent="0.15">
      <c r="T1117" s="5"/>
      <c r="V1117" s="5"/>
      <c r="AK1117" s="5"/>
      <c r="AM1117" s="5"/>
    </row>
    <row r="1118" spans="20:39" x14ac:dyDescent="0.15">
      <c r="T1118" s="5"/>
      <c r="V1118" s="5"/>
      <c r="AK1118" s="5"/>
      <c r="AM1118" s="5"/>
    </row>
    <row r="1119" spans="20:39" x14ac:dyDescent="0.15">
      <c r="T1119" s="5"/>
      <c r="V1119" s="5"/>
      <c r="AK1119" s="5"/>
      <c r="AM1119" s="5"/>
    </row>
    <row r="1120" spans="20:39" x14ac:dyDescent="0.15">
      <c r="T1120" s="5"/>
      <c r="V1120" s="5"/>
      <c r="AK1120" s="5"/>
      <c r="AM1120" s="5"/>
    </row>
    <row r="1121" spans="20:39" x14ac:dyDescent="0.15">
      <c r="T1121" s="5"/>
      <c r="V1121" s="5"/>
      <c r="AK1121" s="5"/>
      <c r="AM1121" s="5"/>
    </row>
    <row r="1122" spans="20:39" x14ac:dyDescent="0.15">
      <c r="T1122" s="5"/>
      <c r="V1122" s="5"/>
      <c r="AK1122" s="5"/>
      <c r="AM1122" s="5"/>
    </row>
    <row r="1123" spans="20:39" x14ac:dyDescent="0.15">
      <c r="T1123" s="5"/>
      <c r="V1123" s="5"/>
      <c r="AK1123" s="5"/>
      <c r="AM1123" s="5"/>
    </row>
    <row r="1124" spans="20:39" x14ac:dyDescent="0.15">
      <c r="T1124" s="5"/>
      <c r="V1124" s="5"/>
      <c r="AK1124" s="5"/>
      <c r="AM1124" s="5"/>
    </row>
    <row r="1125" spans="20:39" x14ac:dyDescent="0.15">
      <c r="T1125" s="5"/>
      <c r="V1125" s="5"/>
      <c r="AK1125" s="5"/>
      <c r="AM1125" s="5"/>
    </row>
    <row r="1126" spans="20:39" x14ac:dyDescent="0.15">
      <c r="T1126" s="5"/>
      <c r="V1126" s="5"/>
      <c r="AK1126" s="5"/>
      <c r="AM1126" s="5"/>
    </row>
    <row r="1127" spans="20:39" x14ac:dyDescent="0.15">
      <c r="T1127" s="5"/>
      <c r="V1127" s="5"/>
      <c r="AK1127" s="5"/>
      <c r="AM1127" s="5"/>
    </row>
    <row r="1128" spans="20:39" x14ac:dyDescent="0.15">
      <c r="T1128" s="5"/>
      <c r="V1128" s="5"/>
      <c r="AK1128" s="5"/>
      <c r="AM1128" s="5"/>
    </row>
    <row r="1129" spans="20:39" x14ac:dyDescent="0.15">
      <c r="T1129" s="5"/>
      <c r="V1129" s="5"/>
      <c r="AK1129" s="5"/>
      <c r="AM1129" s="5"/>
    </row>
    <row r="1130" spans="20:39" x14ac:dyDescent="0.15">
      <c r="T1130" s="5"/>
      <c r="V1130" s="5"/>
      <c r="AK1130" s="5"/>
      <c r="AM1130" s="5"/>
    </row>
    <row r="1131" spans="20:39" x14ac:dyDescent="0.15">
      <c r="T1131" s="5"/>
      <c r="V1131" s="5"/>
      <c r="AK1131" s="5"/>
      <c r="AM1131" s="5"/>
    </row>
    <row r="1132" spans="20:39" x14ac:dyDescent="0.15">
      <c r="T1132" s="5"/>
      <c r="V1132" s="5"/>
      <c r="AK1132" s="5"/>
      <c r="AM1132" s="5"/>
    </row>
    <row r="1133" spans="20:39" x14ac:dyDescent="0.15">
      <c r="T1133" s="5"/>
      <c r="V1133" s="5"/>
      <c r="AK1133" s="5"/>
      <c r="AM1133" s="5"/>
    </row>
    <row r="1134" spans="20:39" x14ac:dyDescent="0.15">
      <c r="T1134" s="5"/>
      <c r="V1134" s="5"/>
      <c r="AK1134" s="5"/>
      <c r="AM1134" s="5"/>
    </row>
    <row r="1135" spans="20:39" x14ac:dyDescent="0.15">
      <c r="T1135" s="5"/>
      <c r="V1135" s="5"/>
      <c r="AK1135" s="5"/>
      <c r="AM1135" s="5"/>
    </row>
    <row r="1136" spans="20:39" x14ac:dyDescent="0.15">
      <c r="T1136" s="5"/>
      <c r="V1136" s="5"/>
      <c r="AK1136" s="5"/>
      <c r="AM1136" s="5"/>
    </row>
    <row r="1137" spans="20:39" x14ac:dyDescent="0.15">
      <c r="T1137" s="5"/>
      <c r="V1137" s="5"/>
      <c r="AK1137" s="5"/>
      <c r="AM1137" s="5"/>
    </row>
    <row r="1138" spans="20:39" x14ac:dyDescent="0.15">
      <c r="T1138" s="5"/>
      <c r="V1138" s="5"/>
      <c r="AK1138" s="5"/>
      <c r="AM1138" s="5"/>
    </row>
    <row r="1139" spans="20:39" x14ac:dyDescent="0.15">
      <c r="T1139" s="5"/>
      <c r="V1139" s="5"/>
      <c r="AK1139" s="5"/>
      <c r="AM1139" s="5"/>
    </row>
    <row r="1140" spans="20:39" x14ac:dyDescent="0.15">
      <c r="T1140" s="5"/>
      <c r="V1140" s="5"/>
      <c r="AK1140" s="5"/>
      <c r="AM1140" s="5"/>
    </row>
    <row r="1141" spans="20:39" x14ac:dyDescent="0.15">
      <c r="T1141" s="5"/>
      <c r="V1141" s="5"/>
      <c r="AK1141" s="5"/>
      <c r="AM1141" s="5"/>
    </row>
    <row r="1142" spans="20:39" x14ac:dyDescent="0.15">
      <c r="T1142" s="5"/>
      <c r="V1142" s="5"/>
      <c r="AK1142" s="5"/>
      <c r="AM1142" s="5"/>
    </row>
    <row r="1143" spans="20:39" x14ac:dyDescent="0.15">
      <c r="T1143" s="5"/>
      <c r="V1143" s="5"/>
      <c r="AK1143" s="5"/>
      <c r="AM1143" s="5"/>
    </row>
    <row r="1144" spans="20:39" x14ac:dyDescent="0.15">
      <c r="T1144" s="5"/>
      <c r="V1144" s="5"/>
      <c r="AK1144" s="5"/>
      <c r="AM1144" s="5"/>
    </row>
    <row r="1145" spans="20:39" x14ac:dyDescent="0.15">
      <c r="T1145" s="5"/>
      <c r="V1145" s="5"/>
      <c r="AK1145" s="5"/>
      <c r="AM1145" s="5"/>
    </row>
    <row r="1146" spans="20:39" x14ac:dyDescent="0.15">
      <c r="T1146" s="5"/>
      <c r="V1146" s="5"/>
      <c r="AK1146" s="5"/>
      <c r="AM1146" s="5"/>
    </row>
    <row r="1147" spans="20:39" x14ac:dyDescent="0.15">
      <c r="T1147" s="5"/>
      <c r="V1147" s="5"/>
      <c r="AK1147" s="5"/>
      <c r="AM1147" s="5"/>
    </row>
    <row r="1148" spans="20:39" x14ac:dyDescent="0.15">
      <c r="T1148" s="5"/>
      <c r="V1148" s="5"/>
      <c r="AK1148" s="5"/>
      <c r="AM1148" s="5"/>
    </row>
    <row r="1149" spans="20:39" x14ac:dyDescent="0.15">
      <c r="T1149" s="5"/>
      <c r="V1149" s="5"/>
      <c r="AK1149" s="5"/>
      <c r="AM1149" s="5"/>
    </row>
    <row r="1150" spans="20:39" x14ac:dyDescent="0.15">
      <c r="T1150" s="5"/>
      <c r="V1150" s="5"/>
      <c r="AK1150" s="5"/>
      <c r="AM1150" s="5"/>
    </row>
    <row r="1151" spans="20:39" x14ac:dyDescent="0.15">
      <c r="T1151" s="5"/>
      <c r="V1151" s="5"/>
      <c r="AK1151" s="5"/>
      <c r="AM1151" s="5"/>
    </row>
    <row r="1152" spans="20:39" x14ac:dyDescent="0.15">
      <c r="T1152" s="5"/>
      <c r="V1152" s="5"/>
      <c r="AK1152" s="5"/>
      <c r="AM1152" s="5"/>
    </row>
    <row r="1153" spans="20:39" x14ac:dyDescent="0.15">
      <c r="T1153" s="5"/>
      <c r="V1153" s="5"/>
      <c r="AK1153" s="5"/>
      <c r="AM1153" s="5"/>
    </row>
    <row r="1154" spans="20:39" x14ac:dyDescent="0.15">
      <c r="T1154" s="5"/>
      <c r="V1154" s="5"/>
      <c r="AK1154" s="5"/>
      <c r="AM1154" s="5"/>
    </row>
    <row r="1155" spans="20:39" x14ac:dyDescent="0.15">
      <c r="T1155" s="5"/>
      <c r="V1155" s="5"/>
      <c r="AK1155" s="5"/>
      <c r="AM1155" s="5"/>
    </row>
    <row r="1156" spans="20:39" x14ac:dyDescent="0.15">
      <c r="T1156" s="5"/>
      <c r="V1156" s="5"/>
      <c r="AK1156" s="5"/>
      <c r="AM1156" s="5"/>
    </row>
    <row r="1157" spans="20:39" x14ac:dyDescent="0.15">
      <c r="T1157" s="5"/>
      <c r="V1157" s="5"/>
      <c r="AK1157" s="5"/>
      <c r="AM1157" s="5"/>
    </row>
    <row r="1158" spans="20:39" x14ac:dyDescent="0.15">
      <c r="T1158" s="5"/>
      <c r="V1158" s="5"/>
      <c r="AK1158" s="5"/>
      <c r="AM1158" s="5"/>
    </row>
    <row r="1159" spans="20:39" x14ac:dyDescent="0.15">
      <c r="T1159" s="5"/>
      <c r="V1159" s="5"/>
      <c r="AK1159" s="5"/>
      <c r="AM1159" s="5"/>
    </row>
    <row r="1160" spans="20:39" x14ac:dyDescent="0.15">
      <c r="T1160" s="5"/>
      <c r="V1160" s="5"/>
      <c r="AK1160" s="5"/>
      <c r="AM1160" s="5"/>
    </row>
    <row r="1161" spans="20:39" x14ac:dyDescent="0.15">
      <c r="T1161" s="5"/>
      <c r="V1161" s="5"/>
      <c r="AK1161" s="5"/>
      <c r="AM1161" s="5"/>
    </row>
    <row r="1162" spans="20:39" x14ac:dyDescent="0.15">
      <c r="T1162" s="5"/>
      <c r="V1162" s="5"/>
      <c r="AK1162" s="5"/>
      <c r="AM1162" s="5"/>
    </row>
    <row r="1163" spans="20:39" x14ac:dyDescent="0.15">
      <c r="T1163" s="5"/>
      <c r="V1163" s="5"/>
      <c r="AK1163" s="5"/>
      <c r="AM1163" s="5"/>
    </row>
    <row r="1164" spans="20:39" x14ac:dyDescent="0.15">
      <c r="T1164" s="5"/>
      <c r="V1164" s="5"/>
      <c r="AK1164" s="5"/>
      <c r="AM1164" s="5"/>
    </row>
    <row r="1165" spans="20:39" x14ac:dyDescent="0.15">
      <c r="T1165" s="5"/>
      <c r="V1165" s="5"/>
      <c r="AK1165" s="5"/>
      <c r="AM1165" s="5"/>
    </row>
    <row r="1166" spans="20:39" x14ac:dyDescent="0.15">
      <c r="T1166" s="5"/>
      <c r="V1166" s="5"/>
      <c r="AK1166" s="5"/>
      <c r="AM1166" s="5"/>
    </row>
    <row r="1167" spans="20:39" x14ac:dyDescent="0.15">
      <c r="T1167" s="5"/>
      <c r="V1167" s="5"/>
      <c r="AK1167" s="5"/>
      <c r="AM1167" s="5"/>
    </row>
    <row r="1168" spans="20:39" x14ac:dyDescent="0.15">
      <c r="T1168" s="5"/>
      <c r="V1168" s="5"/>
      <c r="AK1168" s="5"/>
      <c r="AM1168" s="5"/>
    </row>
    <row r="1169" spans="20:39" x14ac:dyDescent="0.15">
      <c r="T1169" s="5"/>
      <c r="V1169" s="5"/>
      <c r="AK1169" s="5"/>
      <c r="AM1169" s="5"/>
    </row>
    <row r="1170" spans="20:39" x14ac:dyDescent="0.15">
      <c r="T1170" s="5"/>
      <c r="V1170" s="5"/>
      <c r="AK1170" s="5"/>
      <c r="AM1170" s="5"/>
    </row>
    <row r="1171" spans="20:39" x14ac:dyDescent="0.15">
      <c r="T1171" s="5"/>
      <c r="V1171" s="5"/>
      <c r="AK1171" s="5"/>
      <c r="AM1171" s="5"/>
    </row>
    <row r="1172" spans="20:39" x14ac:dyDescent="0.15">
      <c r="T1172" s="5"/>
      <c r="V1172" s="5"/>
      <c r="AK1172" s="5"/>
      <c r="AM1172" s="5"/>
    </row>
    <row r="1173" spans="20:39" x14ac:dyDescent="0.15">
      <c r="T1173" s="5"/>
      <c r="V1173" s="5"/>
      <c r="AK1173" s="5"/>
      <c r="AM1173" s="5"/>
    </row>
    <row r="1174" spans="20:39" x14ac:dyDescent="0.15">
      <c r="T1174" s="5"/>
      <c r="V1174" s="5"/>
      <c r="AK1174" s="5"/>
      <c r="AM1174" s="5"/>
    </row>
    <row r="1175" spans="20:39" x14ac:dyDescent="0.15">
      <c r="T1175" s="5"/>
      <c r="V1175" s="5"/>
      <c r="AK1175" s="5"/>
      <c r="AM1175" s="5"/>
    </row>
    <row r="1176" spans="20:39" x14ac:dyDescent="0.15">
      <c r="T1176" s="5"/>
      <c r="V1176" s="5"/>
      <c r="AK1176" s="5"/>
      <c r="AM1176" s="5"/>
    </row>
    <row r="1177" spans="20:39" x14ac:dyDescent="0.15">
      <c r="T1177" s="5"/>
      <c r="V1177" s="5"/>
      <c r="AK1177" s="5"/>
      <c r="AM1177" s="5"/>
    </row>
    <row r="1178" spans="20:39" x14ac:dyDescent="0.15">
      <c r="T1178" s="5"/>
      <c r="V1178" s="5"/>
      <c r="AK1178" s="5"/>
      <c r="AM1178" s="5"/>
    </row>
    <row r="1179" spans="20:39" x14ac:dyDescent="0.15">
      <c r="T1179" s="5"/>
      <c r="V1179" s="5"/>
      <c r="AK1179" s="5"/>
      <c r="AM1179" s="5"/>
    </row>
    <row r="1180" spans="20:39" x14ac:dyDescent="0.15">
      <c r="T1180" s="5"/>
      <c r="V1180" s="5"/>
      <c r="AK1180" s="5"/>
      <c r="AM1180" s="5"/>
    </row>
    <row r="1181" spans="20:39" x14ac:dyDescent="0.15">
      <c r="T1181" s="5"/>
      <c r="V1181" s="5"/>
      <c r="AK1181" s="5"/>
      <c r="AM1181" s="5"/>
    </row>
    <row r="1182" spans="20:39" x14ac:dyDescent="0.15">
      <c r="T1182" s="5"/>
      <c r="V1182" s="5"/>
      <c r="AK1182" s="5"/>
      <c r="AM1182" s="5"/>
    </row>
    <row r="1183" spans="20:39" x14ac:dyDescent="0.15">
      <c r="T1183" s="5"/>
      <c r="V1183" s="5"/>
      <c r="AK1183" s="5"/>
      <c r="AM1183" s="5"/>
    </row>
    <row r="1184" spans="20:39" x14ac:dyDescent="0.15">
      <c r="T1184" s="5"/>
      <c r="V1184" s="5"/>
      <c r="AK1184" s="5"/>
      <c r="AM1184" s="5"/>
    </row>
    <row r="1185" spans="20:39" x14ac:dyDescent="0.15">
      <c r="T1185" s="5"/>
      <c r="V1185" s="5"/>
      <c r="AK1185" s="5"/>
      <c r="AM1185" s="5"/>
    </row>
    <row r="1186" spans="20:39" x14ac:dyDescent="0.15">
      <c r="T1186" s="5"/>
      <c r="V1186" s="5"/>
      <c r="AK1186" s="5"/>
      <c r="AM1186" s="5"/>
    </row>
    <row r="1187" spans="20:39" x14ac:dyDescent="0.15">
      <c r="T1187" s="5"/>
      <c r="V1187" s="5"/>
      <c r="AK1187" s="5"/>
      <c r="AM1187" s="5"/>
    </row>
    <row r="1188" spans="20:39" x14ac:dyDescent="0.15">
      <c r="T1188" s="5"/>
      <c r="V1188" s="5"/>
      <c r="AK1188" s="5"/>
      <c r="AM1188" s="5"/>
    </row>
    <row r="1189" spans="20:39" x14ac:dyDescent="0.15">
      <c r="T1189" s="5"/>
      <c r="V1189" s="5"/>
      <c r="AK1189" s="5"/>
      <c r="AM1189" s="5"/>
    </row>
    <row r="1190" spans="20:39" x14ac:dyDescent="0.15">
      <c r="T1190" s="5"/>
      <c r="V1190" s="5"/>
      <c r="AK1190" s="5"/>
      <c r="AM1190" s="5"/>
    </row>
    <row r="1191" spans="20:39" x14ac:dyDescent="0.15">
      <c r="T1191" s="5"/>
      <c r="V1191" s="5"/>
      <c r="AK1191" s="5"/>
      <c r="AM1191" s="5"/>
    </row>
    <row r="1192" spans="20:39" x14ac:dyDescent="0.15">
      <c r="T1192" s="5"/>
      <c r="V1192" s="5"/>
      <c r="AK1192" s="5"/>
      <c r="AM1192" s="5"/>
    </row>
    <row r="1193" spans="20:39" x14ac:dyDescent="0.15">
      <c r="T1193" s="5"/>
      <c r="V1193" s="5"/>
      <c r="AK1193" s="5"/>
      <c r="AM1193" s="5"/>
    </row>
    <row r="1194" spans="20:39" x14ac:dyDescent="0.15">
      <c r="T1194" s="5"/>
      <c r="V1194" s="5"/>
      <c r="AK1194" s="5"/>
      <c r="AM1194" s="5"/>
    </row>
    <row r="1195" spans="20:39" x14ac:dyDescent="0.15">
      <c r="T1195" s="5"/>
      <c r="V1195" s="5"/>
      <c r="AK1195" s="5"/>
      <c r="AM1195" s="5"/>
    </row>
    <row r="1196" spans="20:39" x14ac:dyDescent="0.15">
      <c r="T1196" s="5"/>
      <c r="V1196" s="5"/>
      <c r="AK1196" s="5"/>
      <c r="AM1196" s="5"/>
    </row>
    <row r="1197" spans="20:39" x14ac:dyDescent="0.15">
      <c r="T1197" s="5"/>
      <c r="V1197" s="5"/>
      <c r="AK1197" s="5"/>
      <c r="AM1197" s="5"/>
    </row>
    <row r="1198" spans="20:39" x14ac:dyDescent="0.15">
      <c r="T1198" s="5"/>
      <c r="V1198" s="5"/>
      <c r="AK1198" s="5"/>
      <c r="AM1198" s="5"/>
    </row>
    <row r="1199" spans="20:39" x14ac:dyDescent="0.15">
      <c r="T1199" s="5"/>
      <c r="V1199" s="5"/>
      <c r="AK1199" s="5"/>
      <c r="AM1199" s="5"/>
    </row>
    <row r="1200" spans="20:39" x14ac:dyDescent="0.15">
      <c r="T1200" s="5"/>
      <c r="V1200" s="5"/>
      <c r="AK1200" s="5"/>
      <c r="AM1200" s="5"/>
    </row>
    <row r="1201" spans="20:39" x14ac:dyDescent="0.15">
      <c r="T1201" s="5"/>
      <c r="V1201" s="5"/>
      <c r="AK1201" s="5"/>
      <c r="AM1201" s="5"/>
    </row>
    <row r="1202" spans="20:39" x14ac:dyDescent="0.15">
      <c r="T1202" s="5"/>
      <c r="V1202" s="5"/>
      <c r="AK1202" s="5"/>
      <c r="AM1202" s="5"/>
    </row>
    <row r="1203" spans="20:39" x14ac:dyDescent="0.15">
      <c r="T1203" s="5"/>
      <c r="V1203" s="5"/>
      <c r="AK1203" s="5"/>
      <c r="AM1203" s="5"/>
    </row>
    <row r="1204" spans="20:39" x14ac:dyDescent="0.15">
      <c r="T1204" s="5"/>
      <c r="V1204" s="5"/>
      <c r="AK1204" s="5"/>
      <c r="AM1204" s="5"/>
    </row>
    <row r="1205" spans="20:39" x14ac:dyDescent="0.15">
      <c r="T1205" s="5"/>
      <c r="V1205" s="5"/>
      <c r="AK1205" s="5"/>
      <c r="AM1205" s="5"/>
    </row>
    <row r="1206" spans="20:39" x14ac:dyDescent="0.15">
      <c r="T1206" s="5"/>
      <c r="V1206" s="5"/>
      <c r="AK1206" s="5"/>
      <c r="AM1206" s="5"/>
    </row>
    <row r="1207" spans="20:39" x14ac:dyDescent="0.15">
      <c r="T1207" s="5"/>
      <c r="V1207" s="5"/>
      <c r="AK1207" s="5"/>
      <c r="AM1207" s="5"/>
    </row>
    <row r="1208" spans="20:39" x14ac:dyDescent="0.15">
      <c r="T1208" s="5"/>
      <c r="V1208" s="5"/>
      <c r="AK1208" s="5"/>
      <c r="AM1208" s="5"/>
    </row>
    <row r="1209" spans="20:39" x14ac:dyDescent="0.15">
      <c r="T1209" s="5"/>
      <c r="V1209" s="5"/>
      <c r="AK1209" s="5"/>
      <c r="AM1209" s="5"/>
    </row>
    <row r="1210" spans="20:39" x14ac:dyDescent="0.15">
      <c r="T1210" s="5"/>
      <c r="V1210" s="5"/>
      <c r="AK1210" s="5"/>
      <c r="AM1210" s="5"/>
    </row>
    <row r="1211" spans="20:39" x14ac:dyDescent="0.15">
      <c r="T1211" s="5"/>
      <c r="V1211" s="5"/>
      <c r="AK1211" s="5"/>
      <c r="AM1211" s="5"/>
    </row>
    <row r="1212" spans="20:39" x14ac:dyDescent="0.15">
      <c r="T1212" s="5"/>
      <c r="V1212" s="5"/>
      <c r="AK1212" s="5"/>
      <c r="AM1212" s="5"/>
    </row>
    <row r="1213" spans="20:39" x14ac:dyDescent="0.15">
      <c r="T1213" s="5"/>
      <c r="V1213" s="5"/>
      <c r="AK1213" s="5"/>
      <c r="AM1213" s="5"/>
    </row>
    <row r="1214" spans="20:39" x14ac:dyDescent="0.15">
      <c r="T1214" s="5"/>
      <c r="V1214" s="5"/>
      <c r="AK1214" s="5"/>
      <c r="AM1214" s="5"/>
    </row>
    <row r="1215" spans="20:39" x14ac:dyDescent="0.15">
      <c r="T1215" s="5"/>
      <c r="V1215" s="5"/>
      <c r="AK1215" s="5"/>
      <c r="AM1215" s="5"/>
    </row>
    <row r="1216" spans="20:39" x14ac:dyDescent="0.15">
      <c r="T1216" s="5"/>
      <c r="V1216" s="5"/>
      <c r="AK1216" s="5"/>
      <c r="AM1216" s="5"/>
    </row>
    <row r="1217" spans="20:39" x14ac:dyDescent="0.15">
      <c r="T1217" s="5"/>
      <c r="V1217" s="5"/>
      <c r="AK1217" s="5"/>
      <c r="AM1217" s="5"/>
    </row>
    <row r="1218" spans="20:39" x14ac:dyDescent="0.15">
      <c r="T1218" s="5"/>
      <c r="V1218" s="5"/>
      <c r="AK1218" s="5"/>
      <c r="AM1218" s="5"/>
    </row>
    <row r="1219" spans="20:39" x14ac:dyDescent="0.15">
      <c r="T1219" s="5"/>
      <c r="V1219" s="5"/>
      <c r="AK1219" s="5"/>
      <c r="AM1219" s="5"/>
    </row>
    <row r="1220" spans="20:39" x14ac:dyDescent="0.15">
      <c r="T1220" s="5"/>
      <c r="V1220" s="5"/>
      <c r="AK1220" s="5"/>
      <c r="AM1220" s="5"/>
    </row>
    <row r="1221" spans="20:39" x14ac:dyDescent="0.15">
      <c r="T1221" s="5"/>
      <c r="V1221" s="5"/>
      <c r="AK1221" s="5"/>
      <c r="AM1221" s="5"/>
    </row>
    <row r="1222" spans="20:39" x14ac:dyDescent="0.15">
      <c r="T1222" s="5"/>
      <c r="V1222" s="5"/>
      <c r="AK1222" s="5"/>
      <c r="AM1222" s="5"/>
    </row>
    <row r="1223" spans="20:39" x14ac:dyDescent="0.15">
      <c r="T1223" s="5"/>
      <c r="V1223" s="5"/>
      <c r="AK1223" s="5"/>
      <c r="AM1223" s="5"/>
    </row>
    <row r="1224" spans="20:39" x14ac:dyDescent="0.15">
      <c r="T1224" s="5"/>
      <c r="V1224" s="5"/>
      <c r="AK1224" s="5"/>
      <c r="AM1224" s="5"/>
    </row>
    <row r="1225" spans="20:39" x14ac:dyDescent="0.15">
      <c r="T1225" s="5"/>
      <c r="V1225" s="5"/>
      <c r="AK1225" s="5"/>
      <c r="AM1225" s="5"/>
    </row>
    <row r="1226" spans="20:39" x14ac:dyDescent="0.15">
      <c r="T1226" s="5"/>
      <c r="V1226" s="5"/>
      <c r="AK1226" s="5"/>
      <c r="AM1226" s="5"/>
    </row>
    <row r="1227" spans="20:39" x14ac:dyDescent="0.15">
      <c r="T1227" s="5"/>
      <c r="V1227" s="5"/>
      <c r="AK1227" s="5"/>
      <c r="AM1227" s="5"/>
    </row>
    <row r="1228" spans="20:39" x14ac:dyDescent="0.15">
      <c r="T1228" s="5"/>
      <c r="V1228" s="5"/>
      <c r="AK1228" s="5"/>
      <c r="AM1228" s="5"/>
    </row>
    <row r="1229" spans="20:39" x14ac:dyDescent="0.15">
      <c r="T1229" s="5"/>
      <c r="V1229" s="5"/>
      <c r="AK1229" s="5"/>
      <c r="AM1229" s="5"/>
    </row>
    <row r="1230" spans="20:39" x14ac:dyDescent="0.15">
      <c r="T1230" s="5"/>
      <c r="V1230" s="5"/>
      <c r="AK1230" s="5"/>
      <c r="AM1230" s="5"/>
    </row>
    <row r="1231" spans="20:39" x14ac:dyDescent="0.15">
      <c r="T1231" s="5"/>
      <c r="V1231" s="5"/>
      <c r="AK1231" s="5"/>
      <c r="AM1231" s="5"/>
    </row>
    <row r="1232" spans="20:39" x14ac:dyDescent="0.15">
      <c r="T1232" s="5"/>
      <c r="V1232" s="5"/>
      <c r="AK1232" s="5"/>
      <c r="AM1232" s="5"/>
    </row>
    <row r="1233" spans="20:39" x14ac:dyDescent="0.15">
      <c r="T1233" s="5"/>
      <c r="V1233" s="5"/>
      <c r="AK1233" s="5"/>
      <c r="AM1233" s="5"/>
    </row>
    <row r="1234" spans="20:39" x14ac:dyDescent="0.15">
      <c r="T1234" s="5"/>
      <c r="V1234" s="5"/>
      <c r="AK1234" s="5"/>
      <c r="AM1234" s="5"/>
    </row>
    <row r="1235" spans="20:39" x14ac:dyDescent="0.15">
      <c r="T1235" s="5"/>
      <c r="V1235" s="5"/>
      <c r="AK1235" s="5"/>
      <c r="AM1235" s="5"/>
    </row>
    <row r="1236" spans="20:39" x14ac:dyDescent="0.15">
      <c r="T1236" s="5"/>
      <c r="V1236" s="5"/>
      <c r="AK1236" s="5"/>
      <c r="AM1236" s="5"/>
    </row>
    <row r="1237" spans="20:39" x14ac:dyDescent="0.15">
      <c r="T1237" s="5"/>
      <c r="V1237" s="5"/>
      <c r="AK1237" s="5"/>
      <c r="AM1237" s="5"/>
    </row>
    <row r="1238" spans="20:39" x14ac:dyDescent="0.15">
      <c r="T1238" s="5"/>
      <c r="V1238" s="5"/>
      <c r="AK1238" s="5"/>
      <c r="AM1238" s="5"/>
    </row>
    <row r="1239" spans="20:39" x14ac:dyDescent="0.15">
      <c r="T1239" s="5"/>
      <c r="V1239" s="5"/>
      <c r="AK1239" s="5"/>
      <c r="AM1239" s="5"/>
    </row>
    <row r="1240" spans="20:39" x14ac:dyDescent="0.15">
      <c r="T1240" s="5"/>
      <c r="V1240" s="5"/>
      <c r="AK1240" s="5"/>
      <c r="AM1240" s="5"/>
    </row>
    <row r="1241" spans="20:39" x14ac:dyDescent="0.15">
      <c r="T1241" s="5"/>
      <c r="V1241" s="5"/>
      <c r="AK1241" s="5"/>
      <c r="AM1241" s="5"/>
    </row>
    <row r="1242" spans="20:39" x14ac:dyDescent="0.15">
      <c r="T1242" s="5"/>
      <c r="V1242" s="5"/>
      <c r="AK1242" s="5"/>
      <c r="AM1242" s="5"/>
    </row>
    <row r="1243" spans="20:39" x14ac:dyDescent="0.15">
      <c r="T1243" s="5"/>
      <c r="V1243" s="5"/>
      <c r="AK1243" s="5"/>
      <c r="AM1243" s="5"/>
    </row>
    <row r="1244" spans="20:39" x14ac:dyDescent="0.15">
      <c r="T1244" s="5"/>
      <c r="V1244" s="5"/>
      <c r="AK1244" s="5"/>
      <c r="AM1244" s="5"/>
    </row>
    <row r="1245" spans="20:39" x14ac:dyDescent="0.15">
      <c r="T1245" s="5"/>
      <c r="V1245" s="5"/>
      <c r="AK1245" s="5"/>
      <c r="AM1245" s="5"/>
    </row>
    <row r="1246" spans="20:39" x14ac:dyDescent="0.15">
      <c r="T1246" s="5"/>
      <c r="V1246" s="5"/>
      <c r="AK1246" s="5"/>
      <c r="AM1246" s="5"/>
    </row>
    <row r="1247" spans="20:39" x14ac:dyDescent="0.15">
      <c r="T1247" s="5"/>
      <c r="V1247" s="5"/>
      <c r="AK1247" s="5"/>
      <c r="AM1247" s="5"/>
    </row>
    <row r="1248" spans="20:39" x14ac:dyDescent="0.15">
      <c r="T1248" s="5"/>
      <c r="V1248" s="5"/>
      <c r="AK1248" s="5"/>
      <c r="AM1248" s="5"/>
    </row>
    <row r="1249" spans="20:39" x14ac:dyDescent="0.15">
      <c r="T1249" s="5"/>
      <c r="V1249" s="5"/>
      <c r="AK1249" s="5"/>
      <c r="AM1249" s="5"/>
    </row>
    <row r="1250" spans="20:39" x14ac:dyDescent="0.15">
      <c r="T1250" s="5"/>
      <c r="V1250" s="5"/>
      <c r="AK1250" s="5"/>
      <c r="AM1250" s="5"/>
    </row>
    <row r="1251" spans="20:39" x14ac:dyDescent="0.15">
      <c r="T1251" s="5"/>
      <c r="V1251" s="5"/>
      <c r="AK1251" s="5"/>
      <c r="AM1251" s="5"/>
    </row>
    <row r="1252" spans="20:39" x14ac:dyDescent="0.15">
      <c r="T1252" s="5"/>
      <c r="V1252" s="5"/>
      <c r="AK1252" s="5"/>
      <c r="AM1252" s="5"/>
    </row>
    <row r="1253" spans="20:39" x14ac:dyDescent="0.15">
      <c r="T1253" s="5"/>
      <c r="V1253" s="5"/>
      <c r="AK1253" s="5"/>
      <c r="AM1253" s="5"/>
    </row>
    <row r="1254" spans="20:39" x14ac:dyDescent="0.15">
      <c r="T1254" s="5"/>
      <c r="V1254" s="5"/>
      <c r="AK1254" s="5"/>
      <c r="AM1254" s="5"/>
    </row>
    <row r="1255" spans="20:39" x14ac:dyDescent="0.15">
      <c r="T1255" s="5"/>
      <c r="V1255" s="5"/>
      <c r="AK1255" s="5"/>
      <c r="AM1255" s="5"/>
    </row>
    <row r="1256" spans="20:39" x14ac:dyDescent="0.15">
      <c r="T1256" s="5"/>
      <c r="V1256" s="5"/>
      <c r="AK1256" s="5"/>
      <c r="AM1256" s="5"/>
    </row>
    <row r="1257" spans="20:39" x14ac:dyDescent="0.15">
      <c r="T1257" s="5"/>
      <c r="V1257" s="5"/>
      <c r="AK1257" s="5"/>
      <c r="AM1257" s="5"/>
    </row>
    <row r="1258" spans="20:39" x14ac:dyDescent="0.15">
      <c r="T1258" s="5"/>
      <c r="V1258" s="5"/>
      <c r="AK1258" s="5"/>
      <c r="AM1258" s="5"/>
    </row>
    <row r="1259" spans="20:39" x14ac:dyDescent="0.15">
      <c r="T1259" s="5"/>
      <c r="V1259" s="5"/>
      <c r="AK1259" s="5"/>
      <c r="AM1259" s="5"/>
    </row>
    <row r="1260" spans="20:39" x14ac:dyDescent="0.15">
      <c r="T1260" s="5"/>
      <c r="V1260" s="5"/>
      <c r="AK1260" s="5"/>
      <c r="AM1260" s="5"/>
    </row>
    <row r="1261" spans="20:39" x14ac:dyDescent="0.15">
      <c r="T1261" s="5"/>
      <c r="V1261" s="5"/>
      <c r="AK1261" s="5"/>
      <c r="AM1261" s="5"/>
    </row>
    <row r="1262" spans="20:39" x14ac:dyDescent="0.15">
      <c r="T1262" s="5"/>
      <c r="V1262" s="5"/>
      <c r="AK1262" s="5"/>
      <c r="AM1262" s="5"/>
    </row>
    <row r="1263" spans="20:39" x14ac:dyDescent="0.15">
      <c r="T1263" s="5"/>
      <c r="V1263" s="5"/>
      <c r="AK1263" s="5"/>
      <c r="AM1263" s="5"/>
    </row>
    <row r="1264" spans="20:39" x14ac:dyDescent="0.15">
      <c r="T1264" s="5"/>
      <c r="V1264" s="5"/>
      <c r="AK1264" s="5"/>
      <c r="AM1264" s="5"/>
    </row>
    <row r="1265" spans="20:39" x14ac:dyDescent="0.15">
      <c r="T1265" s="5"/>
      <c r="V1265" s="5"/>
      <c r="AK1265" s="5"/>
      <c r="AM1265" s="5"/>
    </row>
    <row r="1266" spans="20:39" x14ac:dyDescent="0.15">
      <c r="T1266" s="5"/>
      <c r="V1266" s="5"/>
      <c r="AK1266" s="5"/>
      <c r="AM1266" s="5"/>
    </row>
    <row r="1267" spans="20:39" x14ac:dyDescent="0.15">
      <c r="T1267" s="5"/>
      <c r="V1267" s="5"/>
      <c r="AK1267" s="5"/>
      <c r="AM1267" s="5"/>
    </row>
    <row r="1268" spans="20:39" x14ac:dyDescent="0.15">
      <c r="T1268" s="5"/>
      <c r="V1268" s="5"/>
      <c r="AK1268" s="5"/>
      <c r="AM1268" s="5"/>
    </row>
    <row r="1269" spans="20:39" x14ac:dyDescent="0.15">
      <c r="T1269" s="5"/>
      <c r="V1269" s="5"/>
      <c r="AK1269" s="5"/>
      <c r="AM1269" s="5"/>
    </row>
    <row r="1270" spans="20:39" x14ac:dyDescent="0.15">
      <c r="T1270" s="5"/>
      <c r="V1270" s="5"/>
      <c r="AK1270" s="5"/>
      <c r="AM1270" s="5"/>
    </row>
    <row r="1271" spans="20:39" x14ac:dyDescent="0.15">
      <c r="T1271" s="5"/>
      <c r="V1271" s="5"/>
      <c r="AK1271" s="5"/>
      <c r="AM1271" s="5"/>
    </row>
    <row r="1272" spans="20:39" x14ac:dyDescent="0.15">
      <c r="T1272" s="5"/>
      <c r="V1272" s="5"/>
      <c r="AK1272" s="5"/>
      <c r="AM1272" s="5"/>
    </row>
    <row r="1273" spans="20:39" x14ac:dyDescent="0.15">
      <c r="T1273" s="5"/>
      <c r="V1273" s="5"/>
      <c r="AK1273" s="5"/>
      <c r="AM1273" s="5"/>
    </row>
    <row r="1274" spans="20:39" x14ac:dyDescent="0.15">
      <c r="T1274" s="5"/>
      <c r="V1274" s="5"/>
      <c r="AK1274" s="5"/>
      <c r="AM1274" s="5"/>
    </row>
    <row r="1275" spans="20:39" x14ac:dyDescent="0.15">
      <c r="T1275" s="5"/>
      <c r="V1275" s="5"/>
      <c r="AK1275" s="5"/>
      <c r="AM1275" s="5"/>
    </row>
    <row r="1276" spans="20:39" x14ac:dyDescent="0.15">
      <c r="T1276" s="5"/>
      <c r="V1276" s="5"/>
      <c r="AK1276" s="5"/>
      <c r="AM1276" s="5"/>
    </row>
    <row r="1277" spans="20:39" x14ac:dyDescent="0.15">
      <c r="T1277" s="5"/>
      <c r="V1277" s="5"/>
      <c r="AK1277" s="5"/>
      <c r="AM1277" s="5"/>
    </row>
    <row r="1278" spans="20:39" x14ac:dyDescent="0.15">
      <c r="T1278" s="5"/>
      <c r="V1278" s="5"/>
      <c r="AK1278" s="5"/>
      <c r="AM1278" s="5"/>
    </row>
    <row r="1279" spans="20:39" x14ac:dyDescent="0.15">
      <c r="T1279" s="5"/>
      <c r="V1279" s="5"/>
      <c r="AK1279" s="5"/>
      <c r="AM1279" s="5"/>
    </row>
    <row r="1280" spans="20:39" x14ac:dyDescent="0.15">
      <c r="T1280" s="5"/>
      <c r="V1280" s="5"/>
      <c r="AK1280" s="5"/>
      <c r="AM1280" s="5"/>
    </row>
    <row r="1281" spans="20:39" x14ac:dyDescent="0.15">
      <c r="T1281" s="5"/>
      <c r="V1281" s="5"/>
      <c r="AK1281" s="5"/>
      <c r="AM1281" s="5"/>
    </row>
    <row r="1282" spans="20:39" x14ac:dyDescent="0.15">
      <c r="T1282" s="5"/>
      <c r="V1282" s="5"/>
      <c r="AK1282" s="5"/>
      <c r="AM1282" s="5"/>
    </row>
    <row r="1283" spans="20:39" x14ac:dyDescent="0.15">
      <c r="T1283" s="5"/>
      <c r="V1283" s="5"/>
      <c r="AK1283" s="5"/>
      <c r="AM1283" s="5"/>
    </row>
    <row r="1284" spans="20:39" x14ac:dyDescent="0.15">
      <c r="T1284" s="5"/>
      <c r="V1284" s="5"/>
      <c r="AK1284" s="5"/>
      <c r="AM1284" s="5"/>
    </row>
    <row r="1285" spans="20:39" x14ac:dyDescent="0.15">
      <c r="T1285" s="5"/>
      <c r="V1285" s="5"/>
      <c r="AK1285" s="5"/>
      <c r="AM1285" s="5"/>
    </row>
    <row r="1286" spans="20:39" x14ac:dyDescent="0.15">
      <c r="T1286" s="5"/>
      <c r="V1286" s="5"/>
      <c r="AK1286" s="5"/>
      <c r="AM1286" s="5"/>
    </row>
    <row r="1287" spans="20:39" x14ac:dyDescent="0.15">
      <c r="T1287" s="5"/>
      <c r="V1287" s="5"/>
      <c r="AK1287" s="5"/>
      <c r="AM1287" s="5"/>
    </row>
    <row r="1288" spans="20:39" x14ac:dyDescent="0.15">
      <c r="T1288" s="5"/>
      <c r="V1288" s="5"/>
      <c r="AK1288" s="5"/>
      <c r="AM1288" s="5"/>
    </row>
    <row r="1289" spans="20:39" x14ac:dyDescent="0.15">
      <c r="T1289" s="5"/>
      <c r="V1289" s="5"/>
      <c r="AK1289" s="5"/>
      <c r="AM1289" s="5"/>
    </row>
    <row r="1290" spans="20:39" x14ac:dyDescent="0.15">
      <c r="T1290" s="5"/>
      <c r="V1290" s="5"/>
      <c r="AK1290" s="5"/>
      <c r="AM1290" s="5"/>
    </row>
    <row r="1291" spans="20:39" x14ac:dyDescent="0.15">
      <c r="T1291" s="5"/>
      <c r="V1291" s="5"/>
      <c r="AK1291" s="5"/>
      <c r="AM1291" s="5"/>
    </row>
    <row r="1292" spans="20:39" x14ac:dyDescent="0.15">
      <c r="T1292" s="5"/>
      <c r="V1292" s="5"/>
      <c r="AK1292" s="5"/>
      <c r="AM1292" s="5"/>
    </row>
    <row r="1293" spans="20:39" x14ac:dyDescent="0.15">
      <c r="T1293" s="5"/>
      <c r="V1293" s="5"/>
      <c r="AK1293" s="5"/>
      <c r="AM1293" s="5"/>
    </row>
    <row r="1294" spans="20:39" x14ac:dyDescent="0.15">
      <c r="T1294" s="5"/>
      <c r="V1294" s="5"/>
      <c r="AK1294" s="5"/>
      <c r="AM1294" s="5"/>
    </row>
    <row r="1295" spans="20:39" x14ac:dyDescent="0.15">
      <c r="T1295" s="5"/>
      <c r="V1295" s="5"/>
      <c r="AK1295" s="5"/>
      <c r="AM1295" s="5"/>
    </row>
    <row r="1296" spans="20:39" x14ac:dyDescent="0.15">
      <c r="T1296" s="5"/>
      <c r="V1296" s="5"/>
      <c r="AK1296" s="5"/>
      <c r="AM1296" s="5"/>
    </row>
    <row r="1297" spans="20:39" x14ac:dyDescent="0.15">
      <c r="T1297" s="5"/>
      <c r="V1297" s="5"/>
      <c r="AK1297" s="5"/>
      <c r="AM1297" s="5"/>
    </row>
    <row r="1298" spans="20:39" x14ac:dyDescent="0.15">
      <c r="T1298" s="5"/>
      <c r="V1298" s="5"/>
      <c r="AK1298" s="5"/>
      <c r="AM1298" s="5"/>
    </row>
    <row r="1299" spans="20:39" x14ac:dyDescent="0.15">
      <c r="T1299" s="5"/>
      <c r="V1299" s="5"/>
      <c r="AK1299" s="5"/>
      <c r="AM1299" s="5"/>
    </row>
    <row r="1300" spans="20:39" x14ac:dyDescent="0.15">
      <c r="T1300" s="5"/>
      <c r="V1300" s="5"/>
      <c r="AK1300" s="5"/>
      <c r="AM1300" s="5"/>
    </row>
    <row r="1301" spans="20:39" x14ac:dyDescent="0.15">
      <c r="T1301" s="5"/>
      <c r="V1301" s="5"/>
      <c r="AK1301" s="5"/>
      <c r="AM1301" s="5"/>
    </row>
    <row r="1302" spans="20:39" x14ac:dyDescent="0.15">
      <c r="T1302" s="5"/>
      <c r="V1302" s="5"/>
      <c r="AK1302" s="5"/>
      <c r="AM1302" s="5"/>
    </row>
    <row r="1303" spans="20:39" x14ac:dyDescent="0.15">
      <c r="T1303" s="5"/>
      <c r="V1303" s="5"/>
      <c r="AK1303" s="5"/>
      <c r="AM1303" s="5"/>
    </row>
    <row r="1304" spans="20:39" x14ac:dyDescent="0.15">
      <c r="T1304" s="5"/>
      <c r="V1304" s="5"/>
      <c r="AK1304" s="5"/>
      <c r="AM1304" s="5"/>
    </row>
    <row r="1305" spans="20:39" x14ac:dyDescent="0.15">
      <c r="T1305" s="5"/>
      <c r="V1305" s="5"/>
      <c r="AK1305" s="5"/>
      <c r="AM1305" s="5"/>
    </row>
    <row r="1306" spans="20:39" x14ac:dyDescent="0.15">
      <c r="T1306" s="5"/>
      <c r="V1306" s="5"/>
      <c r="AK1306" s="5"/>
      <c r="AM1306" s="5"/>
    </row>
    <row r="1307" spans="20:39" x14ac:dyDescent="0.15">
      <c r="T1307" s="5"/>
      <c r="V1307" s="5"/>
      <c r="AK1307" s="5"/>
      <c r="AM1307" s="5"/>
    </row>
    <row r="1308" spans="20:39" x14ac:dyDescent="0.15">
      <c r="T1308" s="5"/>
      <c r="V1308" s="5"/>
      <c r="AK1308" s="5"/>
      <c r="AM1308" s="5"/>
    </row>
    <row r="1309" spans="20:39" x14ac:dyDescent="0.15">
      <c r="T1309" s="5"/>
      <c r="V1309" s="5"/>
      <c r="AK1309" s="5"/>
      <c r="AM1309" s="5"/>
    </row>
    <row r="1310" spans="20:39" x14ac:dyDescent="0.15">
      <c r="T1310" s="5"/>
      <c r="V1310" s="5"/>
      <c r="AK1310" s="5"/>
      <c r="AM1310" s="5"/>
    </row>
    <row r="1311" spans="20:39" x14ac:dyDescent="0.15">
      <c r="T1311" s="5"/>
      <c r="V1311" s="5"/>
      <c r="AK1311" s="5"/>
      <c r="AM1311" s="5"/>
    </row>
    <row r="1312" spans="20:39" x14ac:dyDescent="0.15">
      <c r="T1312" s="5"/>
      <c r="V1312" s="5"/>
      <c r="AK1312" s="5"/>
      <c r="AM1312" s="5"/>
    </row>
    <row r="1313" spans="20:39" x14ac:dyDescent="0.15">
      <c r="T1313" s="5"/>
      <c r="V1313" s="5"/>
      <c r="AK1313" s="5"/>
      <c r="AM1313" s="5"/>
    </row>
    <row r="1314" spans="20:39" x14ac:dyDescent="0.15">
      <c r="T1314" s="5"/>
      <c r="V1314" s="5"/>
      <c r="AK1314" s="5"/>
      <c r="AM1314" s="5"/>
    </row>
    <row r="1315" spans="20:39" x14ac:dyDescent="0.15">
      <c r="T1315" s="5"/>
      <c r="V1315" s="5"/>
      <c r="AK1315" s="5"/>
      <c r="AM1315" s="5"/>
    </row>
    <row r="1316" spans="20:39" x14ac:dyDescent="0.15">
      <c r="T1316" s="5"/>
      <c r="V1316" s="5"/>
      <c r="AK1316" s="5"/>
      <c r="AM1316" s="5"/>
    </row>
    <row r="1317" spans="20:39" x14ac:dyDescent="0.15">
      <c r="T1317" s="5"/>
      <c r="V1317" s="5"/>
      <c r="AK1317" s="5"/>
      <c r="AM1317" s="5"/>
    </row>
    <row r="1318" spans="20:39" x14ac:dyDescent="0.15">
      <c r="T1318" s="5"/>
      <c r="V1318" s="5"/>
      <c r="AK1318" s="5"/>
      <c r="AM1318" s="5"/>
    </row>
    <row r="1319" spans="20:39" x14ac:dyDescent="0.15">
      <c r="T1319" s="5"/>
      <c r="V1319" s="5"/>
      <c r="AK1319" s="5"/>
      <c r="AM1319" s="5"/>
    </row>
    <row r="1320" spans="20:39" x14ac:dyDescent="0.15">
      <c r="T1320" s="5"/>
      <c r="V1320" s="5"/>
      <c r="AK1320" s="5"/>
      <c r="AM1320" s="5"/>
    </row>
    <row r="1321" spans="20:39" x14ac:dyDescent="0.15">
      <c r="T1321" s="5"/>
      <c r="V1321" s="5"/>
      <c r="AK1321" s="5"/>
      <c r="AM1321" s="5"/>
    </row>
    <row r="1322" spans="20:39" x14ac:dyDescent="0.15">
      <c r="T1322" s="5"/>
      <c r="V1322" s="5"/>
      <c r="AK1322" s="5"/>
      <c r="AM1322" s="5"/>
    </row>
    <row r="1323" spans="20:39" x14ac:dyDescent="0.15">
      <c r="T1323" s="5"/>
      <c r="V1323" s="5"/>
      <c r="AK1323" s="5"/>
      <c r="AM1323" s="5"/>
    </row>
    <row r="1324" spans="20:39" x14ac:dyDescent="0.15">
      <c r="T1324" s="5"/>
      <c r="V1324" s="5"/>
      <c r="AK1324" s="5"/>
      <c r="AM1324" s="5"/>
    </row>
    <row r="1325" spans="20:39" x14ac:dyDescent="0.15">
      <c r="T1325" s="5"/>
      <c r="V1325" s="5"/>
      <c r="AK1325" s="5"/>
      <c r="AM1325" s="5"/>
    </row>
    <row r="1326" spans="20:39" x14ac:dyDescent="0.15">
      <c r="T1326" s="5"/>
      <c r="V1326" s="5"/>
      <c r="AK1326" s="5"/>
      <c r="AM1326" s="5"/>
    </row>
    <row r="1327" spans="20:39" x14ac:dyDescent="0.15">
      <c r="T1327" s="5"/>
      <c r="V1327" s="5"/>
      <c r="AK1327" s="5"/>
      <c r="AM1327" s="5"/>
    </row>
    <row r="1328" spans="20:39" x14ac:dyDescent="0.15">
      <c r="T1328" s="5"/>
      <c r="V1328" s="5"/>
      <c r="AK1328" s="5"/>
      <c r="AM1328" s="5"/>
    </row>
    <row r="1329" spans="20:39" x14ac:dyDescent="0.15">
      <c r="T1329" s="5"/>
      <c r="V1329" s="5"/>
      <c r="AK1329" s="5"/>
      <c r="AM1329" s="5"/>
    </row>
    <row r="1330" spans="20:39" x14ac:dyDescent="0.15">
      <c r="T1330" s="5"/>
      <c r="V1330" s="5"/>
      <c r="AK1330" s="5"/>
      <c r="AM1330" s="5"/>
    </row>
    <row r="1331" spans="20:39" x14ac:dyDescent="0.15">
      <c r="T1331" s="5"/>
      <c r="V1331" s="5"/>
      <c r="AK1331" s="5"/>
      <c r="AM1331" s="5"/>
    </row>
    <row r="1332" spans="20:39" x14ac:dyDescent="0.15">
      <c r="T1332" s="5"/>
      <c r="V1332" s="5"/>
      <c r="AK1332" s="5"/>
      <c r="AM1332" s="5"/>
    </row>
    <row r="1333" spans="20:39" x14ac:dyDescent="0.15">
      <c r="T1333" s="5"/>
      <c r="V1333" s="5"/>
      <c r="AK1333" s="5"/>
      <c r="AM1333" s="5"/>
    </row>
    <row r="1334" spans="20:39" x14ac:dyDescent="0.15">
      <c r="T1334" s="5"/>
      <c r="V1334" s="5"/>
      <c r="AK1334" s="5"/>
      <c r="AM1334" s="5"/>
    </row>
    <row r="1335" spans="20:39" x14ac:dyDescent="0.15">
      <c r="T1335" s="5"/>
      <c r="V1335" s="5"/>
      <c r="AK1335" s="5"/>
      <c r="AM1335" s="5"/>
    </row>
    <row r="1336" spans="20:39" x14ac:dyDescent="0.15">
      <c r="T1336" s="5"/>
      <c r="V1336" s="5"/>
      <c r="AK1336" s="5"/>
      <c r="AM1336" s="5"/>
    </row>
    <row r="1337" spans="20:39" x14ac:dyDescent="0.15">
      <c r="T1337" s="5"/>
      <c r="V1337" s="5"/>
      <c r="AK1337" s="5"/>
      <c r="AM1337" s="5"/>
    </row>
    <row r="1338" spans="20:39" x14ac:dyDescent="0.15">
      <c r="T1338" s="5"/>
      <c r="V1338" s="5"/>
      <c r="AK1338" s="5"/>
      <c r="AM1338" s="5"/>
    </row>
    <row r="1339" spans="20:39" x14ac:dyDescent="0.15">
      <c r="T1339" s="5"/>
      <c r="V1339" s="5"/>
      <c r="AK1339" s="5"/>
      <c r="AM1339" s="5"/>
    </row>
    <row r="1340" spans="20:39" x14ac:dyDescent="0.15">
      <c r="T1340" s="5"/>
      <c r="V1340" s="5"/>
      <c r="AK1340" s="5"/>
      <c r="AM1340" s="5"/>
    </row>
    <row r="1341" spans="20:39" x14ac:dyDescent="0.15">
      <c r="T1341" s="5"/>
      <c r="V1341" s="5"/>
      <c r="AK1341" s="5"/>
      <c r="AM1341" s="5"/>
    </row>
    <row r="1342" spans="20:39" x14ac:dyDescent="0.15">
      <c r="T1342" s="5"/>
      <c r="V1342" s="5"/>
      <c r="AK1342" s="5"/>
      <c r="AM1342" s="5"/>
    </row>
    <row r="1343" spans="20:39" x14ac:dyDescent="0.15">
      <c r="T1343" s="5"/>
      <c r="V1343" s="5"/>
      <c r="AK1343" s="5"/>
      <c r="AM1343" s="5"/>
    </row>
    <row r="1344" spans="20:39" x14ac:dyDescent="0.15">
      <c r="T1344" s="5"/>
      <c r="V1344" s="5"/>
      <c r="AK1344" s="5"/>
      <c r="AM1344" s="5"/>
    </row>
    <row r="1345" spans="20:39" x14ac:dyDescent="0.15">
      <c r="T1345" s="5"/>
      <c r="V1345" s="5"/>
      <c r="AK1345" s="5"/>
      <c r="AM1345" s="5"/>
    </row>
    <row r="1346" spans="20:39" x14ac:dyDescent="0.15">
      <c r="T1346" s="5"/>
      <c r="V1346" s="5"/>
      <c r="AK1346" s="5"/>
      <c r="AM1346" s="5"/>
    </row>
    <row r="1347" spans="20:39" x14ac:dyDescent="0.15">
      <c r="T1347" s="5"/>
      <c r="V1347" s="5"/>
      <c r="AK1347" s="5"/>
      <c r="AM1347" s="5"/>
    </row>
    <row r="1348" spans="20:39" x14ac:dyDescent="0.15">
      <c r="T1348" s="5"/>
      <c r="V1348" s="5"/>
      <c r="AK1348" s="5"/>
      <c r="AM1348" s="5"/>
    </row>
    <row r="1349" spans="20:39" x14ac:dyDescent="0.15">
      <c r="T1349" s="5"/>
      <c r="V1349" s="5"/>
      <c r="AK1349" s="5"/>
      <c r="AM1349" s="5"/>
    </row>
    <row r="1350" spans="20:39" x14ac:dyDescent="0.15">
      <c r="T1350" s="5"/>
      <c r="V1350" s="5"/>
      <c r="AK1350" s="5"/>
      <c r="AM1350" s="5"/>
    </row>
    <row r="1351" spans="20:39" x14ac:dyDescent="0.15">
      <c r="T1351" s="5"/>
      <c r="V1351" s="5"/>
      <c r="AK1351" s="5"/>
      <c r="AM1351" s="5"/>
    </row>
    <row r="1352" spans="20:39" x14ac:dyDescent="0.15">
      <c r="T1352" s="5"/>
      <c r="V1352" s="5"/>
      <c r="AK1352" s="5"/>
      <c r="AM1352" s="5"/>
    </row>
    <row r="1353" spans="20:39" x14ac:dyDescent="0.15">
      <c r="T1353" s="5"/>
      <c r="V1353" s="5"/>
      <c r="AK1353" s="5"/>
      <c r="AM1353" s="5"/>
    </row>
    <row r="1354" spans="20:39" x14ac:dyDescent="0.15">
      <c r="T1354" s="5"/>
      <c r="V1354" s="5"/>
      <c r="AK1354" s="5"/>
      <c r="AM1354" s="5"/>
    </row>
    <row r="1355" spans="20:39" x14ac:dyDescent="0.15">
      <c r="T1355" s="5"/>
      <c r="V1355" s="5"/>
      <c r="AK1355" s="5"/>
      <c r="AM1355" s="5"/>
    </row>
    <row r="1356" spans="20:39" x14ac:dyDescent="0.15">
      <c r="T1356" s="5"/>
      <c r="V1356" s="5"/>
      <c r="AK1356" s="5"/>
      <c r="AM1356" s="5"/>
    </row>
    <row r="1357" spans="20:39" x14ac:dyDescent="0.15">
      <c r="T1357" s="5"/>
      <c r="V1357" s="5"/>
      <c r="AK1357" s="5"/>
      <c r="AM1357" s="5"/>
    </row>
    <row r="1358" spans="20:39" x14ac:dyDescent="0.15">
      <c r="T1358" s="5"/>
      <c r="V1358" s="5"/>
      <c r="AK1358" s="5"/>
      <c r="AM1358" s="5"/>
    </row>
    <row r="1359" spans="20:39" x14ac:dyDescent="0.15">
      <c r="T1359" s="5"/>
      <c r="V1359" s="5"/>
      <c r="AK1359" s="5"/>
      <c r="AM1359" s="5"/>
    </row>
    <row r="1360" spans="20:39" x14ac:dyDescent="0.15">
      <c r="T1360" s="5"/>
      <c r="V1360" s="5"/>
      <c r="AK1360" s="5"/>
      <c r="AM1360" s="5"/>
    </row>
    <row r="1361" spans="20:39" x14ac:dyDescent="0.15">
      <c r="T1361" s="5"/>
      <c r="V1361" s="5"/>
      <c r="AK1361" s="5"/>
      <c r="AM1361" s="5"/>
    </row>
    <row r="1362" spans="20:39" x14ac:dyDescent="0.15">
      <c r="T1362" s="5"/>
      <c r="V1362" s="5"/>
      <c r="AK1362" s="5"/>
      <c r="AM1362" s="5"/>
    </row>
    <row r="1363" spans="20:39" x14ac:dyDescent="0.15">
      <c r="T1363" s="5"/>
      <c r="V1363" s="5"/>
      <c r="AK1363" s="5"/>
      <c r="AM1363" s="5"/>
    </row>
    <row r="1364" spans="20:39" x14ac:dyDescent="0.15">
      <c r="T1364" s="5"/>
      <c r="V1364" s="5"/>
      <c r="AK1364" s="5"/>
      <c r="AM1364" s="5"/>
    </row>
    <row r="1365" spans="20:39" x14ac:dyDescent="0.15">
      <c r="T1365" s="5"/>
      <c r="V1365" s="5"/>
      <c r="AK1365" s="5"/>
      <c r="AM1365" s="5"/>
    </row>
    <row r="1366" spans="20:39" x14ac:dyDescent="0.15">
      <c r="T1366" s="5"/>
      <c r="V1366" s="5"/>
      <c r="AK1366" s="5"/>
      <c r="AM1366" s="5"/>
    </row>
    <row r="1367" spans="20:39" x14ac:dyDescent="0.15">
      <c r="T1367" s="5"/>
      <c r="V1367" s="5"/>
      <c r="AK1367" s="5"/>
      <c r="AM1367" s="5"/>
    </row>
    <row r="1368" spans="20:39" x14ac:dyDescent="0.15">
      <c r="T1368" s="5"/>
      <c r="V1368" s="5"/>
      <c r="AK1368" s="5"/>
      <c r="AM1368" s="5"/>
    </row>
    <row r="1369" spans="20:39" x14ac:dyDescent="0.15">
      <c r="T1369" s="5"/>
      <c r="V1369" s="5"/>
      <c r="AK1369" s="5"/>
      <c r="AM1369" s="5"/>
    </row>
    <row r="1370" spans="20:39" x14ac:dyDescent="0.15">
      <c r="T1370" s="5"/>
      <c r="V1370" s="5"/>
      <c r="AK1370" s="5"/>
      <c r="AM1370" s="5"/>
    </row>
    <row r="1371" spans="20:39" x14ac:dyDescent="0.15">
      <c r="T1371" s="5"/>
      <c r="V1371" s="5"/>
      <c r="AK1371" s="5"/>
      <c r="AM1371" s="5"/>
    </row>
    <row r="1372" spans="20:39" x14ac:dyDescent="0.15">
      <c r="T1372" s="5"/>
      <c r="V1372" s="5"/>
      <c r="AK1372" s="5"/>
      <c r="AM1372" s="5"/>
    </row>
    <row r="1373" spans="20:39" x14ac:dyDescent="0.15">
      <c r="T1373" s="5"/>
      <c r="V1373" s="5"/>
      <c r="AK1373" s="5"/>
      <c r="AM1373" s="5"/>
    </row>
    <row r="1374" spans="20:39" x14ac:dyDescent="0.15">
      <c r="T1374" s="5"/>
      <c r="V1374" s="5"/>
      <c r="AK1374" s="5"/>
      <c r="AM1374" s="5"/>
    </row>
    <row r="1375" spans="20:39" x14ac:dyDescent="0.15">
      <c r="T1375" s="5"/>
      <c r="V1375" s="5"/>
      <c r="AK1375" s="5"/>
      <c r="AM1375" s="5"/>
    </row>
    <row r="1376" spans="20:39" x14ac:dyDescent="0.15">
      <c r="T1376" s="5"/>
      <c r="V1376" s="5"/>
      <c r="AK1376" s="5"/>
      <c r="AM1376" s="5"/>
    </row>
    <row r="1377" spans="20:39" x14ac:dyDescent="0.15">
      <c r="T1377" s="5"/>
      <c r="V1377" s="5"/>
      <c r="AK1377" s="5"/>
      <c r="AM1377" s="5"/>
    </row>
    <row r="1378" spans="20:39" x14ac:dyDescent="0.15">
      <c r="T1378" s="5"/>
      <c r="V1378" s="5"/>
      <c r="AK1378" s="5"/>
      <c r="AM1378" s="5"/>
    </row>
    <row r="1379" spans="20:39" x14ac:dyDescent="0.15">
      <c r="T1379" s="5"/>
      <c r="V1379" s="5"/>
      <c r="AK1379" s="5"/>
      <c r="AM1379" s="5"/>
    </row>
    <row r="1380" spans="20:39" x14ac:dyDescent="0.15">
      <c r="T1380" s="5"/>
      <c r="V1380" s="5"/>
      <c r="AK1380" s="5"/>
      <c r="AM1380" s="5"/>
    </row>
    <row r="1381" spans="20:39" x14ac:dyDescent="0.15">
      <c r="T1381" s="5"/>
      <c r="V1381" s="5"/>
      <c r="AK1381" s="5"/>
      <c r="AM1381" s="5"/>
    </row>
    <row r="1382" spans="20:39" x14ac:dyDescent="0.15">
      <c r="T1382" s="5"/>
      <c r="V1382" s="5"/>
      <c r="AK1382" s="5"/>
      <c r="AM1382" s="5"/>
    </row>
    <row r="1383" spans="20:39" x14ac:dyDescent="0.15">
      <c r="T1383" s="5"/>
      <c r="V1383" s="5"/>
      <c r="AK1383" s="5"/>
      <c r="AM1383" s="5"/>
    </row>
    <row r="1384" spans="20:39" x14ac:dyDescent="0.15">
      <c r="T1384" s="5"/>
      <c r="V1384" s="5"/>
      <c r="AK1384" s="5"/>
      <c r="AM1384" s="5"/>
    </row>
    <row r="1385" spans="20:39" x14ac:dyDescent="0.15">
      <c r="T1385" s="5"/>
      <c r="V1385" s="5"/>
      <c r="AK1385" s="5"/>
      <c r="AM1385" s="5"/>
    </row>
    <row r="1386" spans="20:39" x14ac:dyDescent="0.15">
      <c r="T1386" s="5"/>
      <c r="V1386" s="5"/>
      <c r="AK1386" s="5"/>
      <c r="AM1386" s="5"/>
    </row>
    <row r="1387" spans="20:39" x14ac:dyDescent="0.15">
      <c r="T1387" s="5"/>
      <c r="V1387" s="5"/>
      <c r="AK1387" s="5"/>
      <c r="AM1387" s="5"/>
    </row>
    <row r="1388" spans="20:39" x14ac:dyDescent="0.15">
      <c r="T1388" s="5"/>
      <c r="V1388" s="5"/>
      <c r="AK1388" s="5"/>
      <c r="AM1388" s="5"/>
    </row>
    <row r="1389" spans="20:39" x14ac:dyDescent="0.15">
      <c r="T1389" s="5"/>
      <c r="V1389" s="5"/>
      <c r="AK1389" s="5"/>
      <c r="AM1389" s="5"/>
    </row>
    <row r="1390" spans="20:39" x14ac:dyDescent="0.15">
      <c r="T1390" s="5"/>
      <c r="V1390" s="5"/>
      <c r="AK1390" s="5"/>
      <c r="AM1390" s="5"/>
    </row>
    <row r="1391" spans="20:39" x14ac:dyDescent="0.15">
      <c r="T1391" s="5"/>
      <c r="V1391" s="5"/>
      <c r="AK1391" s="5"/>
      <c r="AM1391" s="5"/>
    </row>
    <row r="1392" spans="20:39" x14ac:dyDescent="0.15">
      <c r="T1392" s="5"/>
      <c r="V1392" s="5"/>
      <c r="AK1392" s="5"/>
      <c r="AM1392" s="5"/>
    </row>
    <row r="1393" spans="20:39" x14ac:dyDescent="0.15">
      <c r="T1393" s="5"/>
      <c r="V1393" s="5"/>
      <c r="AK1393" s="5"/>
      <c r="AM1393" s="5"/>
    </row>
    <row r="1394" spans="20:39" x14ac:dyDescent="0.15">
      <c r="T1394" s="5"/>
      <c r="V1394" s="5"/>
      <c r="AK1394" s="5"/>
      <c r="AM1394" s="5"/>
    </row>
    <row r="1395" spans="20:39" x14ac:dyDescent="0.15">
      <c r="T1395" s="5"/>
      <c r="V1395" s="5"/>
      <c r="AK1395" s="5"/>
      <c r="AM1395" s="5"/>
    </row>
    <row r="1396" spans="20:39" x14ac:dyDescent="0.15">
      <c r="T1396" s="5"/>
      <c r="V1396" s="5"/>
      <c r="AK1396" s="5"/>
      <c r="AM1396" s="5"/>
    </row>
    <row r="1397" spans="20:39" x14ac:dyDescent="0.15">
      <c r="T1397" s="5"/>
      <c r="V1397" s="5"/>
      <c r="AK1397" s="5"/>
      <c r="AM1397" s="5"/>
    </row>
    <row r="1398" spans="20:39" x14ac:dyDescent="0.15">
      <c r="T1398" s="5"/>
      <c r="V1398" s="5"/>
      <c r="AK1398" s="5"/>
      <c r="AM1398" s="5"/>
    </row>
    <row r="1399" spans="20:39" x14ac:dyDescent="0.15">
      <c r="T1399" s="5"/>
      <c r="V1399" s="5"/>
      <c r="AK1399" s="5"/>
      <c r="AM1399" s="5"/>
    </row>
    <row r="1400" spans="20:39" x14ac:dyDescent="0.15">
      <c r="T1400" s="5"/>
      <c r="V1400" s="5"/>
      <c r="AK1400" s="5"/>
      <c r="AM1400" s="5"/>
    </row>
    <row r="1401" spans="20:39" x14ac:dyDescent="0.15">
      <c r="T1401" s="5"/>
      <c r="V1401" s="5"/>
      <c r="AK1401" s="5"/>
      <c r="AM1401" s="5"/>
    </row>
    <row r="1402" spans="20:39" x14ac:dyDescent="0.15">
      <c r="T1402" s="5"/>
      <c r="V1402" s="5"/>
      <c r="AK1402" s="5"/>
      <c r="AM1402" s="5"/>
    </row>
    <row r="1403" spans="20:39" x14ac:dyDescent="0.15">
      <c r="T1403" s="5"/>
      <c r="V1403" s="5"/>
      <c r="AK1403" s="5"/>
      <c r="AM1403" s="5"/>
    </row>
    <row r="1404" spans="20:39" x14ac:dyDescent="0.15">
      <c r="T1404" s="5"/>
      <c r="V1404" s="5"/>
      <c r="AK1404" s="5"/>
      <c r="AM1404" s="5"/>
    </row>
    <row r="1405" spans="20:39" x14ac:dyDescent="0.15">
      <c r="T1405" s="5"/>
      <c r="V1405" s="5"/>
      <c r="AK1405" s="5"/>
      <c r="AM1405" s="5"/>
    </row>
    <row r="1406" spans="20:39" x14ac:dyDescent="0.15">
      <c r="T1406" s="5"/>
      <c r="V1406" s="5"/>
      <c r="AK1406" s="5"/>
      <c r="AM1406" s="5"/>
    </row>
    <row r="1407" spans="20:39" x14ac:dyDescent="0.15">
      <c r="T1407" s="5"/>
      <c r="V1407" s="5"/>
      <c r="AK1407" s="5"/>
      <c r="AM1407" s="5"/>
    </row>
    <row r="1408" spans="20:39" x14ac:dyDescent="0.15">
      <c r="T1408" s="5"/>
      <c r="V1408" s="5"/>
      <c r="AK1408" s="5"/>
      <c r="AM1408" s="5"/>
    </row>
    <row r="1409" spans="20:39" x14ac:dyDescent="0.15">
      <c r="T1409" s="5"/>
      <c r="V1409" s="5"/>
      <c r="AK1409" s="5"/>
      <c r="AM1409" s="5"/>
    </row>
    <row r="1410" spans="20:39" x14ac:dyDescent="0.15">
      <c r="T1410" s="5"/>
      <c r="V1410" s="5"/>
      <c r="AK1410" s="5"/>
      <c r="AM1410" s="5"/>
    </row>
    <row r="1411" spans="20:39" x14ac:dyDescent="0.15">
      <c r="T1411" s="5"/>
      <c r="V1411" s="5"/>
      <c r="AK1411" s="5"/>
      <c r="AM1411" s="5"/>
    </row>
    <row r="1412" spans="20:39" x14ac:dyDescent="0.15">
      <c r="T1412" s="5"/>
      <c r="V1412" s="5"/>
      <c r="AK1412" s="5"/>
      <c r="AM1412" s="5"/>
    </row>
    <row r="1413" spans="20:39" x14ac:dyDescent="0.15">
      <c r="T1413" s="5"/>
      <c r="V1413" s="5"/>
      <c r="AK1413" s="5"/>
      <c r="AM1413" s="5"/>
    </row>
    <row r="1414" spans="20:39" x14ac:dyDescent="0.15">
      <c r="T1414" s="5"/>
      <c r="V1414" s="5"/>
      <c r="AK1414" s="5"/>
      <c r="AM1414" s="5"/>
    </row>
    <row r="1415" spans="20:39" x14ac:dyDescent="0.15">
      <c r="T1415" s="5"/>
      <c r="V1415" s="5"/>
      <c r="AK1415" s="5"/>
      <c r="AM1415" s="5"/>
    </row>
    <row r="1416" spans="20:39" x14ac:dyDescent="0.15">
      <c r="T1416" s="5"/>
      <c r="V1416" s="5"/>
      <c r="AK1416" s="5"/>
      <c r="AM1416" s="5"/>
    </row>
    <row r="1417" spans="20:39" x14ac:dyDescent="0.15">
      <c r="T1417" s="5"/>
      <c r="V1417" s="5"/>
      <c r="AK1417" s="5"/>
      <c r="AM1417" s="5"/>
    </row>
    <row r="1418" spans="20:39" x14ac:dyDescent="0.15">
      <c r="T1418" s="5"/>
      <c r="V1418" s="5"/>
      <c r="AK1418" s="5"/>
      <c r="AM1418" s="5"/>
    </row>
    <row r="1419" spans="20:39" x14ac:dyDescent="0.15">
      <c r="T1419" s="5"/>
      <c r="V1419" s="5"/>
      <c r="AK1419" s="5"/>
      <c r="AM1419" s="5"/>
    </row>
    <row r="1420" spans="20:39" x14ac:dyDescent="0.15">
      <c r="T1420" s="5"/>
      <c r="V1420" s="5"/>
      <c r="AK1420" s="5"/>
      <c r="AM1420" s="5"/>
    </row>
    <row r="1421" spans="20:39" x14ac:dyDescent="0.15">
      <c r="T1421" s="5"/>
      <c r="V1421" s="5"/>
      <c r="AK1421" s="5"/>
      <c r="AM1421" s="5"/>
    </row>
    <row r="1422" spans="20:39" x14ac:dyDescent="0.15">
      <c r="T1422" s="5"/>
      <c r="V1422" s="5"/>
      <c r="AK1422" s="5"/>
      <c r="AM1422" s="5"/>
    </row>
    <row r="1423" spans="20:39" x14ac:dyDescent="0.15">
      <c r="T1423" s="5"/>
      <c r="V1423" s="5"/>
      <c r="AK1423" s="5"/>
      <c r="AM1423" s="5"/>
    </row>
    <row r="1424" spans="20:39" x14ac:dyDescent="0.15">
      <c r="T1424" s="5"/>
      <c r="V1424" s="5"/>
      <c r="AK1424" s="5"/>
      <c r="AM1424" s="5"/>
    </row>
    <row r="1425" spans="20:39" x14ac:dyDescent="0.15">
      <c r="T1425" s="5"/>
      <c r="V1425" s="5"/>
      <c r="AK1425" s="5"/>
      <c r="AM1425" s="5"/>
    </row>
    <row r="1426" spans="20:39" x14ac:dyDescent="0.15">
      <c r="T1426" s="5"/>
      <c r="V1426" s="5"/>
      <c r="AK1426" s="5"/>
      <c r="AM1426" s="5"/>
    </row>
    <row r="1427" spans="20:39" x14ac:dyDescent="0.15">
      <c r="T1427" s="5"/>
      <c r="V1427" s="5"/>
      <c r="AK1427" s="5"/>
      <c r="AM1427" s="5"/>
    </row>
    <row r="1428" spans="20:39" x14ac:dyDescent="0.15">
      <c r="T1428" s="5"/>
      <c r="V1428" s="5"/>
      <c r="AK1428" s="5"/>
      <c r="AM1428" s="5"/>
    </row>
    <row r="1429" spans="20:39" x14ac:dyDescent="0.15">
      <c r="T1429" s="5"/>
      <c r="V1429" s="5"/>
      <c r="AK1429" s="5"/>
      <c r="AM1429" s="5"/>
    </row>
    <row r="1430" spans="20:39" x14ac:dyDescent="0.15">
      <c r="T1430" s="5"/>
      <c r="V1430" s="5"/>
      <c r="AK1430" s="5"/>
      <c r="AM1430" s="5"/>
    </row>
    <row r="1431" spans="20:39" x14ac:dyDescent="0.15">
      <c r="T1431" s="5"/>
      <c r="V1431" s="5"/>
      <c r="AK1431" s="5"/>
      <c r="AM1431" s="5"/>
    </row>
    <row r="1432" spans="20:39" x14ac:dyDescent="0.15">
      <c r="T1432" s="5"/>
      <c r="V1432" s="5"/>
      <c r="AK1432" s="5"/>
      <c r="AM1432" s="5"/>
    </row>
    <row r="1433" spans="20:39" x14ac:dyDescent="0.15">
      <c r="T1433" s="5"/>
      <c r="V1433" s="5"/>
      <c r="AK1433" s="5"/>
      <c r="AM1433" s="5"/>
    </row>
    <row r="1434" spans="20:39" x14ac:dyDescent="0.15">
      <c r="T1434" s="5"/>
      <c r="V1434" s="5"/>
      <c r="AK1434" s="5"/>
      <c r="AM1434" s="5"/>
    </row>
    <row r="1435" spans="20:39" x14ac:dyDescent="0.15">
      <c r="T1435" s="5"/>
      <c r="V1435" s="5"/>
      <c r="AK1435" s="5"/>
      <c r="AM1435" s="5"/>
    </row>
    <row r="1436" spans="20:39" x14ac:dyDescent="0.15">
      <c r="T1436" s="5"/>
      <c r="V1436" s="5"/>
      <c r="AK1436" s="5"/>
      <c r="AM1436" s="5"/>
    </row>
    <row r="1437" spans="20:39" x14ac:dyDescent="0.15">
      <c r="T1437" s="5"/>
      <c r="V1437" s="5"/>
      <c r="AK1437" s="5"/>
      <c r="AM1437" s="5"/>
    </row>
    <row r="1438" spans="20:39" x14ac:dyDescent="0.15">
      <c r="T1438" s="5"/>
      <c r="V1438" s="5"/>
      <c r="AK1438" s="5"/>
      <c r="AM1438" s="5"/>
    </row>
    <row r="1439" spans="20:39" x14ac:dyDescent="0.15">
      <c r="T1439" s="5"/>
      <c r="V1439" s="5"/>
      <c r="AK1439" s="5"/>
      <c r="AM1439" s="5"/>
    </row>
    <row r="1440" spans="20:39" x14ac:dyDescent="0.15">
      <c r="T1440" s="5"/>
      <c r="V1440" s="5"/>
      <c r="AK1440" s="5"/>
      <c r="AM1440" s="5"/>
    </row>
    <row r="1441" spans="20:39" x14ac:dyDescent="0.15">
      <c r="T1441" s="5"/>
      <c r="V1441" s="5"/>
      <c r="AK1441" s="5"/>
      <c r="AM1441" s="5"/>
    </row>
    <row r="1442" spans="20:39" x14ac:dyDescent="0.15">
      <c r="T1442" s="5"/>
      <c r="V1442" s="5"/>
      <c r="AK1442" s="5"/>
      <c r="AM1442" s="5"/>
    </row>
    <row r="1443" spans="20:39" x14ac:dyDescent="0.15">
      <c r="T1443" s="5"/>
      <c r="V1443" s="5"/>
      <c r="AK1443" s="5"/>
      <c r="AM1443" s="5"/>
    </row>
    <row r="1444" spans="20:39" x14ac:dyDescent="0.15">
      <c r="T1444" s="5"/>
      <c r="V1444" s="5"/>
      <c r="AK1444" s="5"/>
      <c r="AM1444" s="5"/>
    </row>
    <row r="1445" spans="20:39" x14ac:dyDescent="0.15">
      <c r="T1445" s="5"/>
      <c r="V1445" s="5"/>
      <c r="AK1445" s="5"/>
      <c r="AM1445" s="5"/>
    </row>
    <row r="1446" spans="20:39" x14ac:dyDescent="0.15">
      <c r="T1446" s="5"/>
      <c r="V1446" s="5"/>
      <c r="AK1446" s="5"/>
      <c r="AM1446" s="5"/>
    </row>
    <row r="1447" spans="20:39" x14ac:dyDescent="0.15">
      <c r="T1447" s="5"/>
      <c r="V1447" s="5"/>
      <c r="AK1447" s="5"/>
      <c r="AM1447" s="5"/>
    </row>
    <row r="1448" spans="20:39" x14ac:dyDescent="0.15">
      <c r="T1448" s="5"/>
      <c r="V1448" s="5"/>
      <c r="AK1448" s="5"/>
      <c r="AM1448" s="5"/>
    </row>
    <row r="1449" spans="20:39" x14ac:dyDescent="0.15">
      <c r="T1449" s="5"/>
      <c r="V1449" s="5"/>
      <c r="AK1449" s="5"/>
      <c r="AM1449" s="5"/>
    </row>
    <row r="1450" spans="20:39" x14ac:dyDescent="0.15">
      <c r="T1450" s="5"/>
      <c r="V1450" s="5"/>
      <c r="AK1450" s="5"/>
      <c r="AM1450" s="5"/>
    </row>
    <row r="1451" spans="20:39" x14ac:dyDescent="0.15">
      <c r="T1451" s="5"/>
      <c r="V1451" s="5"/>
      <c r="AK1451" s="5"/>
      <c r="AM1451" s="5"/>
    </row>
    <row r="1452" spans="20:39" x14ac:dyDescent="0.15">
      <c r="T1452" s="5"/>
      <c r="V1452" s="5"/>
      <c r="AK1452" s="5"/>
      <c r="AM1452" s="5"/>
    </row>
    <row r="1453" spans="20:39" x14ac:dyDescent="0.15">
      <c r="T1453" s="5"/>
      <c r="V1453" s="5"/>
      <c r="AK1453" s="5"/>
      <c r="AM1453" s="5"/>
    </row>
    <row r="1454" spans="20:39" x14ac:dyDescent="0.15">
      <c r="T1454" s="5"/>
      <c r="V1454" s="5"/>
      <c r="AK1454" s="5"/>
      <c r="AM1454" s="5"/>
    </row>
    <row r="1455" spans="20:39" x14ac:dyDescent="0.15">
      <c r="T1455" s="5"/>
      <c r="V1455" s="5"/>
      <c r="AK1455" s="5"/>
      <c r="AM1455" s="5"/>
    </row>
    <row r="1456" spans="20:39" x14ac:dyDescent="0.15">
      <c r="T1456" s="5"/>
      <c r="V1456" s="5"/>
      <c r="AK1456" s="5"/>
      <c r="AM1456" s="5"/>
    </row>
    <row r="1457" spans="20:39" x14ac:dyDescent="0.15">
      <c r="T1457" s="5"/>
      <c r="V1457" s="5"/>
      <c r="AK1457" s="5"/>
      <c r="AM1457" s="5"/>
    </row>
    <row r="1458" spans="20:39" x14ac:dyDescent="0.15">
      <c r="T1458" s="5"/>
      <c r="V1458" s="5"/>
      <c r="AK1458" s="5"/>
      <c r="AM1458" s="5"/>
    </row>
    <row r="1459" spans="20:39" x14ac:dyDescent="0.15">
      <c r="T1459" s="5"/>
      <c r="V1459" s="5"/>
      <c r="AK1459" s="5"/>
      <c r="AM1459" s="5"/>
    </row>
    <row r="1460" spans="20:39" x14ac:dyDescent="0.15">
      <c r="T1460" s="5"/>
      <c r="V1460" s="5"/>
      <c r="AK1460" s="5"/>
      <c r="AM1460" s="5"/>
    </row>
    <row r="1461" spans="20:39" x14ac:dyDescent="0.15">
      <c r="T1461" s="5"/>
      <c r="V1461" s="5"/>
      <c r="AK1461" s="5"/>
      <c r="AM1461" s="5"/>
    </row>
    <row r="1462" spans="20:39" x14ac:dyDescent="0.15">
      <c r="T1462" s="5"/>
      <c r="V1462" s="5"/>
      <c r="AK1462" s="5"/>
      <c r="AM1462" s="5"/>
    </row>
    <row r="1463" spans="20:39" x14ac:dyDescent="0.15">
      <c r="T1463" s="5"/>
      <c r="V1463" s="5"/>
      <c r="AK1463" s="5"/>
      <c r="AM1463" s="5"/>
    </row>
    <row r="1464" spans="20:39" x14ac:dyDescent="0.15">
      <c r="T1464" s="5"/>
      <c r="V1464" s="5"/>
      <c r="AK1464" s="5"/>
      <c r="AM1464" s="5"/>
    </row>
    <row r="1465" spans="20:39" x14ac:dyDescent="0.15">
      <c r="T1465" s="5"/>
      <c r="V1465" s="5"/>
      <c r="AK1465" s="5"/>
      <c r="AM1465" s="5"/>
    </row>
    <row r="1466" spans="20:39" x14ac:dyDescent="0.15">
      <c r="T1466" s="5"/>
      <c r="V1466" s="5"/>
      <c r="AK1466" s="5"/>
      <c r="AM1466" s="5"/>
    </row>
    <row r="1467" spans="20:39" x14ac:dyDescent="0.15">
      <c r="T1467" s="5"/>
      <c r="V1467" s="5"/>
      <c r="AK1467" s="5"/>
      <c r="AM1467" s="5"/>
    </row>
    <row r="1468" spans="20:39" x14ac:dyDescent="0.15">
      <c r="T1468" s="5"/>
      <c r="V1468" s="5"/>
      <c r="AK1468" s="5"/>
      <c r="AM1468" s="5"/>
    </row>
    <row r="1469" spans="20:39" x14ac:dyDescent="0.15">
      <c r="T1469" s="5"/>
      <c r="V1469" s="5"/>
      <c r="AK1469" s="5"/>
      <c r="AM1469" s="5"/>
    </row>
    <row r="1470" spans="20:39" x14ac:dyDescent="0.15">
      <c r="T1470" s="5"/>
      <c r="V1470" s="5"/>
      <c r="AK1470" s="5"/>
      <c r="AM1470" s="5"/>
    </row>
    <row r="1471" spans="20:39" x14ac:dyDescent="0.15">
      <c r="T1471" s="5"/>
      <c r="V1471" s="5"/>
      <c r="AK1471" s="5"/>
      <c r="AM1471" s="5"/>
    </row>
    <row r="1472" spans="20:39" x14ac:dyDescent="0.15">
      <c r="T1472" s="5"/>
      <c r="V1472" s="5"/>
      <c r="AK1472" s="5"/>
      <c r="AM1472" s="5"/>
    </row>
    <row r="1473" spans="20:39" x14ac:dyDescent="0.15">
      <c r="T1473" s="5"/>
      <c r="V1473" s="5"/>
      <c r="AK1473" s="5"/>
      <c r="AM1473" s="5"/>
    </row>
    <row r="1474" spans="20:39" x14ac:dyDescent="0.15">
      <c r="T1474" s="5"/>
      <c r="V1474" s="5"/>
      <c r="AK1474" s="5"/>
      <c r="AM1474" s="5"/>
    </row>
    <row r="1475" spans="20:39" x14ac:dyDescent="0.15">
      <c r="T1475" s="5"/>
      <c r="V1475" s="5"/>
      <c r="AK1475" s="5"/>
      <c r="AM1475" s="5"/>
    </row>
    <row r="1476" spans="20:39" x14ac:dyDescent="0.15">
      <c r="T1476" s="5"/>
      <c r="V1476" s="5"/>
      <c r="AK1476" s="5"/>
      <c r="AM1476" s="5"/>
    </row>
    <row r="1477" spans="20:39" x14ac:dyDescent="0.15">
      <c r="T1477" s="5"/>
      <c r="V1477" s="5"/>
      <c r="AK1477" s="5"/>
      <c r="AM1477" s="5"/>
    </row>
    <row r="1478" spans="20:39" x14ac:dyDescent="0.15">
      <c r="T1478" s="5"/>
      <c r="V1478" s="5"/>
      <c r="AK1478" s="5"/>
      <c r="AM1478" s="5"/>
    </row>
    <row r="1479" spans="20:39" x14ac:dyDescent="0.15">
      <c r="T1479" s="5"/>
      <c r="V1479" s="5"/>
      <c r="AK1479" s="5"/>
      <c r="AM1479" s="5"/>
    </row>
    <row r="1480" spans="20:39" x14ac:dyDescent="0.15">
      <c r="T1480" s="5"/>
      <c r="V1480" s="5"/>
      <c r="AK1480" s="5"/>
      <c r="AM1480" s="5"/>
    </row>
    <row r="1481" spans="20:39" x14ac:dyDescent="0.15">
      <c r="T1481" s="5"/>
      <c r="V1481" s="5"/>
      <c r="AK1481" s="5"/>
      <c r="AM1481" s="5"/>
    </row>
    <row r="1482" spans="20:39" x14ac:dyDescent="0.15">
      <c r="T1482" s="5"/>
      <c r="V1482" s="5"/>
      <c r="AK1482" s="5"/>
      <c r="AM1482" s="5"/>
    </row>
    <row r="1483" spans="20:39" x14ac:dyDescent="0.15">
      <c r="T1483" s="5"/>
      <c r="V1483" s="5"/>
      <c r="AK1483" s="5"/>
      <c r="AM1483" s="5"/>
    </row>
    <row r="1484" spans="20:39" x14ac:dyDescent="0.15">
      <c r="T1484" s="5"/>
      <c r="V1484" s="5"/>
      <c r="AK1484" s="5"/>
      <c r="AM1484" s="5"/>
    </row>
    <row r="1485" spans="20:39" x14ac:dyDescent="0.15">
      <c r="T1485" s="5"/>
      <c r="V1485" s="5"/>
      <c r="AK1485" s="5"/>
      <c r="AM1485" s="5"/>
    </row>
    <row r="1486" spans="20:39" x14ac:dyDescent="0.15">
      <c r="T1486" s="5"/>
      <c r="V1486" s="5"/>
      <c r="AK1486" s="5"/>
      <c r="AM1486" s="5"/>
    </row>
    <row r="1487" spans="20:39" x14ac:dyDescent="0.15">
      <c r="T1487" s="5"/>
      <c r="V1487" s="5"/>
      <c r="AK1487" s="5"/>
      <c r="AM1487" s="5"/>
    </row>
    <row r="1488" spans="20:39" x14ac:dyDescent="0.15">
      <c r="T1488" s="5"/>
      <c r="V1488" s="5"/>
      <c r="AK1488" s="5"/>
      <c r="AM1488" s="5"/>
    </row>
    <row r="1489" spans="20:39" x14ac:dyDescent="0.15">
      <c r="T1489" s="5"/>
      <c r="V1489" s="5"/>
      <c r="AK1489" s="5"/>
      <c r="AM1489" s="5"/>
    </row>
    <row r="1490" spans="20:39" x14ac:dyDescent="0.15">
      <c r="T1490" s="5"/>
      <c r="V1490" s="5"/>
      <c r="AK1490" s="5"/>
      <c r="AM1490" s="5"/>
    </row>
    <row r="1491" spans="20:39" x14ac:dyDescent="0.15">
      <c r="T1491" s="5"/>
      <c r="V1491" s="5"/>
      <c r="AK1491" s="5"/>
      <c r="AM1491" s="5"/>
    </row>
    <row r="1492" spans="20:39" x14ac:dyDescent="0.15">
      <c r="T1492" s="5"/>
      <c r="V1492" s="5"/>
      <c r="AK1492" s="5"/>
      <c r="AM1492" s="5"/>
    </row>
    <row r="1493" spans="20:39" x14ac:dyDescent="0.15">
      <c r="T1493" s="5"/>
      <c r="V1493" s="5"/>
      <c r="AK1493" s="5"/>
      <c r="AM1493" s="5"/>
    </row>
    <row r="1494" spans="20:39" x14ac:dyDescent="0.15">
      <c r="T1494" s="5"/>
      <c r="V1494" s="5"/>
      <c r="AK1494" s="5"/>
      <c r="AM1494" s="5"/>
    </row>
    <row r="1495" spans="20:39" x14ac:dyDescent="0.15">
      <c r="T1495" s="5"/>
      <c r="V1495" s="5"/>
      <c r="AK1495" s="5"/>
      <c r="AM1495" s="5"/>
    </row>
    <row r="1496" spans="20:39" x14ac:dyDescent="0.15">
      <c r="T1496" s="5"/>
      <c r="V1496" s="5"/>
      <c r="AK1496" s="5"/>
      <c r="AM1496" s="5"/>
    </row>
    <row r="1497" spans="20:39" x14ac:dyDescent="0.15">
      <c r="T1497" s="5"/>
      <c r="V1497" s="5"/>
      <c r="AK1497" s="5"/>
      <c r="AM1497" s="5"/>
    </row>
    <row r="1498" spans="20:39" x14ac:dyDescent="0.15">
      <c r="T1498" s="5"/>
      <c r="V1498" s="5"/>
      <c r="AK1498" s="5"/>
      <c r="AM1498" s="5"/>
    </row>
    <row r="1499" spans="20:39" x14ac:dyDescent="0.15">
      <c r="T1499" s="5"/>
      <c r="V1499" s="5"/>
      <c r="AK1499" s="5"/>
      <c r="AM1499" s="5"/>
    </row>
    <row r="1500" spans="20:39" x14ac:dyDescent="0.15">
      <c r="T1500" s="5"/>
      <c r="V1500" s="5"/>
      <c r="AK1500" s="5"/>
      <c r="AM1500" s="5"/>
    </row>
    <row r="1501" spans="20:39" x14ac:dyDescent="0.15">
      <c r="T1501" s="5"/>
      <c r="V1501" s="5"/>
      <c r="AK1501" s="5"/>
      <c r="AM1501" s="5"/>
    </row>
    <row r="1502" spans="20:39" x14ac:dyDescent="0.15">
      <c r="T1502" s="5"/>
      <c r="V1502" s="5"/>
      <c r="AK1502" s="5"/>
      <c r="AM1502" s="5"/>
    </row>
    <row r="1503" spans="20:39" x14ac:dyDescent="0.15">
      <c r="T1503" s="5"/>
      <c r="V1503" s="5"/>
      <c r="AK1503" s="5"/>
      <c r="AM1503" s="5"/>
    </row>
    <row r="1504" spans="20:39" x14ac:dyDescent="0.15">
      <c r="T1504" s="5"/>
      <c r="V1504" s="5"/>
      <c r="AK1504" s="5"/>
      <c r="AM1504" s="5"/>
    </row>
    <row r="1505" spans="20:39" x14ac:dyDescent="0.15">
      <c r="T1505" s="5"/>
      <c r="V1505" s="5"/>
      <c r="AK1505" s="5"/>
      <c r="AM1505" s="5"/>
    </row>
    <row r="1506" spans="20:39" x14ac:dyDescent="0.15">
      <c r="T1506" s="5"/>
      <c r="V1506" s="5"/>
      <c r="AK1506" s="5"/>
      <c r="AM1506" s="5"/>
    </row>
    <row r="1507" spans="20:39" x14ac:dyDescent="0.15">
      <c r="T1507" s="5"/>
      <c r="V1507" s="5"/>
      <c r="AK1507" s="5"/>
      <c r="AM1507" s="5"/>
    </row>
    <row r="1508" spans="20:39" x14ac:dyDescent="0.15">
      <c r="T1508" s="5"/>
      <c r="V1508" s="5"/>
      <c r="AK1508" s="5"/>
      <c r="AM1508" s="5"/>
    </row>
    <row r="1509" spans="20:39" x14ac:dyDescent="0.15">
      <c r="T1509" s="5"/>
      <c r="V1509" s="5"/>
      <c r="AK1509" s="5"/>
      <c r="AM1509" s="5"/>
    </row>
    <row r="1510" spans="20:39" x14ac:dyDescent="0.15">
      <c r="T1510" s="5"/>
      <c r="V1510" s="5"/>
      <c r="AK1510" s="5"/>
      <c r="AM1510" s="5"/>
    </row>
    <row r="1511" spans="20:39" x14ac:dyDescent="0.15">
      <c r="T1511" s="5"/>
      <c r="V1511" s="5"/>
      <c r="AK1511" s="5"/>
      <c r="AM1511" s="5"/>
    </row>
    <row r="1512" spans="20:39" x14ac:dyDescent="0.15">
      <c r="T1512" s="5"/>
      <c r="V1512" s="5"/>
      <c r="AK1512" s="5"/>
      <c r="AM1512" s="5"/>
    </row>
    <row r="1513" spans="20:39" x14ac:dyDescent="0.15">
      <c r="T1513" s="5"/>
      <c r="V1513" s="5"/>
      <c r="AK1513" s="5"/>
      <c r="AM1513" s="5"/>
    </row>
    <row r="1514" spans="20:39" x14ac:dyDescent="0.15">
      <c r="T1514" s="5"/>
      <c r="V1514" s="5"/>
      <c r="AK1514" s="5"/>
      <c r="AM1514" s="5"/>
    </row>
    <row r="1515" spans="20:39" x14ac:dyDescent="0.15">
      <c r="T1515" s="5"/>
      <c r="V1515" s="5"/>
      <c r="AK1515" s="5"/>
      <c r="AM1515" s="5"/>
    </row>
    <row r="1516" spans="20:39" x14ac:dyDescent="0.15">
      <c r="T1516" s="5"/>
      <c r="V1516" s="5"/>
      <c r="AK1516" s="5"/>
      <c r="AM1516" s="5"/>
    </row>
    <row r="1517" spans="20:39" x14ac:dyDescent="0.15">
      <c r="T1517" s="5"/>
      <c r="V1517" s="5"/>
      <c r="AK1517" s="5"/>
      <c r="AM1517" s="5"/>
    </row>
    <row r="1518" spans="20:39" x14ac:dyDescent="0.15">
      <c r="T1518" s="5"/>
      <c r="V1518" s="5"/>
      <c r="AK1518" s="5"/>
      <c r="AM1518" s="5"/>
    </row>
    <row r="1519" spans="20:39" x14ac:dyDescent="0.15">
      <c r="T1519" s="5"/>
      <c r="V1519" s="5"/>
      <c r="AK1519" s="5"/>
      <c r="AM1519" s="5"/>
    </row>
    <row r="1520" spans="20:39" x14ac:dyDescent="0.15">
      <c r="T1520" s="5"/>
      <c r="V1520" s="5"/>
      <c r="AK1520" s="5"/>
      <c r="AM1520" s="5"/>
    </row>
    <row r="1521" spans="20:39" x14ac:dyDescent="0.15">
      <c r="T1521" s="5"/>
      <c r="V1521" s="5"/>
      <c r="AK1521" s="5"/>
      <c r="AM1521" s="5"/>
    </row>
    <row r="1522" spans="20:39" x14ac:dyDescent="0.15">
      <c r="T1522" s="5"/>
      <c r="V1522" s="5"/>
      <c r="AK1522" s="5"/>
      <c r="AM1522" s="5"/>
    </row>
    <row r="1523" spans="20:39" x14ac:dyDescent="0.15">
      <c r="T1523" s="5"/>
      <c r="V1523" s="5"/>
      <c r="AK1523" s="5"/>
      <c r="AM1523" s="5"/>
    </row>
    <row r="1524" spans="20:39" x14ac:dyDescent="0.15">
      <c r="T1524" s="5"/>
      <c r="V1524" s="5"/>
      <c r="AK1524" s="5"/>
      <c r="AM1524" s="5"/>
    </row>
    <row r="1525" spans="20:39" x14ac:dyDescent="0.15">
      <c r="T1525" s="5"/>
      <c r="V1525" s="5"/>
      <c r="AK1525" s="5"/>
      <c r="AM1525" s="5"/>
    </row>
    <row r="1526" spans="20:39" x14ac:dyDescent="0.15">
      <c r="T1526" s="5"/>
      <c r="V1526" s="5"/>
      <c r="AK1526" s="5"/>
      <c r="AM1526" s="5"/>
    </row>
    <row r="1527" spans="20:39" x14ac:dyDescent="0.15">
      <c r="T1527" s="5"/>
      <c r="V1527" s="5"/>
      <c r="AK1527" s="5"/>
      <c r="AM1527" s="5"/>
    </row>
    <row r="1528" spans="20:39" x14ac:dyDescent="0.15">
      <c r="T1528" s="5"/>
      <c r="V1528" s="5"/>
      <c r="AK1528" s="5"/>
      <c r="AM1528" s="5"/>
    </row>
    <row r="1529" spans="20:39" x14ac:dyDescent="0.15">
      <c r="T1529" s="5"/>
      <c r="V1529" s="5"/>
      <c r="AK1529" s="5"/>
      <c r="AM1529" s="5"/>
    </row>
    <row r="1530" spans="20:39" x14ac:dyDescent="0.15">
      <c r="T1530" s="5"/>
      <c r="V1530" s="5"/>
      <c r="AK1530" s="5"/>
      <c r="AM1530" s="5"/>
    </row>
    <row r="1531" spans="20:39" x14ac:dyDescent="0.15">
      <c r="T1531" s="5"/>
      <c r="V1531" s="5"/>
      <c r="AK1531" s="5"/>
      <c r="AM1531" s="5"/>
    </row>
    <row r="1532" spans="20:39" x14ac:dyDescent="0.15">
      <c r="T1532" s="5"/>
      <c r="V1532" s="5"/>
      <c r="AK1532" s="5"/>
      <c r="AM1532" s="5"/>
    </row>
    <row r="1533" spans="20:39" x14ac:dyDescent="0.15">
      <c r="T1533" s="5"/>
      <c r="V1533" s="5"/>
      <c r="AK1533" s="5"/>
      <c r="AM1533" s="5"/>
    </row>
    <row r="1534" spans="20:39" x14ac:dyDescent="0.15">
      <c r="T1534" s="5"/>
      <c r="V1534" s="5"/>
      <c r="AK1534" s="5"/>
      <c r="AM1534" s="5"/>
    </row>
    <row r="1535" spans="20:39" x14ac:dyDescent="0.15">
      <c r="T1535" s="5"/>
      <c r="V1535" s="5"/>
      <c r="AK1535" s="5"/>
      <c r="AM1535" s="5"/>
    </row>
    <row r="1536" spans="20:39" x14ac:dyDescent="0.15">
      <c r="T1536" s="5"/>
      <c r="V1536" s="5"/>
      <c r="AK1536" s="5"/>
      <c r="AM1536" s="5"/>
    </row>
    <row r="1537" spans="20:39" x14ac:dyDescent="0.15">
      <c r="T1537" s="5"/>
      <c r="V1537" s="5"/>
      <c r="AK1537" s="5"/>
      <c r="AM1537" s="5"/>
    </row>
    <row r="1538" spans="20:39" x14ac:dyDescent="0.15">
      <c r="T1538" s="5"/>
      <c r="V1538" s="5"/>
      <c r="AK1538" s="5"/>
      <c r="AM1538" s="5"/>
    </row>
    <row r="1539" spans="20:39" x14ac:dyDescent="0.15">
      <c r="T1539" s="5"/>
      <c r="V1539" s="5"/>
      <c r="AK1539" s="5"/>
      <c r="AM1539" s="5"/>
    </row>
    <row r="1540" spans="20:39" x14ac:dyDescent="0.15">
      <c r="T1540" s="5"/>
      <c r="V1540" s="5"/>
      <c r="AK1540" s="5"/>
      <c r="AM1540" s="5"/>
    </row>
    <row r="1541" spans="20:39" x14ac:dyDescent="0.15">
      <c r="T1541" s="5"/>
      <c r="V1541" s="5"/>
      <c r="AK1541" s="5"/>
      <c r="AM1541" s="5"/>
    </row>
    <row r="1542" spans="20:39" x14ac:dyDescent="0.15">
      <c r="T1542" s="5"/>
      <c r="V1542" s="5"/>
      <c r="AK1542" s="5"/>
      <c r="AM1542" s="5"/>
    </row>
    <row r="1543" spans="20:39" x14ac:dyDescent="0.15">
      <c r="T1543" s="5"/>
      <c r="V1543" s="5"/>
      <c r="AK1543" s="5"/>
      <c r="AM1543" s="5"/>
    </row>
    <row r="1544" spans="20:39" x14ac:dyDescent="0.15">
      <c r="T1544" s="5"/>
      <c r="V1544" s="5"/>
      <c r="AK1544" s="5"/>
      <c r="AM1544" s="5"/>
    </row>
    <row r="1545" spans="20:39" x14ac:dyDescent="0.15">
      <c r="T1545" s="5"/>
      <c r="V1545" s="5"/>
      <c r="AK1545" s="5"/>
      <c r="AM1545" s="5"/>
    </row>
    <row r="1546" spans="20:39" x14ac:dyDescent="0.15">
      <c r="T1546" s="5"/>
      <c r="V1546" s="5"/>
      <c r="AK1546" s="5"/>
      <c r="AM1546" s="5"/>
    </row>
    <row r="1547" spans="20:39" x14ac:dyDescent="0.15">
      <c r="T1547" s="5"/>
      <c r="V1547" s="5"/>
      <c r="AK1547" s="5"/>
      <c r="AM1547" s="5"/>
    </row>
    <row r="1548" spans="20:39" x14ac:dyDescent="0.15">
      <c r="T1548" s="5"/>
      <c r="V1548" s="5"/>
      <c r="AK1548" s="5"/>
      <c r="AM1548" s="5"/>
    </row>
    <row r="1549" spans="20:39" x14ac:dyDescent="0.15">
      <c r="T1549" s="5"/>
      <c r="V1549" s="5"/>
      <c r="AK1549" s="5"/>
      <c r="AM1549" s="5"/>
    </row>
    <row r="1550" spans="20:39" x14ac:dyDescent="0.15">
      <c r="T1550" s="5"/>
      <c r="V1550" s="5"/>
      <c r="AK1550" s="5"/>
      <c r="AM1550" s="5"/>
    </row>
    <row r="1551" spans="20:39" x14ac:dyDescent="0.15">
      <c r="T1551" s="5"/>
      <c r="V1551" s="5"/>
      <c r="AK1551" s="5"/>
      <c r="AM1551" s="5"/>
    </row>
    <row r="1552" spans="20:39" x14ac:dyDescent="0.15">
      <c r="T1552" s="5"/>
      <c r="V1552" s="5"/>
      <c r="AK1552" s="5"/>
      <c r="AM1552" s="5"/>
    </row>
    <row r="1553" spans="20:39" x14ac:dyDescent="0.15">
      <c r="T1553" s="5"/>
      <c r="V1553" s="5"/>
      <c r="AK1553" s="5"/>
      <c r="AM1553" s="5"/>
    </row>
    <row r="1554" spans="20:39" x14ac:dyDescent="0.15">
      <c r="T1554" s="5"/>
      <c r="V1554" s="5"/>
      <c r="AK1554" s="5"/>
      <c r="AM1554" s="5"/>
    </row>
    <row r="1555" spans="20:39" x14ac:dyDescent="0.15">
      <c r="T1555" s="5"/>
      <c r="V1555" s="5"/>
      <c r="AK1555" s="5"/>
      <c r="AM1555" s="5"/>
    </row>
    <row r="1556" spans="20:39" x14ac:dyDescent="0.15">
      <c r="T1556" s="5"/>
      <c r="V1556" s="5"/>
      <c r="AK1556" s="5"/>
      <c r="AM1556" s="5"/>
    </row>
    <row r="1557" spans="20:39" x14ac:dyDescent="0.15">
      <c r="T1557" s="5"/>
      <c r="V1557" s="5"/>
      <c r="AK1557" s="5"/>
      <c r="AM1557" s="5"/>
    </row>
    <row r="1558" spans="20:39" x14ac:dyDescent="0.15">
      <c r="T1558" s="5"/>
      <c r="V1558" s="5"/>
      <c r="AK1558" s="5"/>
      <c r="AM1558" s="5"/>
    </row>
    <row r="1559" spans="20:39" x14ac:dyDescent="0.15">
      <c r="T1559" s="5"/>
      <c r="V1559" s="5"/>
      <c r="AK1559" s="5"/>
      <c r="AM1559" s="5"/>
    </row>
    <row r="1560" spans="20:39" x14ac:dyDescent="0.15">
      <c r="T1560" s="5"/>
      <c r="V1560" s="5"/>
      <c r="AK1560" s="5"/>
      <c r="AM1560" s="5"/>
    </row>
    <row r="1561" spans="20:39" x14ac:dyDescent="0.15">
      <c r="T1561" s="5"/>
      <c r="V1561" s="5"/>
      <c r="AK1561" s="5"/>
      <c r="AM1561" s="5"/>
    </row>
    <row r="1562" spans="20:39" x14ac:dyDescent="0.15">
      <c r="T1562" s="5"/>
      <c r="V1562" s="5"/>
      <c r="AK1562" s="5"/>
      <c r="AM1562" s="5"/>
    </row>
    <row r="1563" spans="20:39" x14ac:dyDescent="0.15">
      <c r="T1563" s="5"/>
      <c r="V1563" s="5"/>
      <c r="AK1563" s="5"/>
      <c r="AM1563" s="5"/>
    </row>
    <row r="1564" spans="20:39" x14ac:dyDescent="0.15">
      <c r="T1564" s="5"/>
      <c r="V1564" s="5"/>
      <c r="AK1564" s="5"/>
      <c r="AM1564" s="5"/>
    </row>
    <row r="1565" spans="20:39" x14ac:dyDescent="0.15">
      <c r="T1565" s="5"/>
      <c r="V1565" s="5"/>
      <c r="AK1565" s="5"/>
      <c r="AM1565" s="5"/>
    </row>
    <row r="1566" spans="20:39" x14ac:dyDescent="0.15">
      <c r="T1566" s="5"/>
      <c r="V1566" s="5"/>
      <c r="AK1566" s="5"/>
      <c r="AM1566" s="5"/>
    </row>
    <row r="1567" spans="20:39" x14ac:dyDescent="0.15">
      <c r="T1567" s="5"/>
      <c r="V1567" s="5"/>
      <c r="AK1567" s="5"/>
      <c r="AM1567" s="5"/>
    </row>
    <row r="1568" spans="20:39" x14ac:dyDescent="0.15">
      <c r="T1568" s="5"/>
      <c r="V1568" s="5"/>
      <c r="AK1568" s="5"/>
      <c r="AM1568" s="5"/>
    </row>
    <row r="1569" spans="20:39" x14ac:dyDescent="0.15">
      <c r="T1569" s="5"/>
      <c r="V1569" s="5"/>
      <c r="AK1569" s="5"/>
      <c r="AM1569" s="5"/>
    </row>
    <row r="1570" spans="20:39" x14ac:dyDescent="0.15">
      <c r="T1570" s="5"/>
      <c r="V1570" s="5"/>
      <c r="AK1570" s="5"/>
      <c r="AM1570" s="5"/>
    </row>
    <row r="1571" spans="20:39" x14ac:dyDescent="0.15">
      <c r="T1571" s="5"/>
      <c r="V1571" s="5"/>
      <c r="AK1571" s="5"/>
      <c r="AM1571" s="5"/>
    </row>
    <row r="1572" spans="20:39" x14ac:dyDescent="0.15">
      <c r="T1572" s="5"/>
      <c r="V1572" s="5"/>
      <c r="AK1572" s="5"/>
      <c r="AM1572" s="5"/>
    </row>
    <row r="1573" spans="20:39" x14ac:dyDescent="0.15">
      <c r="T1573" s="5"/>
      <c r="V1573" s="5"/>
      <c r="AK1573" s="5"/>
      <c r="AM1573" s="5"/>
    </row>
    <row r="1574" spans="20:39" x14ac:dyDescent="0.15">
      <c r="T1574" s="5"/>
      <c r="V1574" s="5"/>
      <c r="AK1574" s="5"/>
      <c r="AM1574" s="5"/>
    </row>
    <row r="1575" spans="20:39" x14ac:dyDescent="0.15">
      <c r="T1575" s="5"/>
      <c r="V1575" s="5"/>
      <c r="AK1575" s="5"/>
      <c r="AM1575" s="5"/>
    </row>
    <row r="1576" spans="20:39" x14ac:dyDescent="0.15">
      <c r="T1576" s="5"/>
      <c r="V1576" s="5"/>
      <c r="AK1576" s="5"/>
      <c r="AM1576" s="5"/>
    </row>
    <row r="1577" spans="20:39" x14ac:dyDescent="0.15">
      <c r="T1577" s="5"/>
      <c r="V1577" s="5"/>
      <c r="AK1577" s="5"/>
      <c r="AM1577" s="5"/>
    </row>
    <row r="1578" spans="20:39" x14ac:dyDescent="0.15">
      <c r="T1578" s="5"/>
      <c r="V1578" s="5"/>
      <c r="AK1578" s="5"/>
      <c r="AM1578" s="5"/>
    </row>
    <row r="1579" spans="20:39" x14ac:dyDescent="0.15">
      <c r="T1579" s="5"/>
      <c r="V1579" s="5"/>
      <c r="AK1579" s="5"/>
      <c r="AM1579" s="5"/>
    </row>
    <row r="1580" spans="20:39" x14ac:dyDescent="0.15">
      <c r="T1580" s="5"/>
      <c r="V1580" s="5"/>
      <c r="AK1580" s="5"/>
      <c r="AM1580" s="5"/>
    </row>
    <row r="1581" spans="20:39" x14ac:dyDescent="0.15">
      <c r="T1581" s="5"/>
      <c r="V1581" s="5"/>
      <c r="AK1581" s="5"/>
      <c r="AM1581" s="5"/>
    </row>
    <row r="1582" spans="20:39" x14ac:dyDescent="0.15">
      <c r="T1582" s="5"/>
      <c r="V1582" s="5"/>
      <c r="AK1582" s="5"/>
      <c r="AM1582" s="5"/>
    </row>
    <row r="1583" spans="20:39" x14ac:dyDescent="0.15">
      <c r="T1583" s="5"/>
      <c r="V1583" s="5"/>
      <c r="AK1583" s="5"/>
      <c r="AM1583" s="5"/>
    </row>
    <row r="1584" spans="20:39" x14ac:dyDescent="0.15">
      <c r="T1584" s="5"/>
      <c r="V1584" s="5"/>
      <c r="AK1584" s="5"/>
      <c r="AM1584" s="5"/>
    </row>
    <row r="1585" spans="20:39" x14ac:dyDescent="0.15">
      <c r="T1585" s="5"/>
      <c r="V1585" s="5"/>
      <c r="AK1585" s="5"/>
      <c r="AM1585" s="5"/>
    </row>
    <row r="1586" spans="20:39" x14ac:dyDescent="0.15">
      <c r="T1586" s="5"/>
      <c r="V1586" s="5"/>
      <c r="AK1586" s="5"/>
      <c r="AM1586" s="5"/>
    </row>
    <row r="1587" spans="20:39" x14ac:dyDescent="0.15">
      <c r="T1587" s="5"/>
      <c r="V1587" s="5"/>
      <c r="AK1587" s="5"/>
      <c r="AM1587" s="5"/>
    </row>
    <row r="1588" spans="20:39" x14ac:dyDescent="0.15">
      <c r="T1588" s="5"/>
      <c r="V1588" s="5"/>
      <c r="AK1588" s="5"/>
      <c r="AM1588" s="5"/>
    </row>
    <row r="1589" spans="20:39" x14ac:dyDescent="0.15">
      <c r="T1589" s="5"/>
      <c r="V1589" s="5"/>
      <c r="AK1589" s="5"/>
      <c r="AM1589" s="5"/>
    </row>
    <row r="1590" spans="20:39" x14ac:dyDescent="0.15">
      <c r="T1590" s="5"/>
      <c r="V1590" s="5"/>
      <c r="AK1590" s="5"/>
      <c r="AM1590" s="5"/>
    </row>
    <row r="1591" spans="20:39" x14ac:dyDescent="0.15">
      <c r="T1591" s="5"/>
      <c r="V1591" s="5"/>
      <c r="AK1591" s="5"/>
      <c r="AM1591" s="5"/>
    </row>
    <row r="1592" spans="20:39" x14ac:dyDescent="0.15">
      <c r="T1592" s="5"/>
      <c r="V1592" s="5"/>
      <c r="AK1592" s="5"/>
      <c r="AM1592" s="5"/>
    </row>
    <row r="1593" spans="20:39" x14ac:dyDescent="0.15">
      <c r="T1593" s="5"/>
      <c r="V1593" s="5"/>
      <c r="AK1593" s="5"/>
      <c r="AM1593" s="5"/>
    </row>
    <row r="1594" spans="20:39" x14ac:dyDescent="0.15">
      <c r="T1594" s="5"/>
      <c r="V1594" s="5"/>
      <c r="AK1594" s="5"/>
      <c r="AM1594" s="5"/>
    </row>
    <row r="1595" spans="20:39" x14ac:dyDescent="0.15">
      <c r="T1595" s="5"/>
      <c r="V1595" s="5"/>
      <c r="AK1595" s="5"/>
      <c r="AM1595" s="5"/>
    </row>
    <row r="1596" spans="20:39" x14ac:dyDescent="0.15">
      <c r="T1596" s="5"/>
      <c r="V1596" s="5"/>
      <c r="AK1596" s="5"/>
      <c r="AM1596" s="5"/>
    </row>
    <row r="1597" spans="20:39" x14ac:dyDescent="0.15">
      <c r="T1597" s="5"/>
      <c r="V1597" s="5"/>
      <c r="AK1597" s="5"/>
      <c r="AM1597" s="5"/>
    </row>
    <row r="1598" spans="20:39" x14ac:dyDescent="0.15">
      <c r="T1598" s="5"/>
      <c r="V1598" s="5"/>
      <c r="AK1598" s="5"/>
      <c r="AM1598" s="5"/>
    </row>
    <row r="1599" spans="20:39" x14ac:dyDescent="0.15">
      <c r="T1599" s="5"/>
      <c r="V1599" s="5"/>
      <c r="AK1599" s="5"/>
      <c r="AM1599" s="5"/>
    </row>
    <row r="1600" spans="20:39" x14ac:dyDescent="0.15">
      <c r="T1600" s="5"/>
      <c r="V1600" s="5"/>
      <c r="AK1600" s="5"/>
      <c r="AM1600" s="5"/>
    </row>
    <row r="1601" spans="20:39" x14ac:dyDescent="0.15">
      <c r="T1601" s="5"/>
      <c r="V1601" s="5"/>
      <c r="AK1601" s="5"/>
      <c r="AM1601" s="5"/>
    </row>
    <row r="1602" spans="20:39" x14ac:dyDescent="0.15">
      <c r="T1602" s="5"/>
      <c r="V1602" s="5"/>
      <c r="AK1602" s="5"/>
      <c r="AM1602" s="5"/>
    </row>
    <row r="1603" spans="20:39" x14ac:dyDescent="0.15">
      <c r="T1603" s="5"/>
      <c r="V1603" s="5"/>
      <c r="AK1603" s="5"/>
      <c r="AM1603" s="5"/>
    </row>
    <row r="1604" spans="20:39" x14ac:dyDescent="0.15">
      <c r="T1604" s="5"/>
      <c r="V1604" s="5"/>
      <c r="AK1604" s="5"/>
      <c r="AM1604" s="5"/>
    </row>
    <row r="1605" spans="20:39" x14ac:dyDescent="0.15">
      <c r="T1605" s="5"/>
      <c r="V1605" s="5"/>
      <c r="AK1605" s="5"/>
      <c r="AM1605" s="5"/>
    </row>
    <row r="1606" spans="20:39" x14ac:dyDescent="0.15">
      <c r="T1606" s="5"/>
      <c r="V1606" s="5"/>
      <c r="AK1606" s="5"/>
      <c r="AM1606" s="5"/>
    </row>
    <row r="1607" spans="20:39" x14ac:dyDescent="0.15">
      <c r="T1607" s="5"/>
      <c r="V1607" s="5"/>
      <c r="AK1607" s="5"/>
      <c r="AM1607" s="5"/>
    </row>
    <row r="1608" spans="20:39" x14ac:dyDescent="0.15">
      <c r="T1608" s="5"/>
      <c r="V1608" s="5"/>
      <c r="AK1608" s="5"/>
      <c r="AM1608" s="5"/>
    </row>
    <row r="1609" spans="20:39" x14ac:dyDescent="0.15">
      <c r="T1609" s="5"/>
      <c r="V1609" s="5"/>
      <c r="AK1609" s="5"/>
      <c r="AM1609" s="5"/>
    </row>
    <row r="1610" spans="20:39" x14ac:dyDescent="0.15">
      <c r="T1610" s="5"/>
      <c r="V1610" s="5"/>
      <c r="AK1610" s="5"/>
      <c r="AM1610" s="5"/>
    </row>
    <row r="1611" spans="20:39" x14ac:dyDescent="0.15">
      <c r="T1611" s="5"/>
      <c r="V1611" s="5"/>
      <c r="AK1611" s="5"/>
      <c r="AM1611" s="5"/>
    </row>
    <row r="1612" spans="20:39" x14ac:dyDescent="0.15">
      <c r="T1612" s="5"/>
      <c r="V1612" s="5"/>
      <c r="AK1612" s="5"/>
      <c r="AM1612" s="5"/>
    </row>
    <row r="1613" spans="20:39" x14ac:dyDescent="0.15">
      <c r="T1613" s="5"/>
      <c r="V1613" s="5"/>
      <c r="AK1613" s="5"/>
      <c r="AM1613" s="5"/>
    </row>
    <row r="1614" spans="20:39" x14ac:dyDescent="0.15">
      <c r="T1614" s="5"/>
      <c r="V1614" s="5"/>
      <c r="AK1614" s="5"/>
      <c r="AM1614" s="5"/>
    </row>
    <row r="1615" spans="20:39" x14ac:dyDescent="0.15">
      <c r="T1615" s="5"/>
      <c r="V1615" s="5"/>
      <c r="AK1615" s="5"/>
      <c r="AM1615" s="5"/>
    </row>
    <row r="1616" spans="20:39" x14ac:dyDescent="0.15">
      <c r="T1616" s="5"/>
      <c r="V1616" s="5"/>
      <c r="AK1616" s="5"/>
      <c r="AM1616" s="5"/>
    </row>
    <row r="1617" spans="20:39" x14ac:dyDescent="0.15">
      <c r="T1617" s="5"/>
      <c r="V1617" s="5"/>
      <c r="AK1617" s="5"/>
      <c r="AM1617" s="5"/>
    </row>
    <row r="1618" spans="20:39" x14ac:dyDescent="0.15">
      <c r="T1618" s="5"/>
      <c r="V1618" s="5"/>
      <c r="AK1618" s="5"/>
      <c r="AM1618" s="5"/>
    </row>
    <row r="1619" spans="20:39" x14ac:dyDescent="0.15">
      <c r="T1619" s="5"/>
      <c r="V1619" s="5"/>
      <c r="AK1619" s="5"/>
      <c r="AM1619" s="5"/>
    </row>
    <row r="1620" spans="20:39" x14ac:dyDescent="0.15">
      <c r="T1620" s="5"/>
      <c r="V1620" s="5"/>
      <c r="AK1620" s="5"/>
      <c r="AM1620" s="5"/>
    </row>
    <row r="1621" spans="20:39" x14ac:dyDescent="0.15">
      <c r="T1621" s="5"/>
      <c r="V1621" s="5"/>
      <c r="AK1621" s="5"/>
      <c r="AM1621" s="5"/>
    </row>
    <row r="1622" spans="20:39" x14ac:dyDescent="0.15">
      <c r="T1622" s="5"/>
      <c r="V1622" s="5"/>
      <c r="AK1622" s="5"/>
      <c r="AM1622" s="5"/>
    </row>
    <row r="1623" spans="20:39" x14ac:dyDescent="0.15">
      <c r="T1623" s="5"/>
      <c r="V1623" s="5"/>
      <c r="AK1623" s="5"/>
      <c r="AM1623" s="5"/>
    </row>
    <row r="1624" spans="20:39" x14ac:dyDescent="0.15">
      <c r="T1624" s="5"/>
      <c r="V1624" s="5"/>
      <c r="AK1624" s="5"/>
      <c r="AM1624" s="5"/>
    </row>
    <row r="1625" spans="20:39" x14ac:dyDescent="0.15">
      <c r="T1625" s="5"/>
      <c r="V1625" s="5"/>
      <c r="AK1625" s="5"/>
      <c r="AM1625" s="5"/>
    </row>
    <row r="1626" spans="20:39" x14ac:dyDescent="0.15">
      <c r="T1626" s="5"/>
      <c r="V1626" s="5"/>
      <c r="AK1626" s="5"/>
      <c r="AM1626" s="5"/>
    </row>
    <row r="1627" spans="20:39" x14ac:dyDescent="0.15">
      <c r="T1627" s="5"/>
      <c r="V1627" s="5"/>
      <c r="AK1627" s="5"/>
      <c r="AM1627" s="5"/>
    </row>
    <row r="1628" spans="20:39" x14ac:dyDescent="0.15">
      <c r="T1628" s="5"/>
      <c r="V1628" s="5"/>
      <c r="AK1628" s="5"/>
      <c r="AM1628" s="5"/>
    </row>
    <row r="1629" spans="20:39" x14ac:dyDescent="0.15">
      <c r="T1629" s="5"/>
      <c r="V1629" s="5"/>
      <c r="AK1629" s="5"/>
      <c r="AM1629" s="5"/>
    </row>
    <row r="1630" spans="20:39" x14ac:dyDescent="0.15">
      <c r="T1630" s="5"/>
      <c r="V1630" s="5"/>
      <c r="AK1630" s="5"/>
      <c r="AM1630" s="5"/>
    </row>
    <row r="1631" spans="20:39" x14ac:dyDescent="0.15">
      <c r="T1631" s="5"/>
      <c r="V1631" s="5"/>
      <c r="AK1631" s="5"/>
      <c r="AM1631" s="5"/>
    </row>
    <row r="1632" spans="20:39" x14ac:dyDescent="0.15">
      <c r="T1632" s="5"/>
      <c r="V1632" s="5"/>
      <c r="AK1632" s="5"/>
      <c r="AM1632" s="5"/>
    </row>
    <row r="1633" spans="20:39" x14ac:dyDescent="0.15">
      <c r="T1633" s="5"/>
      <c r="V1633" s="5"/>
      <c r="AK1633" s="5"/>
      <c r="AM1633" s="5"/>
    </row>
    <row r="1634" spans="20:39" x14ac:dyDescent="0.15">
      <c r="T1634" s="5"/>
      <c r="V1634" s="5"/>
      <c r="AK1634" s="5"/>
      <c r="AM1634" s="5"/>
    </row>
    <row r="1635" spans="20:39" x14ac:dyDescent="0.15">
      <c r="T1635" s="5"/>
      <c r="V1635" s="5"/>
      <c r="AK1635" s="5"/>
      <c r="AM1635" s="5"/>
    </row>
    <row r="1636" spans="20:39" x14ac:dyDescent="0.15">
      <c r="T1636" s="5"/>
      <c r="V1636" s="5"/>
      <c r="AK1636" s="5"/>
      <c r="AM1636" s="5"/>
    </row>
    <row r="1637" spans="20:39" x14ac:dyDescent="0.15">
      <c r="T1637" s="5"/>
      <c r="V1637" s="5"/>
      <c r="AK1637" s="5"/>
      <c r="AM1637" s="5"/>
    </row>
    <row r="1638" spans="20:39" x14ac:dyDescent="0.15">
      <c r="T1638" s="5"/>
      <c r="V1638" s="5"/>
      <c r="AK1638" s="5"/>
      <c r="AM1638" s="5"/>
    </row>
    <row r="1639" spans="20:39" x14ac:dyDescent="0.15">
      <c r="T1639" s="5"/>
      <c r="V1639" s="5"/>
      <c r="AK1639" s="5"/>
      <c r="AM1639" s="5"/>
    </row>
    <row r="1640" spans="20:39" x14ac:dyDescent="0.15">
      <c r="T1640" s="5"/>
      <c r="V1640" s="5"/>
      <c r="AK1640" s="5"/>
      <c r="AM1640" s="5"/>
    </row>
    <row r="1641" spans="20:39" x14ac:dyDescent="0.15">
      <c r="T1641" s="5"/>
      <c r="V1641" s="5"/>
      <c r="AK1641" s="5"/>
      <c r="AM1641" s="5"/>
    </row>
    <row r="1642" spans="20:39" x14ac:dyDescent="0.15">
      <c r="T1642" s="5"/>
      <c r="V1642" s="5"/>
      <c r="AK1642" s="5"/>
      <c r="AM1642" s="5"/>
    </row>
    <row r="1643" spans="20:39" x14ac:dyDescent="0.15">
      <c r="T1643" s="5"/>
      <c r="V1643" s="5"/>
      <c r="AK1643" s="5"/>
      <c r="AM1643" s="5"/>
    </row>
    <row r="1644" spans="20:39" x14ac:dyDescent="0.15">
      <c r="T1644" s="5"/>
      <c r="V1644" s="5"/>
      <c r="AK1644" s="5"/>
      <c r="AM1644" s="5"/>
    </row>
    <row r="1645" spans="20:39" x14ac:dyDescent="0.15">
      <c r="T1645" s="5"/>
      <c r="V1645" s="5"/>
      <c r="AK1645" s="5"/>
      <c r="AM1645" s="5"/>
    </row>
    <row r="1646" spans="20:39" x14ac:dyDescent="0.15">
      <c r="T1646" s="5"/>
      <c r="V1646" s="5"/>
      <c r="AK1646" s="5"/>
      <c r="AM1646" s="5"/>
    </row>
    <row r="1647" spans="20:39" x14ac:dyDescent="0.15">
      <c r="T1647" s="5"/>
      <c r="V1647" s="5"/>
      <c r="AK1647" s="5"/>
      <c r="AM1647" s="5"/>
    </row>
    <row r="1648" spans="20:39" x14ac:dyDescent="0.15">
      <c r="T1648" s="5"/>
      <c r="V1648" s="5"/>
      <c r="AK1648" s="5"/>
      <c r="AM1648" s="5"/>
    </row>
    <row r="1649" spans="20:39" x14ac:dyDescent="0.15">
      <c r="T1649" s="5"/>
      <c r="V1649" s="5"/>
      <c r="AK1649" s="5"/>
      <c r="AM1649" s="5"/>
    </row>
    <row r="1650" spans="20:39" x14ac:dyDescent="0.15">
      <c r="T1650" s="5"/>
      <c r="V1650" s="5"/>
      <c r="AK1650" s="5"/>
      <c r="AM1650" s="5"/>
    </row>
    <row r="1651" spans="20:39" x14ac:dyDescent="0.15">
      <c r="T1651" s="5"/>
      <c r="V1651" s="5"/>
      <c r="AK1651" s="5"/>
      <c r="AM1651" s="5"/>
    </row>
    <row r="1652" spans="20:39" x14ac:dyDescent="0.15">
      <c r="T1652" s="5"/>
      <c r="V1652" s="5"/>
      <c r="AK1652" s="5"/>
      <c r="AM1652" s="5"/>
    </row>
    <row r="1653" spans="20:39" x14ac:dyDescent="0.15">
      <c r="T1653" s="5"/>
      <c r="V1653" s="5"/>
      <c r="AK1653" s="5"/>
      <c r="AM1653" s="5"/>
    </row>
    <row r="1654" spans="20:39" x14ac:dyDescent="0.15">
      <c r="T1654" s="5"/>
      <c r="V1654" s="5"/>
      <c r="AK1654" s="5"/>
      <c r="AM1654" s="5"/>
    </row>
    <row r="1655" spans="20:39" x14ac:dyDescent="0.15">
      <c r="T1655" s="5"/>
      <c r="V1655" s="5"/>
      <c r="AK1655" s="5"/>
      <c r="AM1655" s="5"/>
    </row>
    <row r="1656" spans="20:39" x14ac:dyDescent="0.15">
      <c r="T1656" s="5"/>
      <c r="V1656" s="5"/>
      <c r="AK1656" s="5"/>
      <c r="AM1656" s="5"/>
    </row>
    <row r="1657" spans="20:39" x14ac:dyDescent="0.15">
      <c r="T1657" s="5"/>
      <c r="V1657" s="5"/>
      <c r="AK1657" s="5"/>
      <c r="AM1657" s="5"/>
    </row>
    <row r="1658" spans="20:39" x14ac:dyDescent="0.15">
      <c r="T1658" s="5"/>
      <c r="V1658" s="5"/>
      <c r="AK1658" s="5"/>
      <c r="AM1658" s="5"/>
    </row>
    <row r="1659" spans="20:39" x14ac:dyDescent="0.15">
      <c r="T1659" s="5"/>
      <c r="V1659" s="5"/>
      <c r="AK1659" s="5"/>
      <c r="AM1659" s="5"/>
    </row>
    <row r="1660" spans="20:39" x14ac:dyDescent="0.15">
      <c r="T1660" s="5"/>
      <c r="V1660" s="5"/>
      <c r="AK1660" s="5"/>
      <c r="AM1660" s="5"/>
    </row>
    <row r="1661" spans="20:39" x14ac:dyDescent="0.15">
      <c r="T1661" s="5"/>
      <c r="V1661" s="5"/>
      <c r="AK1661" s="5"/>
      <c r="AM1661" s="5"/>
    </row>
    <row r="1662" spans="20:39" x14ac:dyDescent="0.15">
      <c r="T1662" s="5"/>
      <c r="V1662" s="5"/>
      <c r="AK1662" s="5"/>
      <c r="AM1662" s="5"/>
    </row>
    <row r="1663" spans="20:39" x14ac:dyDescent="0.15">
      <c r="T1663" s="5"/>
      <c r="V1663" s="5"/>
      <c r="AK1663" s="5"/>
      <c r="AM1663" s="5"/>
    </row>
    <row r="1664" spans="20:39" x14ac:dyDescent="0.15">
      <c r="T1664" s="5"/>
      <c r="V1664" s="5"/>
      <c r="AK1664" s="5"/>
      <c r="AM1664" s="5"/>
    </row>
    <row r="1665" spans="20:39" x14ac:dyDescent="0.15">
      <c r="T1665" s="5"/>
      <c r="V1665" s="5"/>
      <c r="AK1665" s="5"/>
      <c r="AM1665" s="5"/>
    </row>
    <row r="1666" spans="20:39" x14ac:dyDescent="0.15">
      <c r="T1666" s="5"/>
      <c r="V1666" s="5"/>
      <c r="AK1666" s="5"/>
      <c r="AM1666" s="5"/>
    </row>
    <row r="1667" spans="20:39" x14ac:dyDescent="0.15">
      <c r="T1667" s="5"/>
      <c r="V1667" s="5"/>
      <c r="AK1667" s="5"/>
      <c r="AM1667" s="5"/>
    </row>
    <row r="1668" spans="20:39" x14ac:dyDescent="0.15">
      <c r="T1668" s="5"/>
      <c r="V1668" s="5"/>
      <c r="AK1668" s="5"/>
      <c r="AM1668" s="5"/>
    </row>
    <row r="1669" spans="20:39" x14ac:dyDescent="0.15">
      <c r="T1669" s="5"/>
      <c r="V1669" s="5"/>
      <c r="AK1669" s="5"/>
      <c r="AM1669" s="5"/>
    </row>
    <row r="1670" spans="20:39" x14ac:dyDescent="0.15">
      <c r="T1670" s="5"/>
      <c r="V1670" s="5"/>
      <c r="AK1670" s="5"/>
      <c r="AM1670" s="5"/>
    </row>
    <row r="1671" spans="20:39" x14ac:dyDescent="0.15">
      <c r="T1671" s="5"/>
      <c r="V1671" s="5"/>
      <c r="AK1671" s="5"/>
      <c r="AM1671" s="5"/>
    </row>
    <row r="1672" spans="20:39" x14ac:dyDescent="0.15">
      <c r="T1672" s="5"/>
      <c r="V1672" s="5"/>
      <c r="AK1672" s="5"/>
      <c r="AM1672" s="5"/>
    </row>
    <row r="1673" spans="20:39" x14ac:dyDescent="0.15">
      <c r="T1673" s="5"/>
      <c r="V1673" s="5"/>
      <c r="AK1673" s="5"/>
      <c r="AM1673" s="5"/>
    </row>
    <row r="1674" spans="20:39" x14ac:dyDescent="0.15">
      <c r="T1674" s="5"/>
      <c r="V1674" s="5"/>
      <c r="AK1674" s="5"/>
      <c r="AM1674" s="5"/>
    </row>
    <row r="1675" spans="20:39" x14ac:dyDescent="0.15">
      <c r="T1675" s="5"/>
      <c r="V1675" s="5"/>
      <c r="AK1675" s="5"/>
      <c r="AM1675" s="5"/>
    </row>
    <row r="1676" spans="20:39" x14ac:dyDescent="0.15">
      <c r="T1676" s="5"/>
      <c r="V1676" s="5"/>
      <c r="AK1676" s="5"/>
      <c r="AM1676" s="5"/>
    </row>
    <row r="1677" spans="20:39" x14ac:dyDescent="0.15">
      <c r="T1677" s="5"/>
      <c r="V1677" s="5"/>
      <c r="AK1677" s="5"/>
      <c r="AM1677" s="5"/>
    </row>
    <row r="1678" spans="20:39" x14ac:dyDescent="0.15">
      <c r="T1678" s="5"/>
      <c r="V1678" s="5"/>
      <c r="AK1678" s="5"/>
      <c r="AM1678" s="5"/>
    </row>
    <row r="1679" spans="20:39" x14ac:dyDescent="0.15">
      <c r="T1679" s="5"/>
      <c r="V1679" s="5"/>
      <c r="AK1679" s="5"/>
      <c r="AM1679" s="5"/>
    </row>
    <row r="1680" spans="20:39" x14ac:dyDescent="0.15">
      <c r="T1680" s="5"/>
      <c r="V1680" s="5"/>
      <c r="AK1680" s="5"/>
      <c r="AM1680" s="5"/>
    </row>
    <row r="1681" spans="20:39" x14ac:dyDescent="0.15">
      <c r="T1681" s="5"/>
      <c r="V1681" s="5"/>
      <c r="AK1681" s="5"/>
      <c r="AM1681" s="5"/>
    </row>
    <row r="1682" spans="20:39" x14ac:dyDescent="0.15">
      <c r="T1682" s="5"/>
      <c r="V1682" s="5"/>
      <c r="AK1682" s="5"/>
      <c r="AM1682" s="5"/>
    </row>
    <row r="1683" spans="20:39" x14ac:dyDescent="0.15">
      <c r="T1683" s="5"/>
      <c r="V1683" s="5"/>
      <c r="AK1683" s="5"/>
      <c r="AM1683" s="5"/>
    </row>
    <row r="1684" spans="20:39" x14ac:dyDescent="0.15">
      <c r="T1684" s="5"/>
      <c r="V1684" s="5"/>
      <c r="AK1684" s="5"/>
      <c r="AM1684" s="5"/>
    </row>
    <row r="1685" spans="20:39" x14ac:dyDescent="0.15">
      <c r="T1685" s="5"/>
      <c r="V1685" s="5"/>
      <c r="AK1685" s="5"/>
      <c r="AM1685" s="5"/>
    </row>
    <row r="1686" spans="20:39" x14ac:dyDescent="0.15">
      <c r="T1686" s="5"/>
      <c r="V1686" s="5"/>
      <c r="AK1686" s="5"/>
      <c r="AM1686" s="5"/>
    </row>
    <row r="1687" spans="20:39" x14ac:dyDescent="0.15">
      <c r="T1687" s="5"/>
      <c r="V1687" s="5"/>
      <c r="AK1687" s="5"/>
      <c r="AM1687" s="5"/>
    </row>
    <row r="1688" spans="20:39" x14ac:dyDescent="0.15">
      <c r="T1688" s="5"/>
      <c r="V1688" s="5"/>
      <c r="AK1688" s="5"/>
      <c r="AM1688" s="5"/>
    </row>
    <row r="1689" spans="20:39" x14ac:dyDescent="0.15">
      <c r="T1689" s="5"/>
      <c r="V1689" s="5"/>
      <c r="AK1689" s="5"/>
      <c r="AM1689" s="5"/>
    </row>
    <row r="1690" spans="20:39" x14ac:dyDescent="0.15">
      <c r="T1690" s="5"/>
      <c r="V1690" s="5"/>
      <c r="AK1690" s="5"/>
      <c r="AM1690" s="5"/>
    </row>
    <row r="1691" spans="20:39" x14ac:dyDescent="0.15">
      <c r="T1691" s="5"/>
      <c r="V1691" s="5"/>
      <c r="AK1691" s="5"/>
      <c r="AM1691" s="5"/>
    </row>
    <row r="1692" spans="20:39" x14ac:dyDescent="0.15">
      <c r="T1692" s="5"/>
      <c r="V1692" s="5"/>
      <c r="AK1692" s="5"/>
      <c r="AM1692" s="5"/>
    </row>
    <row r="1693" spans="20:39" x14ac:dyDescent="0.15">
      <c r="T1693" s="5"/>
      <c r="V1693" s="5"/>
      <c r="AK1693" s="5"/>
      <c r="AM1693" s="5"/>
    </row>
    <row r="1694" spans="20:39" x14ac:dyDescent="0.15">
      <c r="T1694" s="5"/>
      <c r="V1694" s="5"/>
      <c r="AK1694" s="5"/>
      <c r="AM1694" s="5"/>
    </row>
    <row r="1695" spans="20:39" x14ac:dyDescent="0.15">
      <c r="T1695" s="5"/>
      <c r="V1695" s="5"/>
      <c r="AK1695" s="5"/>
      <c r="AM1695" s="5"/>
    </row>
    <row r="1696" spans="20:39" x14ac:dyDescent="0.15">
      <c r="T1696" s="5"/>
      <c r="V1696" s="5"/>
      <c r="AK1696" s="5"/>
      <c r="AM1696" s="5"/>
    </row>
    <row r="1697" spans="20:39" x14ac:dyDescent="0.15">
      <c r="T1697" s="5"/>
      <c r="V1697" s="5"/>
      <c r="AK1697" s="5"/>
      <c r="AM1697" s="5"/>
    </row>
    <row r="1698" spans="20:39" x14ac:dyDescent="0.15">
      <c r="T1698" s="5"/>
      <c r="V1698" s="5"/>
      <c r="AK1698" s="5"/>
      <c r="AM1698" s="5"/>
    </row>
    <row r="1699" spans="20:39" x14ac:dyDescent="0.15">
      <c r="T1699" s="5"/>
      <c r="V1699" s="5"/>
      <c r="AK1699" s="5"/>
      <c r="AM1699" s="5"/>
    </row>
    <row r="1700" spans="20:39" x14ac:dyDescent="0.15">
      <c r="T1700" s="5"/>
      <c r="V1700" s="5"/>
      <c r="AK1700" s="5"/>
      <c r="AM1700" s="5"/>
    </row>
    <row r="1701" spans="20:39" x14ac:dyDescent="0.15">
      <c r="T1701" s="5"/>
      <c r="V1701" s="5"/>
      <c r="AK1701" s="5"/>
      <c r="AM1701" s="5"/>
    </row>
    <row r="1702" spans="20:39" x14ac:dyDescent="0.15">
      <c r="T1702" s="5"/>
      <c r="V1702" s="5"/>
      <c r="AK1702" s="5"/>
      <c r="AM1702" s="5"/>
    </row>
    <row r="1703" spans="20:39" x14ac:dyDescent="0.15">
      <c r="T1703" s="5"/>
      <c r="V1703" s="5"/>
      <c r="AK1703" s="5"/>
      <c r="AM1703" s="5"/>
    </row>
    <row r="1704" spans="20:39" x14ac:dyDescent="0.15">
      <c r="T1704" s="5"/>
      <c r="V1704" s="5"/>
      <c r="AK1704" s="5"/>
      <c r="AM1704" s="5"/>
    </row>
    <row r="1705" spans="20:39" x14ac:dyDescent="0.15">
      <c r="T1705" s="5"/>
      <c r="V1705" s="5"/>
      <c r="AK1705" s="5"/>
      <c r="AM1705" s="5"/>
    </row>
    <row r="1706" spans="20:39" x14ac:dyDescent="0.15">
      <c r="T1706" s="5"/>
      <c r="V1706" s="5"/>
      <c r="AK1706" s="5"/>
      <c r="AM1706" s="5"/>
    </row>
    <row r="1707" spans="20:39" x14ac:dyDescent="0.15">
      <c r="T1707" s="5"/>
      <c r="V1707" s="5"/>
      <c r="AK1707" s="5"/>
      <c r="AM1707" s="5"/>
    </row>
    <row r="1708" spans="20:39" x14ac:dyDescent="0.15">
      <c r="T1708" s="5"/>
      <c r="V1708" s="5"/>
      <c r="AK1708" s="5"/>
      <c r="AM1708" s="5"/>
    </row>
    <row r="1709" spans="20:39" x14ac:dyDescent="0.15">
      <c r="T1709" s="5"/>
      <c r="V1709" s="5"/>
      <c r="AK1709" s="5"/>
      <c r="AM1709" s="5"/>
    </row>
    <row r="1710" spans="20:39" x14ac:dyDescent="0.15">
      <c r="T1710" s="5"/>
      <c r="V1710" s="5"/>
      <c r="AK1710" s="5"/>
      <c r="AM1710" s="5"/>
    </row>
    <row r="1711" spans="20:39" x14ac:dyDescent="0.15">
      <c r="T1711" s="5"/>
      <c r="V1711" s="5"/>
      <c r="AK1711" s="5"/>
      <c r="AM1711" s="5"/>
    </row>
    <row r="1712" spans="20:39" x14ac:dyDescent="0.15">
      <c r="T1712" s="5"/>
      <c r="V1712" s="5"/>
      <c r="AK1712" s="5"/>
      <c r="AM1712" s="5"/>
    </row>
    <row r="1713" spans="20:39" x14ac:dyDescent="0.15">
      <c r="T1713" s="5"/>
      <c r="V1713" s="5"/>
      <c r="AK1713" s="5"/>
      <c r="AM1713" s="5"/>
    </row>
    <row r="1714" spans="20:39" x14ac:dyDescent="0.15">
      <c r="T1714" s="5"/>
      <c r="V1714" s="5"/>
      <c r="AK1714" s="5"/>
      <c r="AM1714" s="5"/>
    </row>
    <row r="1715" spans="20:39" x14ac:dyDescent="0.15">
      <c r="T1715" s="5"/>
      <c r="V1715" s="5"/>
      <c r="AK1715" s="5"/>
      <c r="AM1715" s="5"/>
    </row>
    <row r="1716" spans="20:39" x14ac:dyDescent="0.15">
      <c r="T1716" s="5"/>
      <c r="V1716" s="5"/>
      <c r="AK1716" s="5"/>
      <c r="AM1716" s="5"/>
    </row>
    <row r="1717" spans="20:39" x14ac:dyDescent="0.15">
      <c r="T1717" s="5"/>
      <c r="V1717" s="5"/>
      <c r="AK1717" s="5"/>
      <c r="AM1717" s="5"/>
    </row>
    <row r="1718" spans="20:39" x14ac:dyDescent="0.15">
      <c r="T1718" s="5"/>
      <c r="V1718" s="5"/>
      <c r="AK1718" s="5"/>
      <c r="AM1718" s="5"/>
    </row>
    <row r="1719" spans="20:39" x14ac:dyDescent="0.15">
      <c r="T1719" s="5"/>
      <c r="V1719" s="5"/>
      <c r="AK1719" s="5"/>
      <c r="AM1719" s="5"/>
    </row>
    <row r="1720" spans="20:39" x14ac:dyDescent="0.15">
      <c r="T1720" s="5"/>
      <c r="V1720" s="5"/>
      <c r="AK1720" s="5"/>
      <c r="AM1720" s="5"/>
    </row>
    <row r="1721" spans="20:39" x14ac:dyDescent="0.15">
      <c r="T1721" s="5"/>
      <c r="V1721" s="5"/>
      <c r="AK1721" s="5"/>
      <c r="AM1721" s="5"/>
    </row>
    <row r="1722" spans="20:39" x14ac:dyDescent="0.15">
      <c r="T1722" s="5"/>
      <c r="V1722" s="5"/>
      <c r="AK1722" s="5"/>
      <c r="AM1722" s="5"/>
    </row>
    <row r="1723" spans="20:39" x14ac:dyDescent="0.15">
      <c r="T1723" s="5"/>
      <c r="V1723" s="5"/>
      <c r="AK1723" s="5"/>
      <c r="AM1723" s="5"/>
    </row>
    <row r="1724" spans="20:39" x14ac:dyDescent="0.15">
      <c r="T1724" s="5"/>
      <c r="V1724" s="5"/>
      <c r="AK1724" s="5"/>
      <c r="AM1724" s="5"/>
    </row>
    <row r="1725" spans="20:39" x14ac:dyDescent="0.15">
      <c r="T1725" s="5"/>
      <c r="V1725" s="5"/>
      <c r="AK1725" s="5"/>
      <c r="AM1725" s="5"/>
    </row>
    <row r="1726" spans="20:39" x14ac:dyDescent="0.15">
      <c r="T1726" s="5"/>
      <c r="V1726" s="5"/>
      <c r="AK1726" s="5"/>
      <c r="AM1726" s="5"/>
    </row>
    <row r="1727" spans="20:39" x14ac:dyDescent="0.15">
      <c r="T1727" s="5"/>
      <c r="V1727" s="5"/>
      <c r="AK1727" s="5"/>
      <c r="AM1727" s="5"/>
    </row>
    <row r="1728" spans="20:39" x14ac:dyDescent="0.15">
      <c r="T1728" s="5"/>
      <c r="V1728" s="5"/>
      <c r="AK1728" s="5"/>
      <c r="AM1728" s="5"/>
    </row>
    <row r="1729" spans="20:39" x14ac:dyDescent="0.15">
      <c r="T1729" s="5"/>
      <c r="V1729" s="5"/>
      <c r="AK1729" s="5"/>
      <c r="AM1729" s="5"/>
    </row>
    <row r="1730" spans="20:39" x14ac:dyDescent="0.15">
      <c r="T1730" s="5"/>
      <c r="V1730" s="5"/>
      <c r="AK1730" s="5"/>
      <c r="AM1730" s="5"/>
    </row>
    <row r="1731" spans="20:39" x14ac:dyDescent="0.15">
      <c r="T1731" s="5"/>
      <c r="V1731" s="5"/>
      <c r="AK1731" s="5"/>
      <c r="AM1731" s="5"/>
    </row>
    <row r="1732" spans="20:39" x14ac:dyDescent="0.15">
      <c r="T1732" s="5"/>
      <c r="V1732" s="5"/>
      <c r="AK1732" s="5"/>
      <c r="AM1732" s="5"/>
    </row>
    <row r="1733" spans="20:39" x14ac:dyDescent="0.15">
      <c r="T1733" s="5"/>
      <c r="V1733" s="5"/>
      <c r="AK1733" s="5"/>
      <c r="AM1733" s="5"/>
    </row>
    <row r="1734" spans="20:39" x14ac:dyDescent="0.15">
      <c r="T1734" s="5"/>
      <c r="V1734" s="5"/>
      <c r="AK1734" s="5"/>
      <c r="AM1734" s="5"/>
    </row>
    <row r="1735" spans="20:39" x14ac:dyDescent="0.15">
      <c r="T1735" s="5"/>
      <c r="V1735" s="5"/>
      <c r="AK1735" s="5"/>
      <c r="AM1735" s="5"/>
    </row>
    <row r="1736" spans="20:39" x14ac:dyDescent="0.15">
      <c r="T1736" s="5"/>
      <c r="V1736" s="5"/>
      <c r="AK1736" s="5"/>
      <c r="AM1736" s="5"/>
    </row>
    <row r="1737" spans="20:39" x14ac:dyDescent="0.15">
      <c r="T1737" s="5"/>
      <c r="V1737" s="5"/>
      <c r="AK1737" s="5"/>
      <c r="AM1737" s="5"/>
    </row>
    <row r="1738" spans="20:39" x14ac:dyDescent="0.15">
      <c r="T1738" s="5"/>
      <c r="V1738" s="5"/>
      <c r="AK1738" s="5"/>
      <c r="AM1738" s="5"/>
    </row>
    <row r="1739" spans="20:39" x14ac:dyDescent="0.15">
      <c r="T1739" s="5"/>
      <c r="V1739" s="5"/>
      <c r="AK1739" s="5"/>
      <c r="AM1739" s="5"/>
    </row>
    <row r="1740" spans="20:39" x14ac:dyDescent="0.15">
      <c r="T1740" s="5"/>
      <c r="V1740" s="5"/>
      <c r="AK1740" s="5"/>
      <c r="AM1740" s="5"/>
    </row>
    <row r="1741" spans="20:39" x14ac:dyDescent="0.15">
      <c r="T1741" s="5"/>
      <c r="V1741" s="5"/>
      <c r="AK1741" s="5"/>
      <c r="AM1741" s="5"/>
    </row>
    <row r="1742" spans="20:39" x14ac:dyDescent="0.15">
      <c r="T1742" s="5"/>
      <c r="V1742" s="5"/>
      <c r="AK1742" s="5"/>
      <c r="AM1742" s="5"/>
    </row>
    <row r="1743" spans="20:39" x14ac:dyDescent="0.15">
      <c r="T1743" s="5"/>
      <c r="V1743" s="5"/>
      <c r="AK1743" s="5"/>
      <c r="AM1743" s="5"/>
    </row>
    <row r="1744" spans="20:39" x14ac:dyDescent="0.15">
      <c r="T1744" s="5"/>
      <c r="V1744" s="5"/>
      <c r="AK1744" s="5"/>
      <c r="AM1744" s="5"/>
    </row>
    <row r="1745" spans="20:39" x14ac:dyDescent="0.15">
      <c r="T1745" s="5"/>
      <c r="V1745" s="5"/>
      <c r="AK1745" s="5"/>
      <c r="AM1745" s="5"/>
    </row>
    <row r="1746" spans="20:39" x14ac:dyDescent="0.15">
      <c r="T1746" s="5"/>
      <c r="V1746" s="5"/>
      <c r="AK1746" s="5"/>
      <c r="AM1746" s="5"/>
    </row>
    <row r="1747" spans="20:39" x14ac:dyDescent="0.15">
      <c r="T1747" s="5"/>
      <c r="V1747" s="5"/>
      <c r="AK1747" s="5"/>
      <c r="AM1747" s="5"/>
    </row>
    <row r="1748" spans="20:39" x14ac:dyDescent="0.15">
      <c r="T1748" s="5"/>
      <c r="V1748" s="5"/>
      <c r="AK1748" s="5"/>
      <c r="AM1748" s="5"/>
    </row>
    <row r="1749" spans="20:39" x14ac:dyDescent="0.15">
      <c r="T1749" s="5"/>
      <c r="V1749" s="5"/>
      <c r="AK1749" s="5"/>
      <c r="AM1749" s="5"/>
    </row>
    <row r="1750" spans="20:39" x14ac:dyDescent="0.15">
      <c r="T1750" s="5"/>
      <c r="V1750" s="5"/>
      <c r="AK1750" s="5"/>
      <c r="AM1750" s="5"/>
    </row>
    <row r="1751" spans="20:39" x14ac:dyDescent="0.15">
      <c r="T1751" s="5"/>
      <c r="V1751" s="5"/>
      <c r="AK1751" s="5"/>
      <c r="AM1751" s="5"/>
    </row>
    <row r="1752" spans="20:39" x14ac:dyDescent="0.15">
      <c r="T1752" s="5"/>
      <c r="V1752" s="5"/>
      <c r="AK1752" s="5"/>
      <c r="AM1752" s="5"/>
    </row>
    <row r="1753" spans="20:39" x14ac:dyDescent="0.15">
      <c r="T1753" s="5"/>
      <c r="V1753" s="5"/>
      <c r="AK1753" s="5"/>
      <c r="AM1753" s="5"/>
    </row>
    <row r="1754" spans="20:39" x14ac:dyDescent="0.15">
      <c r="T1754" s="5"/>
      <c r="V1754" s="5"/>
      <c r="AK1754" s="5"/>
      <c r="AM1754" s="5"/>
    </row>
    <row r="1755" spans="20:39" x14ac:dyDescent="0.15">
      <c r="T1755" s="5"/>
      <c r="V1755" s="5"/>
      <c r="AK1755" s="5"/>
      <c r="AM1755" s="5"/>
    </row>
    <row r="1756" spans="20:39" x14ac:dyDescent="0.15">
      <c r="T1756" s="5"/>
      <c r="V1756" s="5"/>
      <c r="AK1756" s="5"/>
      <c r="AM1756" s="5"/>
    </row>
    <row r="1757" spans="20:39" x14ac:dyDescent="0.15">
      <c r="T1757" s="5"/>
      <c r="V1757" s="5"/>
      <c r="AK1757" s="5"/>
      <c r="AM1757" s="5"/>
    </row>
    <row r="1758" spans="20:39" x14ac:dyDescent="0.15">
      <c r="T1758" s="5"/>
      <c r="V1758" s="5"/>
      <c r="AK1758" s="5"/>
      <c r="AM1758" s="5"/>
    </row>
    <row r="1759" spans="20:39" x14ac:dyDescent="0.15">
      <c r="T1759" s="5"/>
      <c r="V1759" s="5"/>
      <c r="AK1759" s="5"/>
      <c r="AM1759" s="5"/>
    </row>
    <row r="1760" spans="20:39" x14ac:dyDescent="0.15">
      <c r="T1760" s="5"/>
      <c r="V1760" s="5"/>
      <c r="AK1760" s="5"/>
      <c r="AM1760" s="5"/>
    </row>
    <row r="1761" spans="20:39" x14ac:dyDescent="0.15">
      <c r="T1761" s="5"/>
      <c r="V1761" s="5"/>
      <c r="AK1761" s="5"/>
      <c r="AM1761" s="5"/>
    </row>
    <row r="1762" spans="20:39" x14ac:dyDescent="0.15">
      <c r="T1762" s="5"/>
      <c r="V1762" s="5"/>
      <c r="AK1762" s="5"/>
      <c r="AM1762" s="5"/>
    </row>
    <row r="1763" spans="20:39" x14ac:dyDescent="0.15">
      <c r="T1763" s="5"/>
      <c r="V1763" s="5"/>
      <c r="AK1763" s="5"/>
      <c r="AM1763" s="5"/>
    </row>
    <row r="1764" spans="20:39" x14ac:dyDescent="0.15">
      <c r="T1764" s="5"/>
      <c r="V1764" s="5"/>
      <c r="AK1764" s="5"/>
      <c r="AM1764" s="5"/>
    </row>
    <row r="1765" spans="20:39" x14ac:dyDescent="0.15">
      <c r="T1765" s="5"/>
      <c r="V1765" s="5"/>
      <c r="AK1765" s="5"/>
      <c r="AM1765" s="5"/>
    </row>
    <row r="1766" spans="20:39" x14ac:dyDescent="0.15">
      <c r="T1766" s="5"/>
      <c r="V1766" s="5"/>
      <c r="AK1766" s="5"/>
      <c r="AM1766" s="5"/>
    </row>
    <row r="1767" spans="20:39" x14ac:dyDescent="0.15">
      <c r="T1767" s="5"/>
      <c r="V1767" s="5"/>
      <c r="AK1767" s="5"/>
      <c r="AM1767" s="5"/>
    </row>
    <row r="1768" spans="20:39" x14ac:dyDescent="0.15">
      <c r="T1768" s="5"/>
      <c r="V1768" s="5"/>
      <c r="AK1768" s="5"/>
      <c r="AM1768" s="5"/>
    </row>
    <row r="1769" spans="20:39" x14ac:dyDescent="0.15">
      <c r="T1769" s="5"/>
      <c r="V1769" s="5"/>
      <c r="AK1769" s="5"/>
      <c r="AM1769" s="5"/>
    </row>
    <row r="1770" spans="20:39" x14ac:dyDescent="0.15">
      <c r="T1770" s="5"/>
      <c r="V1770" s="5"/>
      <c r="AK1770" s="5"/>
      <c r="AM1770" s="5"/>
    </row>
    <row r="1771" spans="20:39" x14ac:dyDescent="0.15">
      <c r="T1771" s="5"/>
      <c r="V1771" s="5"/>
      <c r="AK1771" s="5"/>
      <c r="AM1771" s="5"/>
    </row>
    <row r="1772" spans="20:39" x14ac:dyDescent="0.15">
      <c r="T1772" s="5"/>
      <c r="V1772" s="5"/>
      <c r="AK1772" s="5"/>
      <c r="AM1772" s="5"/>
    </row>
    <row r="1773" spans="20:39" x14ac:dyDescent="0.15">
      <c r="T1773" s="5"/>
      <c r="V1773" s="5"/>
      <c r="AK1773" s="5"/>
      <c r="AM1773" s="5"/>
    </row>
    <row r="1774" spans="20:39" x14ac:dyDescent="0.15">
      <c r="T1774" s="5"/>
      <c r="V1774" s="5"/>
      <c r="AK1774" s="5"/>
      <c r="AM1774" s="5"/>
    </row>
    <row r="1775" spans="20:39" x14ac:dyDescent="0.15">
      <c r="T1775" s="5"/>
      <c r="V1775" s="5"/>
      <c r="AK1775" s="5"/>
      <c r="AM1775" s="5"/>
    </row>
    <row r="1776" spans="20:39" x14ac:dyDescent="0.15">
      <c r="T1776" s="5"/>
      <c r="V1776" s="5"/>
      <c r="AK1776" s="5"/>
      <c r="AM1776" s="5"/>
    </row>
    <row r="1777" spans="20:39" x14ac:dyDescent="0.15">
      <c r="T1777" s="5"/>
      <c r="V1777" s="5"/>
      <c r="AK1777" s="5"/>
      <c r="AM1777" s="5"/>
    </row>
    <row r="1778" spans="20:39" x14ac:dyDescent="0.15">
      <c r="T1778" s="5"/>
      <c r="V1778" s="5"/>
      <c r="AK1778" s="5"/>
      <c r="AM1778" s="5"/>
    </row>
    <row r="1779" spans="20:39" x14ac:dyDescent="0.15">
      <c r="T1779" s="5"/>
      <c r="V1779" s="5"/>
      <c r="AK1779" s="5"/>
      <c r="AM1779" s="5"/>
    </row>
    <row r="1780" spans="20:39" x14ac:dyDescent="0.15">
      <c r="T1780" s="5"/>
      <c r="V1780" s="5"/>
      <c r="AK1780" s="5"/>
      <c r="AM1780" s="5"/>
    </row>
    <row r="1781" spans="20:39" x14ac:dyDescent="0.15">
      <c r="T1781" s="5"/>
      <c r="V1781" s="5"/>
      <c r="AK1781" s="5"/>
      <c r="AM1781" s="5"/>
    </row>
    <row r="1782" spans="20:39" x14ac:dyDescent="0.15">
      <c r="T1782" s="5"/>
      <c r="V1782" s="5"/>
      <c r="AK1782" s="5"/>
      <c r="AM1782" s="5"/>
    </row>
    <row r="1783" spans="20:39" x14ac:dyDescent="0.15">
      <c r="T1783" s="5"/>
      <c r="V1783" s="5"/>
      <c r="AK1783" s="5"/>
      <c r="AM1783" s="5"/>
    </row>
    <row r="1784" spans="20:39" x14ac:dyDescent="0.15">
      <c r="T1784" s="5"/>
      <c r="V1784" s="5"/>
      <c r="AK1784" s="5"/>
      <c r="AM1784" s="5"/>
    </row>
    <row r="1785" spans="20:39" x14ac:dyDescent="0.15">
      <c r="T1785" s="5"/>
      <c r="V1785" s="5"/>
      <c r="AK1785" s="5"/>
      <c r="AM1785" s="5"/>
    </row>
    <row r="1786" spans="20:39" x14ac:dyDescent="0.15">
      <c r="T1786" s="5"/>
      <c r="V1786" s="5"/>
      <c r="AK1786" s="5"/>
      <c r="AM1786" s="5"/>
    </row>
    <row r="1787" spans="20:39" x14ac:dyDescent="0.15">
      <c r="T1787" s="5"/>
      <c r="V1787" s="5"/>
      <c r="AK1787" s="5"/>
      <c r="AM1787" s="5"/>
    </row>
    <row r="1788" spans="20:39" x14ac:dyDescent="0.15">
      <c r="T1788" s="5"/>
      <c r="V1788" s="5"/>
      <c r="AK1788" s="5"/>
      <c r="AM1788" s="5"/>
    </row>
    <row r="1789" spans="20:39" x14ac:dyDescent="0.15">
      <c r="T1789" s="5"/>
      <c r="V1789" s="5"/>
      <c r="AK1789" s="5"/>
      <c r="AM1789" s="5"/>
    </row>
    <row r="1790" spans="20:39" x14ac:dyDescent="0.15">
      <c r="T1790" s="5"/>
      <c r="V1790" s="5"/>
      <c r="AK1790" s="5"/>
      <c r="AM1790" s="5"/>
    </row>
    <row r="1791" spans="20:39" x14ac:dyDescent="0.15">
      <c r="T1791" s="5"/>
      <c r="V1791" s="5"/>
      <c r="AK1791" s="5"/>
      <c r="AM1791" s="5"/>
    </row>
    <row r="1792" spans="20:39" x14ac:dyDescent="0.15">
      <c r="T1792" s="5"/>
      <c r="V1792" s="5"/>
      <c r="AK1792" s="5"/>
      <c r="AM1792" s="5"/>
    </row>
    <row r="1793" spans="20:39" x14ac:dyDescent="0.15">
      <c r="T1793" s="5"/>
      <c r="V1793" s="5"/>
      <c r="AK1793" s="5"/>
      <c r="AM1793" s="5"/>
    </row>
    <row r="1794" spans="20:39" x14ac:dyDescent="0.15">
      <c r="T1794" s="5"/>
      <c r="V1794" s="5"/>
      <c r="AK1794" s="5"/>
      <c r="AM1794" s="5"/>
    </row>
    <row r="1795" spans="20:39" x14ac:dyDescent="0.15">
      <c r="T1795" s="5"/>
      <c r="V1795" s="5"/>
      <c r="AK1795" s="5"/>
      <c r="AM1795" s="5"/>
    </row>
    <row r="1796" spans="20:39" x14ac:dyDescent="0.15">
      <c r="T1796" s="5"/>
      <c r="V1796" s="5"/>
      <c r="AK1796" s="5"/>
      <c r="AM1796" s="5"/>
    </row>
    <row r="1797" spans="20:39" x14ac:dyDescent="0.15">
      <c r="T1797" s="5"/>
      <c r="V1797" s="5"/>
      <c r="AK1797" s="5"/>
      <c r="AM1797" s="5"/>
    </row>
    <row r="1798" spans="20:39" x14ac:dyDescent="0.15">
      <c r="T1798" s="5"/>
      <c r="V1798" s="5"/>
      <c r="AK1798" s="5"/>
      <c r="AM1798" s="5"/>
    </row>
    <row r="1799" spans="20:39" x14ac:dyDescent="0.15">
      <c r="T1799" s="5"/>
      <c r="V1799" s="5"/>
      <c r="AK1799" s="5"/>
      <c r="AM1799" s="5"/>
    </row>
    <row r="1800" spans="20:39" x14ac:dyDescent="0.15">
      <c r="T1800" s="5"/>
      <c r="V1800" s="5"/>
      <c r="AK1800" s="5"/>
      <c r="AM1800" s="5"/>
    </row>
    <row r="1801" spans="20:39" x14ac:dyDescent="0.15">
      <c r="T1801" s="5"/>
      <c r="V1801" s="5"/>
      <c r="AK1801" s="5"/>
      <c r="AM1801" s="5"/>
    </row>
    <row r="1802" spans="20:39" x14ac:dyDescent="0.15">
      <c r="T1802" s="5"/>
      <c r="V1802" s="5"/>
      <c r="AK1802" s="5"/>
      <c r="AM1802" s="5"/>
    </row>
    <row r="1803" spans="20:39" x14ac:dyDescent="0.15">
      <c r="T1803" s="5"/>
      <c r="V1803" s="5"/>
      <c r="AK1803" s="5"/>
      <c r="AM1803" s="5"/>
    </row>
    <row r="1804" spans="20:39" x14ac:dyDescent="0.15">
      <c r="T1804" s="5"/>
      <c r="V1804" s="5"/>
      <c r="AK1804" s="5"/>
      <c r="AM1804" s="5"/>
    </row>
    <row r="1805" spans="20:39" x14ac:dyDescent="0.15">
      <c r="T1805" s="5"/>
      <c r="V1805" s="5"/>
      <c r="AK1805" s="5"/>
      <c r="AM1805" s="5"/>
    </row>
    <row r="1806" spans="20:39" x14ac:dyDescent="0.15">
      <c r="T1806" s="5"/>
      <c r="V1806" s="5"/>
      <c r="AK1806" s="5"/>
      <c r="AM1806" s="5"/>
    </row>
    <row r="1807" spans="20:39" x14ac:dyDescent="0.15">
      <c r="T1807" s="5"/>
      <c r="V1807" s="5"/>
      <c r="AK1807" s="5"/>
      <c r="AM1807" s="5"/>
    </row>
    <row r="1808" spans="20:39" x14ac:dyDescent="0.15">
      <c r="T1808" s="5"/>
      <c r="V1808" s="5"/>
      <c r="AK1808" s="5"/>
      <c r="AM1808" s="5"/>
    </row>
    <row r="1809" spans="20:39" x14ac:dyDescent="0.15">
      <c r="T1809" s="5"/>
      <c r="V1809" s="5"/>
      <c r="AK1809" s="5"/>
      <c r="AM1809" s="5"/>
    </row>
    <row r="1810" spans="20:39" x14ac:dyDescent="0.15">
      <c r="T1810" s="5"/>
      <c r="V1810" s="5"/>
      <c r="AK1810" s="5"/>
      <c r="AM1810" s="5"/>
    </row>
    <row r="1811" spans="20:39" x14ac:dyDescent="0.15">
      <c r="T1811" s="5"/>
      <c r="V1811" s="5"/>
      <c r="AK1811" s="5"/>
      <c r="AM1811" s="5"/>
    </row>
    <row r="1812" spans="20:39" x14ac:dyDescent="0.15">
      <c r="T1812" s="5"/>
      <c r="V1812" s="5"/>
      <c r="AK1812" s="5"/>
      <c r="AM1812" s="5"/>
    </row>
    <row r="1813" spans="20:39" x14ac:dyDescent="0.15">
      <c r="T1813" s="5"/>
      <c r="V1813" s="5"/>
      <c r="AK1813" s="5"/>
      <c r="AM1813" s="5"/>
    </row>
    <row r="1814" spans="20:39" x14ac:dyDescent="0.15">
      <c r="T1814" s="5"/>
      <c r="V1814" s="5"/>
      <c r="AK1814" s="5"/>
      <c r="AM1814" s="5"/>
    </row>
    <row r="1815" spans="20:39" x14ac:dyDescent="0.15">
      <c r="T1815" s="5"/>
      <c r="V1815" s="5"/>
      <c r="AK1815" s="5"/>
      <c r="AM1815" s="5"/>
    </row>
    <row r="1816" spans="20:39" x14ac:dyDescent="0.15">
      <c r="T1816" s="5"/>
      <c r="V1816" s="5"/>
      <c r="AK1816" s="5"/>
      <c r="AM1816" s="5"/>
    </row>
    <row r="1817" spans="20:39" x14ac:dyDescent="0.15">
      <c r="T1817" s="5"/>
      <c r="V1817" s="5"/>
      <c r="AK1817" s="5"/>
      <c r="AM1817" s="5"/>
    </row>
    <row r="1818" spans="20:39" x14ac:dyDescent="0.15">
      <c r="T1818" s="5"/>
      <c r="V1818" s="5"/>
      <c r="AK1818" s="5"/>
      <c r="AM1818" s="5"/>
    </row>
    <row r="1819" spans="20:39" x14ac:dyDescent="0.15">
      <c r="T1819" s="5"/>
      <c r="V1819" s="5"/>
      <c r="AK1819" s="5"/>
      <c r="AM1819" s="5"/>
    </row>
    <row r="1820" spans="20:39" x14ac:dyDescent="0.15">
      <c r="T1820" s="5"/>
      <c r="V1820" s="5"/>
      <c r="AK1820" s="5"/>
      <c r="AM1820" s="5"/>
    </row>
    <row r="1821" spans="20:39" x14ac:dyDescent="0.15">
      <c r="T1821" s="5"/>
      <c r="V1821" s="5"/>
      <c r="AK1821" s="5"/>
      <c r="AM1821" s="5"/>
    </row>
    <row r="1822" spans="20:39" x14ac:dyDescent="0.15">
      <c r="T1822" s="5"/>
      <c r="V1822" s="5"/>
      <c r="AK1822" s="5"/>
      <c r="AM1822" s="5"/>
    </row>
    <row r="1823" spans="20:39" x14ac:dyDescent="0.15">
      <c r="T1823" s="5"/>
      <c r="V1823" s="5"/>
      <c r="AK1823" s="5"/>
      <c r="AM1823" s="5"/>
    </row>
    <row r="1824" spans="20:39" x14ac:dyDescent="0.15">
      <c r="T1824" s="5"/>
      <c r="V1824" s="5"/>
      <c r="AK1824" s="5"/>
      <c r="AM1824" s="5"/>
    </row>
    <row r="1825" spans="20:39" x14ac:dyDescent="0.15">
      <c r="T1825" s="5"/>
      <c r="V1825" s="5"/>
      <c r="AK1825" s="5"/>
      <c r="AM1825" s="5"/>
    </row>
    <row r="1826" spans="20:39" x14ac:dyDescent="0.15">
      <c r="T1826" s="5"/>
      <c r="V1826" s="5"/>
      <c r="AK1826" s="5"/>
      <c r="AM1826" s="5"/>
    </row>
    <row r="1827" spans="20:39" x14ac:dyDescent="0.15">
      <c r="T1827" s="5"/>
      <c r="V1827" s="5"/>
      <c r="AK1827" s="5"/>
      <c r="AM1827" s="5"/>
    </row>
    <row r="1828" spans="20:39" x14ac:dyDescent="0.15">
      <c r="T1828" s="5"/>
      <c r="V1828" s="5"/>
      <c r="AK1828" s="5"/>
      <c r="AM1828" s="5"/>
    </row>
    <row r="1829" spans="20:39" x14ac:dyDescent="0.15">
      <c r="T1829" s="5"/>
      <c r="V1829" s="5"/>
      <c r="AK1829" s="5"/>
      <c r="AM1829" s="5"/>
    </row>
    <row r="1830" spans="20:39" x14ac:dyDescent="0.15">
      <c r="T1830" s="5"/>
      <c r="V1830" s="5"/>
      <c r="AK1830" s="5"/>
      <c r="AM1830" s="5"/>
    </row>
    <row r="1831" spans="20:39" x14ac:dyDescent="0.15">
      <c r="T1831" s="5"/>
      <c r="V1831" s="5"/>
      <c r="AK1831" s="5"/>
      <c r="AM1831" s="5"/>
    </row>
    <row r="1832" spans="20:39" x14ac:dyDescent="0.15">
      <c r="T1832" s="5"/>
      <c r="V1832" s="5"/>
      <c r="AK1832" s="5"/>
      <c r="AM1832" s="5"/>
    </row>
    <row r="1833" spans="20:39" x14ac:dyDescent="0.15">
      <c r="T1833" s="5"/>
      <c r="V1833" s="5"/>
      <c r="AK1833" s="5"/>
      <c r="AM1833" s="5"/>
    </row>
    <row r="1834" spans="20:39" x14ac:dyDescent="0.15">
      <c r="T1834" s="5"/>
      <c r="V1834" s="5"/>
      <c r="AK1834" s="5"/>
      <c r="AM1834" s="5"/>
    </row>
    <row r="1835" spans="20:39" x14ac:dyDescent="0.15">
      <c r="T1835" s="5"/>
      <c r="V1835" s="5"/>
      <c r="AK1835" s="5"/>
      <c r="AM1835" s="5"/>
    </row>
    <row r="1836" spans="20:39" x14ac:dyDescent="0.15">
      <c r="T1836" s="5"/>
      <c r="V1836" s="5"/>
      <c r="AK1836" s="5"/>
      <c r="AM1836" s="5"/>
    </row>
    <row r="1837" spans="20:39" x14ac:dyDescent="0.15">
      <c r="T1837" s="5"/>
      <c r="V1837" s="5"/>
      <c r="AK1837" s="5"/>
      <c r="AM1837" s="5"/>
    </row>
    <row r="1838" spans="20:39" x14ac:dyDescent="0.15">
      <c r="T1838" s="5"/>
      <c r="V1838" s="5"/>
      <c r="AK1838" s="5"/>
      <c r="AM1838" s="5"/>
    </row>
    <row r="1839" spans="20:39" x14ac:dyDescent="0.15">
      <c r="T1839" s="5"/>
      <c r="V1839" s="5"/>
      <c r="AK1839" s="5"/>
      <c r="AM1839" s="5"/>
    </row>
    <row r="1840" spans="20:39" x14ac:dyDescent="0.15">
      <c r="T1840" s="5"/>
      <c r="V1840" s="5"/>
      <c r="AK1840" s="5"/>
      <c r="AM1840" s="5"/>
    </row>
    <row r="1841" spans="20:39" x14ac:dyDescent="0.15">
      <c r="T1841" s="5"/>
      <c r="V1841" s="5"/>
      <c r="AK1841" s="5"/>
      <c r="AM1841" s="5"/>
    </row>
    <row r="1842" spans="20:39" x14ac:dyDescent="0.15">
      <c r="T1842" s="5"/>
      <c r="V1842" s="5"/>
      <c r="AK1842" s="5"/>
      <c r="AM1842" s="5"/>
    </row>
    <row r="1843" spans="20:39" x14ac:dyDescent="0.15">
      <c r="T1843" s="5"/>
      <c r="V1843" s="5"/>
      <c r="AK1843" s="5"/>
      <c r="AM1843" s="5"/>
    </row>
    <row r="1844" spans="20:39" x14ac:dyDescent="0.15">
      <c r="T1844" s="5"/>
      <c r="V1844" s="5"/>
      <c r="AK1844" s="5"/>
      <c r="AM1844" s="5"/>
    </row>
    <row r="1845" spans="20:39" x14ac:dyDescent="0.15">
      <c r="T1845" s="5"/>
      <c r="V1845" s="5"/>
      <c r="AK1845" s="5"/>
      <c r="AM1845" s="5"/>
    </row>
    <row r="1846" spans="20:39" x14ac:dyDescent="0.15">
      <c r="T1846" s="5"/>
      <c r="V1846" s="5"/>
      <c r="AK1846" s="5"/>
      <c r="AM1846" s="5"/>
    </row>
    <row r="1847" spans="20:39" x14ac:dyDescent="0.15">
      <c r="T1847" s="5"/>
      <c r="V1847" s="5"/>
      <c r="AK1847" s="5"/>
      <c r="AM1847" s="5"/>
    </row>
    <row r="1848" spans="20:39" x14ac:dyDescent="0.15">
      <c r="T1848" s="5"/>
      <c r="V1848" s="5"/>
      <c r="AK1848" s="5"/>
      <c r="AM1848" s="5"/>
    </row>
    <row r="1849" spans="20:39" x14ac:dyDescent="0.15">
      <c r="T1849" s="5"/>
      <c r="V1849" s="5"/>
      <c r="AK1849" s="5"/>
      <c r="AM1849" s="5"/>
    </row>
    <row r="1850" spans="20:39" x14ac:dyDescent="0.15">
      <c r="T1850" s="5"/>
      <c r="V1850" s="5"/>
      <c r="AK1850" s="5"/>
      <c r="AM1850" s="5"/>
    </row>
    <row r="1851" spans="20:39" x14ac:dyDescent="0.15">
      <c r="T1851" s="5"/>
      <c r="V1851" s="5"/>
      <c r="AK1851" s="5"/>
      <c r="AM1851" s="5"/>
    </row>
    <row r="1852" spans="20:39" x14ac:dyDescent="0.15">
      <c r="T1852" s="5"/>
      <c r="V1852" s="5"/>
      <c r="AK1852" s="5"/>
      <c r="AM1852" s="5"/>
    </row>
    <row r="1853" spans="20:39" x14ac:dyDescent="0.15">
      <c r="T1853" s="5"/>
      <c r="V1853" s="5"/>
      <c r="AK1853" s="5"/>
      <c r="AM1853" s="5"/>
    </row>
    <row r="1854" spans="20:39" x14ac:dyDescent="0.15">
      <c r="T1854" s="5"/>
      <c r="V1854" s="5"/>
      <c r="AK1854" s="5"/>
      <c r="AM1854" s="5"/>
    </row>
    <row r="1855" spans="20:39" x14ac:dyDescent="0.15">
      <c r="T1855" s="5"/>
      <c r="V1855" s="5"/>
      <c r="AK1855" s="5"/>
      <c r="AM1855" s="5"/>
    </row>
    <row r="1856" spans="20:39" x14ac:dyDescent="0.15">
      <c r="T1856" s="5"/>
      <c r="V1856" s="5"/>
      <c r="AK1856" s="5"/>
      <c r="AM1856" s="5"/>
    </row>
    <row r="1857" spans="20:39" x14ac:dyDescent="0.15">
      <c r="T1857" s="5"/>
      <c r="V1857" s="5"/>
      <c r="AK1857" s="5"/>
      <c r="AM1857" s="5"/>
    </row>
    <row r="1858" spans="20:39" x14ac:dyDescent="0.15">
      <c r="T1858" s="5"/>
      <c r="V1858" s="5"/>
      <c r="AK1858" s="5"/>
      <c r="AM1858" s="5"/>
    </row>
    <row r="1859" spans="20:39" x14ac:dyDescent="0.15">
      <c r="T1859" s="5"/>
      <c r="V1859" s="5"/>
      <c r="AK1859" s="5"/>
      <c r="AM1859" s="5"/>
    </row>
    <row r="1860" spans="20:39" x14ac:dyDescent="0.15">
      <c r="T1860" s="5"/>
      <c r="V1860" s="5"/>
      <c r="AK1860" s="5"/>
      <c r="AM1860" s="5"/>
    </row>
    <row r="1861" spans="20:39" x14ac:dyDescent="0.15">
      <c r="T1861" s="5"/>
      <c r="V1861" s="5"/>
      <c r="AK1861" s="5"/>
      <c r="AM1861" s="5"/>
    </row>
    <row r="1862" spans="20:39" x14ac:dyDescent="0.15">
      <c r="T1862" s="5"/>
      <c r="V1862" s="5"/>
      <c r="AK1862" s="5"/>
      <c r="AM1862" s="5"/>
    </row>
    <row r="1863" spans="20:39" x14ac:dyDescent="0.15">
      <c r="T1863" s="5"/>
      <c r="V1863" s="5"/>
      <c r="AK1863" s="5"/>
      <c r="AM1863" s="5"/>
    </row>
    <row r="1864" spans="20:39" x14ac:dyDescent="0.15">
      <c r="T1864" s="5"/>
      <c r="V1864" s="5"/>
      <c r="AK1864" s="5"/>
      <c r="AM1864" s="5"/>
    </row>
    <row r="1865" spans="20:39" x14ac:dyDescent="0.15">
      <c r="T1865" s="5"/>
      <c r="V1865" s="5"/>
      <c r="AK1865" s="5"/>
      <c r="AM1865" s="5"/>
    </row>
    <row r="1866" spans="20:39" x14ac:dyDescent="0.15">
      <c r="T1866" s="5"/>
      <c r="V1866" s="5"/>
      <c r="AK1866" s="5"/>
      <c r="AM1866" s="5"/>
    </row>
    <row r="1867" spans="20:39" x14ac:dyDescent="0.15">
      <c r="T1867" s="5"/>
      <c r="V1867" s="5"/>
      <c r="AK1867" s="5"/>
      <c r="AM1867" s="5"/>
    </row>
    <row r="1868" spans="20:39" x14ac:dyDescent="0.15">
      <c r="T1868" s="5"/>
      <c r="V1868" s="5"/>
      <c r="AK1868" s="5"/>
      <c r="AM1868" s="5"/>
    </row>
    <row r="1869" spans="20:39" x14ac:dyDescent="0.15">
      <c r="T1869" s="5"/>
      <c r="V1869" s="5"/>
      <c r="AK1869" s="5"/>
      <c r="AM1869" s="5"/>
    </row>
    <row r="1870" spans="20:39" x14ac:dyDescent="0.15">
      <c r="T1870" s="5"/>
      <c r="V1870" s="5"/>
      <c r="AK1870" s="5"/>
      <c r="AM1870" s="5"/>
    </row>
    <row r="1871" spans="20:39" x14ac:dyDescent="0.15">
      <c r="T1871" s="5"/>
      <c r="V1871" s="5"/>
      <c r="AK1871" s="5"/>
      <c r="AM1871" s="5"/>
    </row>
    <row r="1872" spans="20:39" x14ac:dyDescent="0.15">
      <c r="T1872" s="5"/>
      <c r="V1872" s="5"/>
      <c r="AK1872" s="5"/>
      <c r="AM1872" s="5"/>
    </row>
    <row r="1873" spans="20:39" x14ac:dyDescent="0.15">
      <c r="T1873" s="5"/>
      <c r="V1873" s="5"/>
      <c r="AK1873" s="5"/>
      <c r="AM1873" s="5"/>
    </row>
    <row r="1874" spans="20:39" x14ac:dyDescent="0.15">
      <c r="T1874" s="5"/>
      <c r="V1874" s="5"/>
      <c r="AK1874" s="5"/>
      <c r="AM1874" s="5"/>
    </row>
    <row r="1875" spans="20:39" x14ac:dyDescent="0.15">
      <c r="T1875" s="5"/>
      <c r="V1875" s="5"/>
      <c r="AK1875" s="5"/>
      <c r="AM1875" s="5"/>
    </row>
    <row r="1876" spans="20:39" x14ac:dyDescent="0.15">
      <c r="T1876" s="5"/>
      <c r="V1876" s="5"/>
      <c r="AK1876" s="5"/>
      <c r="AM1876" s="5"/>
    </row>
    <row r="1877" spans="20:39" x14ac:dyDescent="0.15">
      <c r="T1877" s="5"/>
      <c r="V1877" s="5"/>
      <c r="AK1877" s="5"/>
      <c r="AM1877" s="5"/>
    </row>
    <row r="1878" spans="20:39" x14ac:dyDescent="0.15">
      <c r="T1878" s="5"/>
      <c r="V1878" s="5"/>
      <c r="AK1878" s="5"/>
      <c r="AM1878" s="5"/>
    </row>
    <row r="1879" spans="20:39" x14ac:dyDescent="0.15">
      <c r="T1879" s="5"/>
      <c r="V1879" s="5"/>
      <c r="AK1879" s="5"/>
      <c r="AM1879" s="5"/>
    </row>
    <row r="1880" spans="20:39" x14ac:dyDescent="0.15">
      <c r="T1880" s="5"/>
      <c r="V1880" s="5"/>
      <c r="AK1880" s="5"/>
      <c r="AM1880" s="5"/>
    </row>
    <row r="1881" spans="20:39" x14ac:dyDescent="0.15">
      <c r="T1881" s="5"/>
      <c r="V1881" s="5"/>
      <c r="AK1881" s="5"/>
      <c r="AM1881" s="5"/>
    </row>
    <row r="1882" spans="20:39" x14ac:dyDescent="0.15">
      <c r="T1882" s="5"/>
      <c r="V1882" s="5"/>
      <c r="AK1882" s="5"/>
      <c r="AM1882" s="5"/>
    </row>
  </sheetData>
  <mergeCells count="37">
    <mergeCell ref="AL5:AM5"/>
    <mergeCell ref="AB5:AC5"/>
    <mergeCell ref="AD5:AE5"/>
    <mergeCell ref="AF5:AG5"/>
    <mergeCell ref="AH5:AI5"/>
    <mergeCell ref="AL4:AM4"/>
    <mergeCell ref="L5:M5"/>
    <mergeCell ref="N5:O5"/>
    <mergeCell ref="P5:Q5"/>
    <mergeCell ref="R5:S5"/>
    <mergeCell ref="T5:U5"/>
    <mergeCell ref="V5:W5"/>
    <mergeCell ref="X5:Y5"/>
    <mergeCell ref="Z5:AA5"/>
    <mergeCell ref="AJ5:AK5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T4:U4"/>
    <mergeCell ref="V4:W4"/>
    <mergeCell ref="X4:Y4"/>
    <mergeCell ref="A4:B4"/>
    <mergeCell ref="C2:AK2"/>
    <mergeCell ref="A217:B217"/>
    <mergeCell ref="A222:B222"/>
    <mergeCell ref="A226:B226"/>
    <mergeCell ref="C3:F3"/>
    <mergeCell ref="G3:I3"/>
    <mergeCell ref="J3:K3"/>
    <mergeCell ref="L3:AM3"/>
    <mergeCell ref="L4:M4"/>
  </mergeCells>
  <phoneticPr fontId="0" type="noConversion"/>
  <printOptions horizontalCentered="1"/>
  <pageMargins left="0.39370078740157483" right="0.39370078740157483" top="0.62992125984251968" bottom="0.78740157480314965" header="0.51181102362204722" footer="0.51181102362204722"/>
  <pageSetup paperSize="9" scale="41" fitToHeight="0" orientation="landscape"/>
  <headerFooter alignWithMargins="0">
    <oddFooter>Seite &amp;P von &amp;N</oddFooter>
  </headerFooter>
  <rowBreaks count="3" manualBreakCount="3">
    <brk id="78" max="16383" man="1"/>
    <brk id="227" max="16383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Bü_WB_Bremen</vt:lpstr>
      <vt:lpstr>Bü_WB_Bremen!Drucktitel</vt:lpstr>
    </vt:vector>
  </TitlesOfParts>
  <Company>Bremen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Stat. Landesamt</dc:creator>
  <cp:lastModifiedBy>Vincent Heddesheimer</cp:lastModifiedBy>
  <cp:lastPrinted>2003-10-31T09:16:14Z</cp:lastPrinted>
  <dcterms:created xsi:type="dcterms:W3CDTF">2003-05-29T09:07:07Z</dcterms:created>
  <dcterms:modified xsi:type="dcterms:W3CDTF">2026-03-20T20:12:49Z</dcterms:modified>
</cp:coreProperties>
</file>