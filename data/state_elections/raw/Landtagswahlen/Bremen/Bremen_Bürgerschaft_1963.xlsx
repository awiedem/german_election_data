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65D46B85-6501-1642-B44A-AA3E937043BA}" xr6:coauthVersionLast="47" xr6:coauthVersionMax="47" xr10:uidLastSave="{00000000-0000-0000-0000-000000000000}"/>
  <bookViews>
    <workbookView xWindow="0" yWindow="660" windowWidth="30240" windowHeight="17520" xr2:uid="{9F8F141B-6D37-6C43-BB15-8F402C6B2213}"/>
  </bookViews>
  <sheets>
    <sheet name="Bremen_Bürgerschaft_1963" sheetId="1" r:id="rId1"/>
  </sheets>
  <calcPr calcId="0" refMode="R1C1"/>
</workbook>
</file>

<file path=xl/calcChain.xml><?xml version="1.0" encoding="utf-8"?>
<calcChain xmlns="http://schemas.openxmlformats.org/spreadsheetml/2006/main">
  <c r="C21" i="1" l="1"/>
  <c r="C26" i="1"/>
  <c r="C28" i="1"/>
  <c r="C33" i="1"/>
  <c r="C42" i="1"/>
  <c r="C46" i="1"/>
  <c r="C50" i="1"/>
  <c r="C59" i="1"/>
  <c r="C63" i="1"/>
  <c r="C68" i="1"/>
</calcChain>
</file>

<file path=xl/sharedStrings.xml><?xml version="1.0" encoding="utf-8"?>
<sst xmlns="http://schemas.openxmlformats.org/spreadsheetml/2006/main" count="182" uniqueCount="91">
  <si>
    <t>Tabelle 19</t>
  </si>
  <si>
    <t xml:space="preserve">Altstadt................................................................................. </t>
  </si>
  <si>
    <t xml:space="preserve"> -</t>
  </si>
  <si>
    <t xml:space="preserve">Bahnhofsvorstadt................................................................   </t>
  </si>
  <si>
    <t xml:space="preserve">Ostertor...................................................................................  </t>
  </si>
  <si>
    <t xml:space="preserve">Stadtteil Mitte......................................................................... </t>
  </si>
  <si>
    <t xml:space="preserve"> </t>
  </si>
  <si>
    <t xml:space="preserve">Handelsh‰fen.............................................................. </t>
  </si>
  <si>
    <t xml:space="preserve">Industrieh‰fen.............................................................. </t>
  </si>
  <si>
    <t>Stadtbrem. ‹berseehafengebiet Bremerhaven...........</t>
  </si>
  <si>
    <t xml:space="preserve">Stadtteil H‰fen........................................................... </t>
  </si>
  <si>
    <t xml:space="preserve">Stadtbezik Mitte.........................................................  </t>
  </si>
  <si>
    <t xml:space="preserve">Alte Neustadt............................................................. </t>
  </si>
  <si>
    <t>S¸dervorstadt...............................................................</t>
  </si>
  <si>
    <t>Neuenland........................................................................</t>
  </si>
  <si>
    <t xml:space="preserve">Stadtteil Neustadt........................................................ </t>
  </si>
  <si>
    <t xml:space="preserve">Huckelriede..................................................................  </t>
  </si>
  <si>
    <t>Stadtteil Huckelriede.......................................................</t>
  </si>
  <si>
    <t xml:space="preserve">Habenhausen.............................................................. </t>
  </si>
  <si>
    <t xml:space="preserve">Arsten..........................................................................  </t>
  </si>
  <si>
    <t xml:space="preserve">Kattenturm.........................................................................  </t>
  </si>
  <si>
    <t>Kattenesch......................................................................</t>
  </si>
  <si>
    <t xml:space="preserve">Stadtteil Obervieland......................................................     </t>
  </si>
  <si>
    <t>Huchting..........................................................................</t>
  </si>
  <si>
    <t>Grolland.........................................................................</t>
  </si>
  <si>
    <t xml:space="preserve">Stadtteil Huchting........................................................     </t>
  </si>
  <si>
    <t xml:space="preserve">Woltmershausen...........................................................  </t>
  </si>
  <si>
    <t xml:space="preserve">Rablinghausen...................................................................  </t>
  </si>
  <si>
    <t xml:space="preserve">Stadtteil Woltmershausen..............................................   </t>
  </si>
  <si>
    <t xml:space="preserve">Seehausen......................................................................   </t>
  </si>
  <si>
    <t xml:space="preserve">Strom................................................................................    </t>
  </si>
  <si>
    <t xml:space="preserve">Stadtbezirk S¸d................................................................. </t>
  </si>
  <si>
    <t xml:space="preserve">Steintor...........................................................................  </t>
  </si>
  <si>
    <t xml:space="preserve">Peterswerder........................................................................  </t>
  </si>
  <si>
    <t xml:space="preserve">Stadtteil ÷stl. Vorstadt.......................................................  </t>
  </si>
  <si>
    <t>B¸rgerparkviertel...................................................................</t>
  </si>
  <si>
    <t xml:space="preserve">Schwachhausen..............................................................  </t>
  </si>
  <si>
    <t xml:space="preserve">Stadtteil Schwachhausen...............................................   </t>
  </si>
  <si>
    <t xml:space="preserve">Gartenstadt Vahr............................................................  </t>
  </si>
  <si>
    <t xml:space="preserve">Neue Vahr Nord.....................................................................  </t>
  </si>
  <si>
    <t>Neue Vahr-S¸d...............................................................</t>
  </si>
  <si>
    <t xml:space="preserve">Stadtteil Vahr...................................................................  </t>
  </si>
  <si>
    <t>Horn-Lehe.......................................................................</t>
  </si>
  <si>
    <t xml:space="preserve">Stadtteil Horn-Lehe.....................................................     </t>
  </si>
  <si>
    <t xml:space="preserve">Borgfeld.........................................................................    </t>
  </si>
  <si>
    <t xml:space="preserve">Oberneuland..............................................................    </t>
  </si>
  <si>
    <t xml:space="preserve">Osterholz.....................................................................  </t>
  </si>
  <si>
    <t xml:space="preserve">Stadtteil Osterholz................................................................   </t>
  </si>
  <si>
    <t xml:space="preserve">Sebaldsbr¸ck................................................................  </t>
  </si>
  <si>
    <t xml:space="preserve">Hastedt.........................................................................  </t>
  </si>
  <si>
    <t xml:space="preserve">Hemelingen......................................................................  </t>
  </si>
  <si>
    <t xml:space="preserve">Arbergen....................................................................... </t>
  </si>
  <si>
    <t xml:space="preserve">Mahndorf....................................................................... </t>
  </si>
  <si>
    <t xml:space="preserve">Stadtteil Hemelingen.................................................     </t>
  </si>
  <si>
    <t xml:space="preserve">Stadtbezirk Ost...............................................................   </t>
  </si>
  <si>
    <t xml:space="preserve">Blockland...................................................................    </t>
  </si>
  <si>
    <t xml:space="preserve">Findorff..........................................................................  </t>
  </si>
  <si>
    <t xml:space="preserve">Stadtteil Findorff............................................................. </t>
  </si>
  <si>
    <t xml:space="preserve">Utbremen......................................................................   </t>
  </si>
  <si>
    <t xml:space="preserve">Walle.............................................................................   </t>
  </si>
  <si>
    <t xml:space="preserve">Osterfeuerberg................................................................   </t>
  </si>
  <si>
    <t>Stadtteil Walle.................................................................</t>
  </si>
  <si>
    <t xml:space="preserve">Grˆpelingen......................................................................  </t>
  </si>
  <si>
    <t>Oslebshausen.....................................................................</t>
  </si>
  <si>
    <t xml:space="preserve">Stadtteil Grˆpelingen........................................................   </t>
  </si>
  <si>
    <t xml:space="preserve">Stadtbezirk West............................................................. </t>
  </si>
  <si>
    <t xml:space="preserve">Burg-Grambke................................................................... </t>
  </si>
  <si>
    <t xml:space="preserve">Werderland......................................................................... </t>
  </si>
  <si>
    <t xml:space="preserve">Lesum.............................................................................  </t>
  </si>
  <si>
    <t xml:space="preserve">Stadtteil Burglesum...........................................................    </t>
  </si>
  <si>
    <t>Alt-Vegesack.................................................................</t>
  </si>
  <si>
    <t xml:space="preserve">Grohn............................................................................  </t>
  </si>
  <si>
    <t xml:space="preserve">Schˆnebeck....................................................................  </t>
  </si>
  <si>
    <t xml:space="preserve">Aumund-Hammersbeck.................................................   </t>
  </si>
  <si>
    <t>F‰hr- Lobbendorf............................................................</t>
  </si>
  <si>
    <t xml:space="preserve">Stadtteil Vegesack...........................................................   </t>
  </si>
  <si>
    <t xml:space="preserve">Blumenthal....................................................................   </t>
  </si>
  <si>
    <t xml:space="preserve">Farge..............................................................................   </t>
  </si>
  <si>
    <t xml:space="preserve">Stadtteil Blumenthal..................................................     </t>
  </si>
  <si>
    <t xml:space="preserve">Stadtbezirk Nord.............................................................. </t>
  </si>
  <si>
    <t xml:space="preserve">Stadt Bremen insgesamt....................................................  </t>
  </si>
  <si>
    <t>darunter</t>
  </si>
  <si>
    <t xml:space="preserve">Briefwahl..........................................................................   </t>
  </si>
  <si>
    <t>Stadt Bremerhaven insgesamt.............................................</t>
  </si>
  <si>
    <t>Land Bremen insgesamt......................</t>
  </si>
  <si>
    <t>1) Nach Neuordnung der stadtbremischen Verwaltungsbezirke vom 14.8.1962 (Brem. GBL. S.177).</t>
  </si>
  <si>
    <t>2) Einschl. Wahlscheininhaber.</t>
  </si>
  <si>
    <t>3) ohne Briefw‰hler.</t>
  </si>
  <si>
    <t>4) Stadtteile mit Ortsamtsverwaltung.</t>
  </si>
  <si>
    <t>5) Ortsteile mit Ortsamtsverwaltung, die keinem Stadtteil zugeordnet sind.</t>
  </si>
  <si>
    <t>Quelle: Statistische Berichte aus Bremen / BIII Januar 1963, Ausgegeben September 1964.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</si>
</sst>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6" formatCode="#.0"/>
    <numFmt numFmtId="187" formatCode="0.#"/>
    <numFmt numFmtId="188" formatCode="###\ ###"/>
  </numFmts>
  <fonts count="3">
    <font>
      <sz val="8"/>
      <name val="Helv"/>
    </font>
    <font>
      <b/>
      <sz val="12"/>
      <name val="Helv"/>
    </font>
    <font>
      <b/>
      <sz val="10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4">
    <xf numFmtId="0" fontId="0" fillId="0" borderId="0" xfId="0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/>
    <xf numFmtId="0" fontId="0" fillId="2" borderId="0" xfId="0" applyFont="1" applyFill="1" applyAlignment="1">
      <alignment horizontal="left"/>
    </xf>
    <xf numFmtId="186" fontId="0" fillId="0" borderId="0" xfId="0" applyNumberFormat="1">
      <alignment horizontal="center"/>
    </xf>
    <xf numFmtId="186" fontId="0" fillId="0" borderId="0" xfId="0" applyNumberFormat="1" applyFill="1">
      <alignment horizontal="center"/>
    </xf>
    <xf numFmtId="0" fontId="1" fillId="0" borderId="0" xfId="0" applyFont="1">
      <alignment horizontal="center"/>
    </xf>
    <xf numFmtId="0" fontId="0" fillId="0" borderId="0" xfId="0" applyAlignment="1">
      <alignment horizontal="right"/>
    </xf>
    <xf numFmtId="186" fontId="0" fillId="0" borderId="0" xfId="0" applyNumberFormat="1" applyAlignment="1">
      <alignment horizontal="right"/>
    </xf>
    <xf numFmtId="187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88" fontId="0" fillId="0" borderId="0" xfId="0" applyNumberFormat="1" applyAlignment="1">
      <alignment horizontal="right"/>
    </xf>
    <xf numFmtId="0" fontId="2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76200</xdr:rowOff>
    </xdr:from>
    <xdr:to>
      <xdr:col>9</xdr:col>
      <xdr:colOff>469900</xdr:colOff>
      <xdr:row>7</xdr:row>
      <xdr:rowOff>114300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FFAB218E-B5C7-A3AF-9B9D-6CE065BD95EC}"/>
            </a:ext>
          </a:extLst>
        </xdr:cNvPr>
        <xdr:cNvSpPr txBox="1">
          <a:spLocks noChangeArrowheads="1"/>
        </xdr:cNvSpPr>
      </xdr:nvSpPr>
      <xdr:spPr bwMode="auto">
        <a:xfrm>
          <a:off x="0" y="533400"/>
          <a:ext cx="61468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29.09.1963 nach Ortsteilen, Stadtteilen und Stadtbezirken (Briefwahl extra)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AEA2EE39-BC19-407C-973E-0C33B68602E9}"/>
            </a:ext>
          </a:extLst>
        </xdr:cNvPr>
        <xdr:cNvSpPr txBox="1">
          <a:spLocks noChangeArrowheads="1"/>
        </xdr:cNvSpPr>
      </xdr:nvSpPr>
      <xdr:spPr bwMode="auto">
        <a:xfrm>
          <a:off x="0" y="1219200"/>
          <a:ext cx="2159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15AC8D5D-B613-3CDE-7220-2F34BB29F3C0}"/>
            </a:ext>
          </a:extLst>
        </xdr:cNvPr>
        <xdr:cNvSpPr txBox="1">
          <a:spLocks noChangeArrowheads="1"/>
        </xdr:cNvSpPr>
      </xdr:nvSpPr>
      <xdr:spPr bwMode="auto">
        <a:xfrm>
          <a:off x="2159000" y="1219200"/>
          <a:ext cx="596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58B15C4E-82A6-241D-4949-854873DA052E}"/>
            </a:ext>
          </a:extLst>
        </xdr:cNvPr>
        <xdr:cNvSpPr txBox="1">
          <a:spLocks noChangeArrowheads="1"/>
        </xdr:cNvSpPr>
      </xdr:nvSpPr>
      <xdr:spPr bwMode="auto">
        <a:xfrm>
          <a:off x="2755900" y="1219200"/>
          <a:ext cx="5080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10</xdr:col>
      <xdr:colOff>0</xdr:colOff>
      <xdr:row>10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985A9137-7B5F-7198-9F8C-93B9A11364F9}"/>
            </a:ext>
          </a:extLst>
        </xdr:cNvPr>
        <xdr:cNvSpPr txBox="1">
          <a:spLocks noChangeArrowheads="1"/>
        </xdr:cNvSpPr>
      </xdr:nvSpPr>
      <xdr:spPr bwMode="auto">
        <a:xfrm>
          <a:off x="3263900" y="1219200"/>
          <a:ext cx="28956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10</xdr:col>
      <xdr:colOff>0</xdr:colOff>
      <xdr:row>16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62AABE80-06DB-B67B-0B18-F1E716567D9C}"/>
            </a:ext>
          </a:extLst>
        </xdr:cNvPr>
        <xdr:cNvSpPr txBox="1">
          <a:spLocks noChangeArrowheads="1"/>
        </xdr:cNvSpPr>
      </xdr:nvSpPr>
      <xdr:spPr bwMode="auto">
        <a:xfrm>
          <a:off x="2755900" y="2133600"/>
          <a:ext cx="34036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64BC5A62-0C04-B9D0-0FDD-F397A8A02E1C}"/>
            </a:ext>
          </a:extLst>
        </xdr:cNvPr>
        <xdr:cNvSpPr txBox="1">
          <a:spLocks noChangeArrowheads="1"/>
        </xdr:cNvSpPr>
      </xdr:nvSpPr>
      <xdr:spPr bwMode="auto">
        <a:xfrm>
          <a:off x="3263900" y="15240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44A53533-308C-322A-EDB7-2D9D468B6C88}"/>
            </a:ext>
          </a:extLst>
        </xdr:cNvPr>
        <xdr:cNvSpPr txBox="1">
          <a:spLocks noChangeArrowheads="1"/>
        </xdr:cNvSpPr>
      </xdr:nvSpPr>
      <xdr:spPr bwMode="auto">
        <a:xfrm>
          <a:off x="3746500" y="15240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6395A51C-E705-911B-C3B7-AC5461817F87}"/>
            </a:ext>
          </a:extLst>
        </xdr:cNvPr>
        <xdr:cNvSpPr txBox="1">
          <a:spLocks noChangeArrowheads="1"/>
        </xdr:cNvSpPr>
      </xdr:nvSpPr>
      <xdr:spPr bwMode="auto">
        <a:xfrm>
          <a:off x="4229100" y="15240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FDP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546100</xdr:colOff>
      <xdr:row>14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E2093A1C-172F-6816-ECE6-68554C17543A}"/>
            </a:ext>
          </a:extLst>
        </xdr:cNvPr>
        <xdr:cNvSpPr txBox="1">
          <a:spLocks noChangeArrowheads="1"/>
        </xdr:cNvSpPr>
      </xdr:nvSpPr>
      <xdr:spPr bwMode="auto">
        <a:xfrm>
          <a:off x="4711700" y="15240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DP</a:t>
          </a:r>
        </a:p>
      </xdr:txBody>
    </xdr:sp>
    <xdr:clientData/>
  </xdr:twoCellAnchor>
  <xdr:oneCellAnchor>
    <xdr:from>
      <xdr:col>1</xdr:col>
      <xdr:colOff>876300</xdr:colOff>
      <xdr:row>41</xdr:row>
      <xdr:rowOff>0</xdr:rowOff>
    </xdr:from>
    <xdr:ext cx="139700" cy="127000"/>
    <xdr:sp macro="" textlink="">
      <xdr:nvSpPr>
        <xdr:cNvPr id="1145" name="Text 121">
          <a:extLst>
            <a:ext uri="{FF2B5EF4-FFF2-40B4-BE49-F238E27FC236}">
              <a16:creationId xmlns:a16="http://schemas.microsoft.com/office/drawing/2014/main" id="{B18097AB-847D-9405-2E21-5AD9C98D45B3}"/>
            </a:ext>
          </a:extLst>
        </xdr:cNvPr>
        <xdr:cNvSpPr txBox="1">
          <a:spLocks noChangeArrowheads="1"/>
        </xdr:cNvSpPr>
      </xdr:nvSpPr>
      <xdr:spPr bwMode="auto">
        <a:xfrm>
          <a:off x="1104900" y="7200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749300</xdr:colOff>
      <xdr:row>45</xdr:row>
      <xdr:rowOff>0</xdr:rowOff>
    </xdr:from>
    <xdr:ext cx="139700" cy="127000"/>
    <xdr:sp macro="" textlink="">
      <xdr:nvSpPr>
        <xdr:cNvPr id="1146" name="Text 122">
          <a:extLst>
            <a:ext uri="{FF2B5EF4-FFF2-40B4-BE49-F238E27FC236}">
              <a16:creationId xmlns:a16="http://schemas.microsoft.com/office/drawing/2014/main" id="{352D7B1C-4E5B-650E-2287-C4E382CC286F}"/>
            </a:ext>
          </a:extLst>
        </xdr:cNvPr>
        <xdr:cNvSpPr txBox="1">
          <a:spLocks noChangeArrowheads="1"/>
        </xdr:cNvSpPr>
      </xdr:nvSpPr>
      <xdr:spPr bwMode="auto">
        <a:xfrm>
          <a:off x="977900" y="7962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495300</xdr:colOff>
      <xdr:row>51</xdr:row>
      <xdr:rowOff>0</xdr:rowOff>
    </xdr:from>
    <xdr:ext cx="139700" cy="127000"/>
    <xdr:sp macro="" textlink="">
      <xdr:nvSpPr>
        <xdr:cNvPr id="1147" name="Text 123">
          <a:extLst>
            <a:ext uri="{FF2B5EF4-FFF2-40B4-BE49-F238E27FC236}">
              <a16:creationId xmlns:a16="http://schemas.microsoft.com/office/drawing/2014/main" id="{41037CCA-2889-C9FA-BA15-1F512D0646F5}"/>
            </a:ext>
          </a:extLst>
        </xdr:cNvPr>
        <xdr:cNvSpPr txBox="1">
          <a:spLocks noChangeArrowheads="1"/>
        </xdr:cNvSpPr>
      </xdr:nvSpPr>
      <xdr:spPr bwMode="auto">
        <a:xfrm>
          <a:off x="723900" y="9105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292100</xdr:colOff>
      <xdr:row>52</xdr:row>
      <xdr:rowOff>12700</xdr:rowOff>
    </xdr:from>
    <xdr:ext cx="139700" cy="127000"/>
    <xdr:sp macro="" textlink="">
      <xdr:nvSpPr>
        <xdr:cNvPr id="1148" name="Text 124">
          <a:extLst>
            <a:ext uri="{FF2B5EF4-FFF2-40B4-BE49-F238E27FC236}">
              <a16:creationId xmlns:a16="http://schemas.microsoft.com/office/drawing/2014/main" id="{DBB7C10D-1379-6726-4410-A533D009B70B}"/>
            </a:ext>
          </a:extLst>
        </xdr:cNvPr>
        <xdr:cNvSpPr txBox="1">
          <a:spLocks noChangeArrowheads="1"/>
        </xdr:cNvSpPr>
      </xdr:nvSpPr>
      <xdr:spPr bwMode="auto">
        <a:xfrm>
          <a:off x="520700" y="9309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457200</xdr:colOff>
      <xdr:row>72</xdr:row>
      <xdr:rowOff>12700</xdr:rowOff>
    </xdr:from>
    <xdr:ext cx="139700" cy="127000"/>
    <xdr:sp macro="" textlink="">
      <xdr:nvSpPr>
        <xdr:cNvPr id="1149" name="Text 125">
          <a:extLst>
            <a:ext uri="{FF2B5EF4-FFF2-40B4-BE49-F238E27FC236}">
              <a16:creationId xmlns:a16="http://schemas.microsoft.com/office/drawing/2014/main" id="{B360D00E-6546-B148-9D23-EA288C66A80F}"/>
            </a:ext>
          </a:extLst>
        </xdr:cNvPr>
        <xdr:cNvSpPr txBox="1">
          <a:spLocks noChangeArrowheads="1"/>
        </xdr:cNvSpPr>
      </xdr:nvSpPr>
      <xdr:spPr bwMode="auto">
        <a:xfrm>
          <a:off x="685800" y="13119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596900</xdr:colOff>
      <xdr:row>73</xdr:row>
      <xdr:rowOff>0</xdr:rowOff>
    </xdr:from>
    <xdr:ext cx="139700" cy="127000"/>
    <xdr:sp macro="" textlink="">
      <xdr:nvSpPr>
        <xdr:cNvPr id="1150" name="Text 126">
          <a:extLst>
            <a:ext uri="{FF2B5EF4-FFF2-40B4-BE49-F238E27FC236}">
              <a16:creationId xmlns:a16="http://schemas.microsoft.com/office/drawing/2014/main" id="{F5395203-52A1-BB72-9EC9-26BE5DA5458B}"/>
            </a:ext>
          </a:extLst>
        </xdr:cNvPr>
        <xdr:cNvSpPr txBox="1">
          <a:spLocks noChangeArrowheads="1"/>
        </xdr:cNvSpPr>
      </xdr:nvSpPr>
      <xdr:spPr bwMode="auto">
        <a:xfrm>
          <a:off x="825500" y="13296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495300</xdr:colOff>
      <xdr:row>86</xdr:row>
      <xdr:rowOff>177800</xdr:rowOff>
    </xdr:from>
    <xdr:ext cx="152400" cy="139700"/>
    <xdr:sp macro="" textlink="">
      <xdr:nvSpPr>
        <xdr:cNvPr id="1151" name="Text 127">
          <a:extLst>
            <a:ext uri="{FF2B5EF4-FFF2-40B4-BE49-F238E27FC236}">
              <a16:creationId xmlns:a16="http://schemas.microsoft.com/office/drawing/2014/main" id="{BC0DFBAD-2E1B-08B7-2703-050920EAC5DD}"/>
            </a:ext>
          </a:extLst>
        </xdr:cNvPr>
        <xdr:cNvSpPr txBox="1">
          <a:spLocks noChangeArrowheads="1"/>
        </xdr:cNvSpPr>
      </xdr:nvSpPr>
      <xdr:spPr bwMode="auto">
        <a:xfrm>
          <a:off x="723900" y="159512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838200</xdr:colOff>
      <xdr:row>70</xdr:row>
      <xdr:rowOff>12700</xdr:rowOff>
    </xdr:from>
    <xdr:ext cx="139700" cy="127000"/>
    <xdr:sp macro="" textlink="">
      <xdr:nvSpPr>
        <xdr:cNvPr id="1152" name="Text 128">
          <a:extLst>
            <a:ext uri="{FF2B5EF4-FFF2-40B4-BE49-F238E27FC236}">
              <a16:creationId xmlns:a16="http://schemas.microsoft.com/office/drawing/2014/main" id="{669DC66B-A8DB-ECA7-26C0-8CDEF8B80AEA}"/>
            </a:ext>
          </a:extLst>
        </xdr:cNvPr>
        <xdr:cNvSpPr txBox="1">
          <a:spLocks noChangeArrowheads="1"/>
        </xdr:cNvSpPr>
      </xdr:nvSpPr>
      <xdr:spPr bwMode="auto">
        <a:xfrm>
          <a:off x="1066800" y="12738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762000</xdr:colOff>
      <xdr:row>75</xdr:row>
      <xdr:rowOff>177800</xdr:rowOff>
    </xdr:from>
    <xdr:ext cx="139700" cy="139700"/>
    <xdr:sp macro="" textlink="">
      <xdr:nvSpPr>
        <xdr:cNvPr id="1153" name="Text 129">
          <a:extLst>
            <a:ext uri="{FF2B5EF4-FFF2-40B4-BE49-F238E27FC236}">
              <a16:creationId xmlns:a16="http://schemas.microsoft.com/office/drawing/2014/main" id="{F2DE5073-FEC9-FABD-6BAE-EF877A34947E}"/>
            </a:ext>
          </a:extLst>
        </xdr:cNvPr>
        <xdr:cNvSpPr txBox="1">
          <a:spLocks noChangeArrowheads="1"/>
        </xdr:cNvSpPr>
      </xdr:nvSpPr>
      <xdr:spPr bwMode="auto">
        <a:xfrm>
          <a:off x="990600" y="138557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876300</xdr:colOff>
      <xdr:row>83</xdr:row>
      <xdr:rowOff>0</xdr:rowOff>
    </xdr:from>
    <xdr:ext cx="139700" cy="127000"/>
    <xdr:sp macro="" textlink="">
      <xdr:nvSpPr>
        <xdr:cNvPr id="1154" name="Text 130">
          <a:extLst>
            <a:ext uri="{FF2B5EF4-FFF2-40B4-BE49-F238E27FC236}">
              <a16:creationId xmlns:a16="http://schemas.microsoft.com/office/drawing/2014/main" id="{B275D4A6-AC08-09F0-225A-B02D2E2AC14D}"/>
            </a:ext>
          </a:extLst>
        </xdr:cNvPr>
        <xdr:cNvSpPr txBox="1">
          <a:spLocks noChangeArrowheads="1"/>
        </xdr:cNvSpPr>
      </xdr:nvSpPr>
      <xdr:spPr bwMode="auto">
        <a:xfrm>
          <a:off x="1104900" y="152019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825500</xdr:colOff>
      <xdr:row>106</xdr:row>
      <xdr:rowOff>12700</xdr:rowOff>
    </xdr:from>
    <xdr:ext cx="139700" cy="127000"/>
    <xdr:sp macro="" textlink="">
      <xdr:nvSpPr>
        <xdr:cNvPr id="1155" name="Text 131">
          <a:extLst>
            <a:ext uri="{FF2B5EF4-FFF2-40B4-BE49-F238E27FC236}">
              <a16:creationId xmlns:a16="http://schemas.microsoft.com/office/drawing/2014/main" id="{441792C3-1ED8-1D23-EB12-CC3A94DA9171}"/>
            </a:ext>
          </a:extLst>
        </xdr:cNvPr>
        <xdr:cNvSpPr txBox="1">
          <a:spLocks noChangeArrowheads="1"/>
        </xdr:cNvSpPr>
      </xdr:nvSpPr>
      <xdr:spPr bwMode="auto">
        <a:xfrm>
          <a:off x="1054100" y="19596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800100</xdr:colOff>
      <xdr:row>113</xdr:row>
      <xdr:rowOff>12700</xdr:rowOff>
    </xdr:from>
    <xdr:ext cx="139700" cy="127000"/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883D2B5F-CE43-7222-CF9E-833F82EBDAA7}"/>
            </a:ext>
          </a:extLst>
        </xdr:cNvPr>
        <xdr:cNvSpPr txBox="1">
          <a:spLocks noChangeArrowheads="1"/>
        </xdr:cNvSpPr>
      </xdr:nvSpPr>
      <xdr:spPr bwMode="auto">
        <a:xfrm>
          <a:off x="1028700" y="209296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850900</xdr:colOff>
      <xdr:row>116</xdr:row>
      <xdr:rowOff>165100</xdr:rowOff>
    </xdr:from>
    <xdr:ext cx="152400" cy="139700"/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3D0EC2DE-FB93-64F8-45F9-F2D1F45ED608}"/>
            </a:ext>
          </a:extLst>
        </xdr:cNvPr>
        <xdr:cNvSpPr txBox="1">
          <a:spLocks noChangeArrowheads="1"/>
        </xdr:cNvSpPr>
      </xdr:nvSpPr>
      <xdr:spPr bwMode="auto">
        <a:xfrm>
          <a:off x="1079500" y="216535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2</xdr:col>
      <xdr:colOff>406400</xdr:colOff>
      <xdr:row>9</xdr:row>
      <xdr:rowOff>25400</xdr:rowOff>
    </xdr:from>
    <xdr:ext cx="152400" cy="127000"/>
    <xdr:sp macro="" textlink="">
      <xdr:nvSpPr>
        <xdr:cNvPr id="1158" name="Text 134">
          <a:extLst>
            <a:ext uri="{FF2B5EF4-FFF2-40B4-BE49-F238E27FC236}">
              <a16:creationId xmlns:a16="http://schemas.microsoft.com/office/drawing/2014/main" id="{74DB9BBE-8563-9D12-3B89-324A5B6386C3}"/>
            </a:ext>
          </a:extLst>
        </xdr:cNvPr>
        <xdr:cNvSpPr txBox="1">
          <a:spLocks noChangeArrowheads="1"/>
        </xdr:cNvSpPr>
      </xdr:nvSpPr>
      <xdr:spPr bwMode="auto">
        <a:xfrm>
          <a:off x="2565400" y="1397000"/>
          <a:ext cx="1524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oneCellAnchor>
    <xdr:from>
      <xdr:col>7</xdr:col>
      <xdr:colOff>292100</xdr:colOff>
      <xdr:row>5</xdr:row>
      <xdr:rowOff>12700</xdr:rowOff>
    </xdr:from>
    <xdr:ext cx="139700" cy="139700"/>
    <xdr:sp macro="" textlink="">
      <xdr:nvSpPr>
        <xdr:cNvPr id="1159" name="Text 135">
          <a:extLst>
            <a:ext uri="{FF2B5EF4-FFF2-40B4-BE49-F238E27FC236}">
              <a16:creationId xmlns:a16="http://schemas.microsoft.com/office/drawing/2014/main" id="{11266185-1510-B900-B300-3476840642A7}"/>
            </a:ext>
          </a:extLst>
        </xdr:cNvPr>
        <xdr:cNvSpPr txBox="1">
          <a:spLocks noChangeArrowheads="1"/>
        </xdr:cNvSpPr>
      </xdr:nvSpPr>
      <xdr:spPr bwMode="auto">
        <a:xfrm>
          <a:off x="5003800" y="7747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>
    <xdr:from>
      <xdr:col>8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160" name="Text 136">
          <a:extLst>
            <a:ext uri="{FF2B5EF4-FFF2-40B4-BE49-F238E27FC236}">
              <a16:creationId xmlns:a16="http://schemas.microsoft.com/office/drawing/2014/main" id="{A462B351-84DA-A9D8-7925-EFA6A1BA9359}"/>
            </a:ext>
          </a:extLst>
        </xdr:cNvPr>
        <xdr:cNvSpPr txBox="1">
          <a:spLocks noChangeArrowheads="1"/>
        </xdr:cNvSpPr>
      </xdr:nvSpPr>
      <xdr:spPr bwMode="auto">
        <a:xfrm>
          <a:off x="5194300" y="15240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DFU</a:t>
          </a: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10</xdr:col>
      <xdr:colOff>0</xdr:colOff>
      <xdr:row>14</xdr:row>
      <xdr:rowOff>0</xdr:rowOff>
    </xdr:to>
    <xdr:sp macro="" textlink="">
      <xdr:nvSpPr>
        <xdr:cNvPr id="1162" name="Text 138">
          <a:extLst>
            <a:ext uri="{FF2B5EF4-FFF2-40B4-BE49-F238E27FC236}">
              <a16:creationId xmlns:a16="http://schemas.microsoft.com/office/drawing/2014/main" id="{4A150F74-F4FE-5F9C-1562-272162F16398}"/>
            </a:ext>
          </a:extLst>
        </xdr:cNvPr>
        <xdr:cNvSpPr txBox="1">
          <a:spLocks noChangeArrowheads="1"/>
        </xdr:cNvSpPr>
      </xdr:nvSpPr>
      <xdr:spPr bwMode="auto">
        <a:xfrm>
          <a:off x="5676900" y="15240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GDP</a:t>
          </a:r>
        </a:p>
      </xdr:txBody>
    </xdr:sp>
    <xdr:clientData/>
  </xdr:twoCellAnchor>
  <xdr:oneCellAnchor>
    <xdr:from>
      <xdr:col>3</xdr:col>
      <xdr:colOff>342900</xdr:colOff>
      <xdr:row>9</xdr:row>
      <xdr:rowOff>25400</xdr:rowOff>
    </xdr:from>
    <xdr:ext cx="139700" cy="139700"/>
    <xdr:sp macro="" textlink="">
      <xdr:nvSpPr>
        <xdr:cNvPr id="1107" name="Text 83">
          <a:extLst>
            <a:ext uri="{FF2B5EF4-FFF2-40B4-BE49-F238E27FC236}">
              <a16:creationId xmlns:a16="http://schemas.microsoft.com/office/drawing/2014/main" id="{33A7BA5B-9DBA-71A3-6FD6-4980B2EA7FB3}"/>
            </a:ext>
          </a:extLst>
        </xdr:cNvPr>
        <xdr:cNvSpPr txBox="1">
          <a:spLocks noChangeArrowheads="1"/>
        </xdr:cNvSpPr>
      </xdr:nvSpPr>
      <xdr:spPr bwMode="auto">
        <a:xfrm>
          <a:off x="3098800" y="1397000"/>
          <a:ext cx="1397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B753-6DEF-FA49-959C-68E309DEF04B}">
  <dimension ref="A2:J143"/>
  <sheetViews>
    <sheetView tabSelected="1" topLeftCell="B113" workbookViewId="0">
      <selection activeCell="C119" sqref="C119"/>
    </sheetView>
  </sheetViews>
  <sheetFormatPr baseColWidth="10" defaultRowHeight="12" customHeight="1"/>
  <cols>
    <col min="1" max="1" width="4.5" style="1" customWidth="1"/>
    <col min="2" max="2" width="38" style="1" customWidth="1"/>
    <col min="3" max="3" width="11.75" customWidth="1"/>
    <col min="4" max="4" width="10" customWidth="1"/>
    <col min="5" max="11" width="9.5" customWidth="1"/>
  </cols>
  <sheetData>
    <row r="2" spans="4:4" ht="6" customHeight="1"/>
    <row r="3" spans="4:4" ht="18.75" customHeight="1">
      <c r="D3" s="7" t="s">
        <v>0</v>
      </c>
    </row>
    <row r="17" spans="1:10" ht="15" customHeight="1"/>
    <row r="18" spans="1:10" ht="15" customHeight="1">
      <c r="A18" s="1">
        <v>111</v>
      </c>
      <c r="B18" s="1" t="s">
        <v>1</v>
      </c>
      <c r="C18" s="12">
        <v>3210</v>
      </c>
      <c r="D18" s="9">
        <v>72.7</v>
      </c>
      <c r="E18" s="9">
        <v>39.799999999999997</v>
      </c>
      <c r="F18" s="9">
        <v>37.5</v>
      </c>
      <c r="G18" s="9">
        <v>12.4</v>
      </c>
      <c r="H18" s="9">
        <v>7.9</v>
      </c>
      <c r="I18" s="9">
        <v>2.4</v>
      </c>
      <c r="J18" s="8" t="s">
        <v>2</v>
      </c>
    </row>
    <row r="19" spans="1:10" ht="15" customHeight="1">
      <c r="A19" s="1">
        <v>112</v>
      </c>
      <c r="B19" s="1" t="s">
        <v>3</v>
      </c>
      <c r="C19" s="12">
        <v>4263</v>
      </c>
      <c r="D19" s="9">
        <v>73.5</v>
      </c>
      <c r="E19" s="9">
        <v>39.299999999999997</v>
      </c>
      <c r="F19" s="9">
        <v>40.9</v>
      </c>
      <c r="G19" s="9">
        <v>12.3</v>
      </c>
      <c r="H19" s="9">
        <v>6</v>
      </c>
      <c r="I19" s="9">
        <v>1.6</v>
      </c>
      <c r="J19" s="8" t="s">
        <v>2</v>
      </c>
    </row>
    <row r="20" spans="1:10" ht="15" customHeight="1">
      <c r="A20" s="1">
        <v>113</v>
      </c>
      <c r="B20" s="1" t="s">
        <v>4</v>
      </c>
      <c r="C20" s="12">
        <v>9754</v>
      </c>
      <c r="D20" s="9">
        <v>69.599999999999994</v>
      </c>
      <c r="E20" s="9">
        <v>40.700000000000003</v>
      </c>
      <c r="F20" s="9">
        <v>36.6</v>
      </c>
      <c r="G20" s="9">
        <v>12</v>
      </c>
      <c r="H20" s="9">
        <v>7.9</v>
      </c>
      <c r="I20" s="9">
        <v>2.8</v>
      </c>
      <c r="J20" s="8" t="s">
        <v>2</v>
      </c>
    </row>
    <row r="21" spans="1:10" ht="15" customHeight="1">
      <c r="B21" s="2" t="s">
        <v>5</v>
      </c>
      <c r="C21" s="12">
        <f>SUM(C18:C20)</f>
        <v>17227</v>
      </c>
      <c r="D21" s="9">
        <v>71.099999999999994</v>
      </c>
      <c r="E21" s="9">
        <v>40.200000000000003</v>
      </c>
      <c r="F21" s="9">
        <v>37.9</v>
      </c>
      <c r="G21" s="9">
        <v>12.2</v>
      </c>
      <c r="H21" s="9">
        <v>7.4</v>
      </c>
      <c r="I21" s="9">
        <v>2.2999999999999998</v>
      </c>
      <c r="J21" s="8" t="s">
        <v>2</v>
      </c>
    </row>
    <row r="22" spans="1:10" ht="15" customHeight="1">
      <c r="C22" s="12" t="s">
        <v>6</v>
      </c>
      <c r="D22" s="9"/>
      <c r="E22" s="9"/>
      <c r="F22" s="9"/>
      <c r="G22" s="9"/>
      <c r="H22" s="9"/>
      <c r="I22" s="9"/>
      <c r="J22" s="8"/>
    </row>
    <row r="23" spans="1:10" ht="15" customHeight="1">
      <c r="A23" s="1">
        <v>121</v>
      </c>
      <c r="B23" s="1" t="s">
        <v>7</v>
      </c>
      <c r="C23" s="12">
        <v>211</v>
      </c>
      <c r="D23" s="9">
        <v>63.5</v>
      </c>
      <c r="E23" s="9">
        <v>63.2</v>
      </c>
      <c r="F23" s="9">
        <v>24</v>
      </c>
      <c r="G23" s="9">
        <v>10.4</v>
      </c>
      <c r="H23" s="9">
        <v>2.4</v>
      </c>
      <c r="I23" s="8" t="s">
        <v>2</v>
      </c>
      <c r="J23" s="8" t="s">
        <v>2</v>
      </c>
    </row>
    <row r="24" spans="1:10" ht="15" customHeight="1">
      <c r="A24" s="1">
        <v>122</v>
      </c>
      <c r="B24" s="1" t="s">
        <v>8</v>
      </c>
      <c r="C24" s="12">
        <v>277</v>
      </c>
      <c r="D24" s="9">
        <v>44.5</v>
      </c>
      <c r="E24" s="9">
        <v>63.4</v>
      </c>
      <c r="F24" s="9">
        <v>30</v>
      </c>
      <c r="G24" s="9">
        <v>3.3</v>
      </c>
      <c r="H24" s="9">
        <v>3.3</v>
      </c>
      <c r="I24" s="8" t="s">
        <v>2</v>
      </c>
      <c r="J24" s="8" t="s">
        <v>2</v>
      </c>
    </row>
    <row r="25" spans="1:10" ht="15" customHeight="1">
      <c r="A25" s="1">
        <v>123</v>
      </c>
      <c r="B25" s="1" t="s">
        <v>9</v>
      </c>
      <c r="C25" s="12">
        <v>260</v>
      </c>
      <c r="D25" s="9">
        <v>63.7</v>
      </c>
      <c r="E25" s="9">
        <v>61</v>
      </c>
      <c r="F25" s="9">
        <v>32.5</v>
      </c>
      <c r="G25" s="9">
        <v>4.5</v>
      </c>
      <c r="H25" s="9">
        <v>1.3</v>
      </c>
      <c r="I25" s="10">
        <v>0.7</v>
      </c>
      <c r="J25" s="8" t="s">
        <v>2</v>
      </c>
    </row>
    <row r="26" spans="1:10" ht="15" customHeight="1">
      <c r="B26" s="2" t="s">
        <v>10</v>
      </c>
      <c r="C26" s="12">
        <f>C23+C24+C25</f>
        <v>748</v>
      </c>
      <c r="D26" s="9">
        <v>56.3</v>
      </c>
      <c r="E26" s="9">
        <v>62.4</v>
      </c>
      <c r="F26" s="9">
        <v>29.1</v>
      </c>
      <c r="G26" s="9">
        <v>6</v>
      </c>
      <c r="H26" s="9">
        <v>2.2000000000000002</v>
      </c>
      <c r="I26" s="10">
        <v>0.3</v>
      </c>
      <c r="J26" s="8" t="s">
        <v>2</v>
      </c>
    </row>
    <row r="27" spans="1:10" ht="15" customHeight="1">
      <c r="C27" s="12" t="s">
        <v>6</v>
      </c>
      <c r="D27" s="9"/>
      <c r="E27" s="9"/>
      <c r="F27" s="9"/>
      <c r="G27" s="9"/>
      <c r="H27" s="9"/>
      <c r="I27" s="9"/>
      <c r="J27" s="8"/>
    </row>
    <row r="28" spans="1:10" ht="15" customHeight="1">
      <c r="B28" s="2" t="s">
        <v>11</v>
      </c>
      <c r="C28" s="12">
        <f>C21+C26</f>
        <v>17975</v>
      </c>
      <c r="D28" s="9">
        <v>70.5</v>
      </c>
      <c r="E28" s="9">
        <v>40.9</v>
      </c>
      <c r="F28" s="9">
        <v>37.6</v>
      </c>
      <c r="G28" s="9">
        <v>12</v>
      </c>
      <c r="H28" s="9">
        <v>7.2</v>
      </c>
      <c r="I28" s="9">
        <v>2.2999999999999998</v>
      </c>
      <c r="J28" s="8" t="s">
        <v>2</v>
      </c>
    </row>
    <row r="29" spans="1:10" ht="15" customHeight="1">
      <c r="C29" s="12" t="s">
        <v>6</v>
      </c>
      <c r="D29" s="9"/>
      <c r="E29" s="9"/>
      <c r="F29" s="9"/>
      <c r="G29" s="9"/>
      <c r="H29" s="9"/>
      <c r="I29" s="9"/>
      <c r="J29" s="8"/>
    </row>
    <row r="30" spans="1:10" ht="15" customHeight="1">
      <c r="A30" s="1">
        <v>211</v>
      </c>
      <c r="B30" s="1" t="s">
        <v>12</v>
      </c>
      <c r="C30" s="12">
        <v>4892</v>
      </c>
      <c r="D30" s="9">
        <v>72.900000000000006</v>
      </c>
      <c r="E30" s="9">
        <v>46.4</v>
      </c>
      <c r="F30" s="9">
        <v>32.1</v>
      </c>
      <c r="G30" s="9">
        <v>11.6</v>
      </c>
      <c r="H30" s="9">
        <v>7.9</v>
      </c>
      <c r="I30" s="9">
        <v>2</v>
      </c>
      <c r="J30" s="8" t="s">
        <v>2</v>
      </c>
    </row>
    <row r="31" spans="1:10" ht="15" customHeight="1">
      <c r="A31" s="1">
        <v>212</v>
      </c>
      <c r="B31" s="1" t="s">
        <v>13</v>
      </c>
      <c r="C31" s="12">
        <v>35068</v>
      </c>
      <c r="D31" s="9">
        <v>76.900000000000006</v>
      </c>
      <c r="E31" s="9">
        <v>54.5</v>
      </c>
      <c r="F31" s="9">
        <v>27.7</v>
      </c>
      <c r="G31" s="9">
        <v>9</v>
      </c>
      <c r="H31" s="9">
        <v>6</v>
      </c>
      <c r="I31" s="9">
        <v>2.8</v>
      </c>
      <c r="J31" s="8" t="s">
        <v>2</v>
      </c>
    </row>
    <row r="32" spans="1:10" ht="15" customHeight="1">
      <c r="A32" s="1">
        <v>213</v>
      </c>
      <c r="B32" s="1" t="s">
        <v>14</v>
      </c>
      <c r="C32" s="12">
        <v>2010</v>
      </c>
      <c r="D32" s="9">
        <v>66.3</v>
      </c>
      <c r="E32" s="9">
        <v>65.900000000000006</v>
      </c>
      <c r="F32" s="9">
        <v>21</v>
      </c>
      <c r="G32" s="9">
        <v>5.2</v>
      </c>
      <c r="H32" s="9">
        <v>4.0999999999999996</v>
      </c>
      <c r="I32" s="9">
        <v>3.8</v>
      </c>
      <c r="J32" s="8" t="s">
        <v>2</v>
      </c>
    </row>
    <row r="33" spans="1:10" ht="15" customHeight="1">
      <c r="B33" s="2" t="s">
        <v>15</v>
      </c>
      <c r="C33" s="12">
        <f>C30+C31+C32</f>
        <v>41970</v>
      </c>
      <c r="D33" s="9">
        <v>75.900000000000006</v>
      </c>
      <c r="E33" s="9">
        <v>54.1</v>
      </c>
      <c r="F33" s="9">
        <v>27.9</v>
      </c>
      <c r="G33" s="9">
        <v>9.1</v>
      </c>
      <c r="H33" s="9">
        <v>6.2</v>
      </c>
      <c r="I33" s="9">
        <v>2.7</v>
      </c>
      <c r="J33" s="8" t="s">
        <v>2</v>
      </c>
    </row>
    <row r="34" spans="1:10" ht="15" customHeight="1">
      <c r="C34" s="12"/>
      <c r="D34" s="9"/>
      <c r="E34" s="9"/>
      <c r="F34" s="9"/>
      <c r="G34" s="9"/>
      <c r="H34" s="9"/>
      <c r="I34" s="9"/>
      <c r="J34" s="8"/>
    </row>
    <row r="35" spans="1:10" ht="15" customHeight="1">
      <c r="A35" s="1">
        <v>221</v>
      </c>
      <c r="B35" s="1" t="s">
        <v>16</v>
      </c>
      <c r="C35" s="12">
        <v>7327</v>
      </c>
      <c r="D35" s="9">
        <v>77.7</v>
      </c>
      <c r="E35" s="9">
        <v>63.5</v>
      </c>
      <c r="F35" s="9">
        <v>21.9</v>
      </c>
      <c r="G35" s="9">
        <v>6.9</v>
      </c>
      <c r="H35" s="9">
        <v>4.9000000000000004</v>
      </c>
      <c r="I35" s="9">
        <v>2.9</v>
      </c>
      <c r="J35" s="8" t="s">
        <v>2</v>
      </c>
    </row>
    <row r="36" spans="1:10" ht="15" customHeight="1">
      <c r="B36" s="2" t="s">
        <v>17</v>
      </c>
      <c r="C36" s="12">
        <v>7327</v>
      </c>
      <c r="D36" s="9">
        <v>77.7</v>
      </c>
      <c r="E36" s="9">
        <v>63.5</v>
      </c>
      <c r="F36" s="9">
        <v>21.9</v>
      </c>
      <c r="G36" s="9">
        <v>6.9</v>
      </c>
      <c r="H36" s="9">
        <v>4.9000000000000004</v>
      </c>
      <c r="I36" s="9">
        <v>2.9</v>
      </c>
      <c r="J36" s="8" t="s">
        <v>2</v>
      </c>
    </row>
    <row r="37" spans="1:10" ht="15" customHeight="1">
      <c r="C37" s="12"/>
      <c r="D37" s="9"/>
      <c r="E37" s="9"/>
      <c r="F37" s="9"/>
      <c r="G37" s="9"/>
      <c r="H37" s="9"/>
      <c r="I37" s="9"/>
      <c r="J37" s="8"/>
    </row>
    <row r="38" spans="1:10" ht="15" customHeight="1">
      <c r="A38" s="1">
        <v>231</v>
      </c>
      <c r="B38" s="1" t="s">
        <v>18</v>
      </c>
      <c r="C38" s="12">
        <v>2778</v>
      </c>
      <c r="D38" s="9">
        <v>85.9</v>
      </c>
      <c r="E38" s="9">
        <v>68.400000000000006</v>
      </c>
      <c r="F38" s="9">
        <v>18</v>
      </c>
      <c r="G38" s="9">
        <v>5.9</v>
      </c>
      <c r="H38" s="9">
        <v>5.3</v>
      </c>
      <c r="I38" s="9">
        <v>2.2999999999999998</v>
      </c>
      <c r="J38" s="8" t="s">
        <v>2</v>
      </c>
    </row>
    <row r="39" spans="1:10" ht="15" customHeight="1">
      <c r="A39" s="1">
        <v>232</v>
      </c>
      <c r="B39" s="1" t="s">
        <v>19</v>
      </c>
      <c r="C39" s="12">
        <v>1637</v>
      </c>
      <c r="D39" s="9">
        <v>89</v>
      </c>
      <c r="E39" s="9">
        <v>80.599999999999994</v>
      </c>
      <c r="F39" s="9">
        <v>12.7</v>
      </c>
      <c r="G39" s="9">
        <v>3.4</v>
      </c>
      <c r="H39" s="9">
        <v>2.7</v>
      </c>
      <c r="I39" s="10">
        <v>0.6</v>
      </c>
      <c r="J39" s="8" t="s">
        <v>2</v>
      </c>
    </row>
    <row r="40" spans="1:10" ht="15" customHeight="1">
      <c r="A40" s="1">
        <v>233</v>
      </c>
      <c r="B40" s="1" t="s">
        <v>20</v>
      </c>
      <c r="C40" s="12">
        <v>4219</v>
      </c>
      <c r="D40" s="9">
        <v>79.7</v>
      </c>
      <c r="E40" s="9">
        <v>67.5</v>
      </c>
      <c r="F40" s="9">
        <v>19.5</v>
      </c>
      <c r="G40" s="9">
        <v>6.5</v>
      </c>
      <c r="H40" s="9">
        <v>3.7</v>
      </c>
      <c r="I40" s="9">
        <v>2.8</v>
      </c>
      <c r="J40" s="8" t="s">
        <v>2</v>
      </c>
    </row>
    <row r="41" spans="1:10" ht="15" customHeight="1">
      <c r="A41" s="1">
        <v>234</v>
      </c>
      <c r="B41" s="1" t="s">
        <v>21</v>
      </c>
      <c r="C41" s="12">
        <v>3578</v>
      </c>
      <c r="D41" s="9">
        <v>77.599999999999994</v>
      </c>
      <c r="E41" s="9">
        <v>55.4</v>
      </c>
      <c r="F41" s="9">
        <v>31.9</v>
      </c>
      <c r="G41" s="9">
        <v>6.8</v>
      </c>
      <c r="H41" s="9">
        <v>4.5999999999999996</v>
      </c>
      <c r="I41" s="9">
        <v>1.3</v>
      </c>
      <c r="J41" s="8" t="s">
        <v>2</v>
      </c>
    </row>
    <row r="42" spans="1:10" ht="15" customHeight="1">
      <c r="B42" s="2" t="s">
        <v>22</v>
      </c>
      <c r="C42" s="12">
        <f>SUM(C38:C41)</f>
        <v>12212</v>
      </c>
      <c r="D42" s="9">
        <v>81.8</v>
      </c>
      <c r="E42" s="9">
        <v>66.3</v>
      </c>
      <c r="F42" s="9">
        <v>21.5</v>
      </c>
      <c r="G42" s="9">
        <v>6</v>
      </c>
      <c r="H42" s="9">
        <v>4.2</v>
      </c>
      <c r="I42" s="9">
        <v>2</v>
      </c>
      <c r="J42" s="8" t="s">
        <v>2</v>
      </c>
    </row>
    <row r="43" spans="1:10" ht="15" customHeight="1">
      <c r="C43" s="12" t="s">
        <v>6</v>
      </c>
      <c r="D43" s="9"/>
      <c r="E43" s="9"/>
      <c r="F43" s="9"/>
      <c r="G43" s="9"/>
      <c r="H43" s="9"/>
      <c r="I43" s="9"/>
      <c r="J43" s="8"/>
    </row>
    <row r="44" spans="1:10" ht="15" customHeight="1">
      <c r="A44" s="1">
        <v>241</v>
      </c>
      <c r="B44" s="1" t="s">
        <v>23</v>
      </c>
      <c r="C44" s="12">
        <v>9125</v>
      </c>
      <c r="D44" s="9">
        <v>77.599999999999994</v>
      </c>
      <c r="E44" s="9">
        <v>60.1</v>
      </c>
      <c r="F44" s="9">
        <v>25.5</v>
      </c>
      <c r="G44" s="9">
        <v>7</v>
      </c>
      <c r="H44" s="9">
        <v>4.8</v>
      </c>
      <c r="I44" s="9">
        <v>2.6</v>
      </c>
      <c r="J44" s="8" t="s">
        <v>2</v>
      </c>
    </row>
    <row r="45" spans="1:10" ht="15" customHeight="1">
      <c r="A45" s="1">
        <v>242</v>
      </c>
      <c r="B45" s="1" t="s">
        <v>24</v>
      </c>
      <c r="C45" s="12">
        <v>2755</v>
      </c>
      <c r="D45" s="9">
        <v>82</v>
      </c>
      <c r="E45" s="9">
        <v>71.900000000000006</v>
      </c>
      <c r="F45" s="9">
        <v>16.100000000000001</v>
      </c>
      <c r="G45" s="9">
        <v>4.8</v>
      </c>
      <c r="H45" s="9">
        <v>4</v>
      </c>
      <c r="I45" s="9">
        <v>3.2</v>
      </c>
      <c r="J45" s="8" t="s">
        <v>2</v>
      </c>
    </row>
    <row r="46" spans="1:10" ht="15" customHeight="1">
      <c r="B46" s="2" t="s">
        <v>25</v>
      </c>
      <c r="C46" s="12">
        <f>C44+C45</f>
        <v>11880</v>
      </c>
      <c r="D46" s="9">
        <v>78.7</v>
      </c>
      <c r="E46" s="9">
        <v>62.9</v>
      </c>
      <c r="F46" s="9">
        <v>23.3</v>
      </c>
      <c r="G46" s="9">
        <v>6.4</v>
      </c>
      <c r="H46" s="9">
        <v>4.7</v>
      </c>
      <c r="I46" s="9">
        <v>2.7</v>
      </c>
      <c r="J46" s="8" t="s">
        <v>2</v>
      </c>
    </row>
    <row r="47" spans="1:10" ht="15" customHeight="1">
      <c r="C47" s="12" t="s">
        <v>6</v>
      </c>
      <c r="D47" s="9"/>
      <c r="E47" s="9"/>
      <c r="F47" s="9"/>
      <c r="G47" s="9"/>
      <c r="H47" s="9"/>
      <c r="I47" s="9"/>
      <c r="J47" s="8"/>
    </row>
    <row r="48" spans="1:10" ht="15" customHeight="1">
      <c r="A48" s="1">
        <v>251</v>
      </c>
      <c r="B48" s="1" t="s">
        <v>26</v>
      </c>
      <c r="C48" s="12">
        <v>9711</v>
      </c>
      <c r="D48" s="9">
        <v>77.8</v>
      </c>
      <c r="E48" s="9">
        <v>67.2</v>
      </c>
      <c r="F48" s="9">
        <v>19.2</v>
      </c>
      <c r="G48" s="9">
        <v>6</v>
      </c>
      <c r="H48" s="9">
        <v>4.2</v>
      </c>
      <c r="I48" s="9">
        <v>3.5</v>
      </c>
      <c r="J48" s="8" t="s">
        <v>2</v>
      </c>
    </row>
    <row r="49" spans="1:10" ht="15" customHeight="1">
      <c r="A49" s="1">
        <v>252</v>
      </c>
      <c r="B49" s="1" t="s">
        <v>27</v>
      </c>
      <c r="C49" s="12">
        <v>3051</v>
      </c>
      <c r="D49" s="9">
        <v>78.2</v>
      </c>
      <c r="E49" s="9">
        <v>71.7</v>
      </c>
      <c r="F49" s="9">
        <v>15.3</v>
      </c>
      <c r="G49" s="9">
        <v>4.7</v>
      </c>
      <c r="H49" s="9">
        <v>3.9</v>
      </c>
      <c r="I49" s="9">
        <v>4.4000000000000004</v>
      </c>
      <c r="J49" s="8" t="s">
        <v>2</v>
      </c>
    </row>
    <row r="50" spans="1:10" ht="15" customHeight="1">
      <c r="B50" s="2" t="s">
        <v>28</v>
      </c>
      <c r="C50" s="12">
        <f>SUM(C48:C49)</f>
        <v>12762</v>
      </c>
      <c r="D50" s="9">
        <v>77.900000000000006</v>
      </c>
      <c r="E50" s="9">
        <v>68.3</v>
      </c>
      <c r="F50" s="9">
        <v>18.3</v>
      </c>
      <c r="G50" s="9">
        <v>5.7</v>
      </c>
      <c r="H50" s="9">
        <v>4.0999999999999996</v>
      </c>
      <c r="I50" s="9">
        <v>3.7</v>
      </c>
      <c r="J50" s="8" t="s">
        <v>2</v>
      </c>
    </row>
    <row r="51" spans="1:10" ht="15" customHeight="1">
      <c r="C51" s="12" t="s">
        <v>6</v>
      </c>
      <c r="D51" s="9"/>
      <c r="E51" s="9"/>
      <c r="F51" s="9"/>
      <c r="G51" s="9"/>
      <c r="H51" s="9"/>
      <c r="I51" s="9"/>
      <c r="J51" s="8"/>
    </row>
    <row r="52" spans="1:10" ht="15" customHeight="1">
      <c r="A52" s="1">
        <v>261</v>
      </c>
      <c r="B52" s="1" t="s">
        <v>29</v>
      </c>
      <c r="C52" s="12">
        <v>709</v>
      </c>
      <c r="D52" s="9">
        <v>79.400000000000006</v>
      </c>
      <c r="E52" s="9">
        <v>59.4</v>
      </c>
      <c r="F52" s="9">
        <v>24.1</v>
      </c>
      <c r="G52" s="9">
        <v>5.8</v>
      </c>
      <c r="H52" s="9">
        <v>8.6999999999999993</v>
      </c>
      <c r="I52" s="9">
        <v>2</v>
      </c>
      <c r="J52" s="8" t="s">
        <v>2</v>
      </c>
    </row>
    <row r="53" spans="1:10" ht="15" customHeight="1">
      <c r="A53" s="1">
        <v>271</v>
      </c>
      <c r="B53" s="1" t="s">
        <v>30</v>
      </c>
      <c r="C53" s="12">
        <v>269</v>
      </c>
      <c r="D53" s="9">
        <v>85.9</v>
      </c>
      <c r="E53" s="9">
        <v>48.9</v>
      </c>
      <c r="F53" s="9">
        <v>38</v>
      </c>
      <c r="G53" s="9">
        <v>6.6</v>
      </c>
      <c r="H53" s="9">
        <v>4.4000000000000004</v>
      </c>
      <c r="I53" s="9">
        <v>2.2000000000000002</v>
      </c>
      <c r="J53" s="8" t="s">
        <v>2</v>
      </c>
    </row>
    <row r="54" spans="1:10" ht="15" customHeight="1">
      <c r="C54" s="12" t="s">
        <v>6</v>
      </c>
      <c r="D54" s="9"/>
      <c r="E54" s="9"/>
      <c r="F54" s="9"/>
      <c r="G54" s="9"/>
      <c r="H54" s="9"/>
      <c r="I54" s="9"/>
      <c r="J54" s="8"/>
    </row>
    <row r="55" spans="1:10" ht="15" customHeight="1">
      <c r="B55" s="2" t="s">
        <v>31</v>
      </c>
      <c r="C55" s="12">
        <v>87129</v>
      </c>
      <c r="D55" s="9">
        <v>77.599999999999994</v>
      </c>
      <c r="E55" s="9">
        <v>60.1</v>
      </c>
      <c r="F55" s="9">
        <v>24.3</v>
      </c>
      <c r="G55" s="9">
        <v>7.5</v>
      </c>
      <c r="H55" s="9">
        <v>5.2</v>
      </c>
      <c r="I55" s="9">
        <v>2.8</v>
      </c>
      <c r="J55" s="8" t="s">
        <v>2</v>
      </c>
    </row>
    <row r="56" spans="1:10" ht="15" customHeight="1">
      <c r="C56" s="12" t="s">
        <v>6</v>
      </c>
      <c r="D56" s="9"/>
      <c r="E56" s="9"/>
      <c r="F56" s="9"/>
      <c r="G56" s="9"/>
      <c r="H56" s="9"/>
      <c r="I56" s="9"/>
      <c r="J56" s="8"/>
    </row>
    <row r="57" spans="1:10" ht="15" customHeight="1">
      <c r="A57" s="1">
        <v>311</v>
      </c>
      <c r="B57" s="1" t="s">
        <v>32</v>
      </c>
      <c r="C57" s="12">
        <v>15515</v>
      </c>
      <c r="D57" s="9">
        <v>73.8</v>
      </c>
      <c r="E57" s="9">
        <v>43.1</v>
      </c>
      <c r="F57" s="9">
        <v>34.700000000000003</v>
      </c>
      <c r="G57" s="9">
        <v>11.9</v>
      </c>
      <c r="H57" s="9">
        <v>8.1</v>
      </c>
      <c r="I57" s="9">
        <v>2.1</v>
      </c>
      <c r="J57" s="8" t="s">
        <v>2</v>
      </c>
    </row>
    <row r="58" spans="1:10" ht="15" customHeight="1">
      <c r="A58" s="1">
        <v>312</v>
      </c>
      <c r="B58" s="1" t="s">
        <v>33</v>
      </c>
      <c r="C58" s="12">
        <v>17125</v>
      </c>
      <c r="D58" s="9">
        <v>77.2</v>
      </c>
      <c r="E58" s="9">
        <v>43.2</v>
      </c>
      <c r="F58" s="9">
        <v>34.299999999999997</v>
      </c>
      <c r="G58" s="9">
        <v>12</v>
      </c>
      <c r="H58" s="9">
        <v>8.1999999999999993</v>
      </c>
      <c r="I58" s="9">
        <v>2.2999999999999998</v>
      </c>
      <c r="J58" s="8" t="s">
        <v>2</v>
      </c>
    </row>
    <row r="59" spans="1:10" ht="15" customHeight="1">
      <c r="B59" s="2" t="s">
        <v>34</v>
      </c>
      <c r="C59" s="12">
        <f>C57+C58</f>
        <v>32640</v>
      </c>
      <c r="D59" s="9">
        <v>75.5</v>
      </c>
      <c r="E59" s="9">
        <v>43.2</v>
      </c>
      <c r="F59" s="9">
        <v>34.5</v>
      </c>
      <c r="G59" s="9">
        <v>12</v>
      </c>
      <c r="H59" s="9">
        <v>8.1999999999999993</v>
      </c>
      <c r="I59" s="9">
        <v>2.2000000000000002</v>
      </c>
      <c r="J59" s="8" t="s">
        <v>2</v>
      </c>
    </row>
    <row r="60" spans="1:10" ht="15" customHeight="1">
      <c r="C60" s="12" t="s">
        <v>6</v>
      </c>
      <c r="D60" s="9"/>
      <c r="E60" s="9"/>
      <c r="F60" s="9"/>
      <c r="G60" s="9"/>
      <c r="H60" s="9"/>
      <c r="I60" s="9"/>
      <c r="J60" s="8"/>
    </row>
    <row r="61" spans="1:10" ht="15" customHeight="1">
      <c r="A61" s="1">
        <v>321</v>
      </c>
      <c r="B61" s="1" t="s">
        <v>35</v>
      </c>
      <c r="C61" s="12">
        <v>12912</v>
      </c>
      <c r="D61" s="9">
        <v>75.599999999999994</v>
      </c>
      <c r="E61" s="9">
        <v>27.5</v>
      </c>
      <c r="F61" s="9">
        <v>48.3</v>
      </c>
      <c r="G61" s="9">
        <v>15</v>
      </c>
      <c r="H61" s="9">
        <v>7.7</v>
      </c>
      <c r="I61" s="9">
        <v>1.5</v>
      </c>
      <c r="J61" s="8" t="s">
        <v>2</v>
      </c>
    </row>
    <row r="62" spans="1:10" ht="15" customHeight="1">
      <c r="A62" s="1">
        <v>322</v>
      </c>
      <c r="B62" s="1" t="s">
        <v>36</v>
      </c>
      <c r="C62" s="12">
        <v>22348</v>
      </c>
      <c r="D62" s="9">
        <v>77.3</v>
      </c>
      <c r="E62" s="9">
        <v>25.7</v>
      </c>
      <c r="F62" s="9">
        <v>50.2</v>
      </c>
      <c r="G62" s="9">
        <v>14.5</v>
      </c>
      <c r="H62" s="9">
        <v>8.1999999999999993</v>
      </c>
      <c r="I62" s="9">
        <v>1.4</v>
      </c>
      <c r="J62" s="8" t="s">
        <v>2</v>
      </c>
    </row>
    <row r="63" spans="1:10" ht="15" customHeight="1">
      <c r="B63" s="2" t="s">
        <v>37</v>
      </c>
      <c r="C63" s="12">
        <f>C61+C62</f>
        <v>35260</v>
      </c>
      <c r="D63" s="9">
        <v>76.7</v>
      </c>
      <c r="E63" s="9">
        <v>26.4</v>
      </c>
      <c r="F63" s="9">
        <v>49.5</v>
      </c>
      <c r="G63" s="9">
        <v>14.7</v>
      </c>
      <c r="H63" s="9">
        <v>8</v>
      </c>
      <c r="I63" s="9">
        <v>1.4</v>
      </c>
      <c r="J63" s="8" t="s">
        <v>2</v>
      </c>
    </row>
    <row r="64" spans="1:10" ht="15" customHeight="1">
      <c r="C64" s="12" t="s">
        <v>6</v>
      </c>
      <c r="D64" s="9"/>
      <c r="E64" s="9"/>
      <c r="F64" s="9"/>
      <c r="G64" s="9"/>
      <c r="H64" s="9"/>
      <c r="I64" s="9"/>
      <c r="J64" s="8"/>
    </row>
    <row r="65" spans="1:10" ht="15" customHeight="1">
      <c r="A65" s="1">
        <v>331</v>
      </c>
      <c r="B65" s="1" t="s">
        <v>38</v>
      </c>
      <c r="C65" s="12">
        <v>5364</v>
      </c>
      <c r="D65" s="9">
        <v>79.099999999999994</v>
      </c>
      <c r="E65" s="9">
        <v>56</v>
      </c>
      <c r="F65" s="9">
        <v>27.7</v>
      </c>
      <c r="G65" s="9">
        <v>8.6</v>
      </c>
      <c r="H65" s="9">
        <v>4.8</v>
      </c>
      <c r="I65" s="9">
        <v>2.9</v>
      </c>
      <c r="J65" s="8" t="s">
        <v>2</v>
      </c>
    </row>
    <row r="66" spans="1:10" ht="15" customHeight="1">
      <c r="A66" s="1">
        <v>332</v>
      </c>
      <c r="B66" s="1" t="s">
        <v>39</v>
      </c>
      <c r="C66" s="12">
        <v>7997</v>
      </c>
      <c r="D66" s="9">
        <v>77.8</v>
      </c>
      <c r="E66" s="9">
        <v>61.8</v>
      </c>
      <c r="F66" s="9">
        <v>26.6</v>
      </c>
      <c r="G66" s="9">
        <v>5.8</v>
      </c>
      <c r="H66" s="9">
        <v>3.9</v>
      </c>
      <c r="I66" s="9">
        <v>2</v>
      </c>
      <c r="J66" s="8" t="s">
        <v>2</v>
      </c>
    </row>
    <row r="67" spans="1:10" ht="15" customHeight="1">
      <c r="A67" s="1">
        <v>333</v>
      </c>
      <c r="B67" s="1" t="s">
        <v>40</v>
      </c>
      <c r="C67" s="12">
        <v>12140</v>
      </c>
      <c r="D67" s="9">
        <v>78.599999999999994</v>
      </c>
      <c r="E67" s="9">
        <v>62.2</v>
      </c>
      <c r="F67" s="9">
        <v>26.6</v>
      </c>
      <c r="G67" s="9">
        <v>5.4</v>
      </c>
      <c r="H67" s="9">
        <v>3.7</v>
      </c>
      <c r="I67" s="9">
        <v>2</v>
      </c>
      <c r="J67" s="8" t="s">
        <v>2</v>
      </c>
    </row>
    <row r="68" spans="1:10" ht="15" customHeight="1">
      <c r="B68" s="2" t="s">
        <v>41</v>
      </c>
      <c r="C68" s="12">
        <f>C65+C66+C67</f>
        <v>25501</v>
      </c>
      <c r="D68" s="9">
        <v>78.5</v>
      </c>
      <c r="E68" s="9">
        <v>60.7</v>
      </c>
      <c r="F68" s="9">
        <v>26.9</v>
      </c>
      <c r="G68" s="9">
        <v>6.2</v>
      </c>
      <c r="H68" s="9">
        <v>4</v>
      </c>
      <c r="I68" s="9">
        <v>2.2000000000000002</v>
      </c>
      <c r="J68" s="8" t="s">
        <v>2</v>
      </c>
    </row>
    <row r="69" spans="1:10" ht="15" customHeight="1">
      <c r="C69" s="12" t="s">
        <v>6</v>
      </c>
      <c r="D69" s="9"/>
      <c r="E69" s="9"/>
      <c r="F69" s="9"/>
      <c r="G69" s="9"/>
      <c r="H69" s="9"/>
      <c r="I69" s="9"/>
      <c r="J69" s="8"/>
    </row>
    <row r="70" spans="1:10" ht="15" customHeight="1">
      <c r="A70" s="1">
        <v>341</v>
      </c>
      <c r="B70" s="1" t="s">
        <v>42</v>
      </c>
      <c r="C70" s="12">
        <v>8754</v>
      </c>
      <c r="D70" s="9">
        <v>80.099999999999994</v>
      </c>
      <c r="E70" s="9">
        <v>43.9</v>
      </c>
      <c r="F70" s="9">
        <v>34.200000000000003</v>
      </c>
      <c r="G70" s="9">
        <v>12.7</v>
      </c>
      <c r="H70" s="9">
        <v>7.5</v>
      </c>
      <c r="I70" s="9">
        <v>1.7</v>
      </c>
      <c r="J70" s="8" t="s">
        <v>2</v>
      </c>
    </row>
    <row r="71" spans="1:10" ht="15" customHeight="1">
      <c r="B71" s="2" t="s">
        <v>43</v>
      </c>
      <c r="C71" s="12">
        <v>8754</v>
      </c>
      <c r="D71" s="9">
        <v>80.099999999999994</v>
      </c>
      <c r="E71" s="9">
        <v>43.9</v>
      </c>
      <c r="F71" s="9">
        <v>34.200000000000003</v>
      </c>
      <c r="G71" s="9">
        <v>12.7</v>
      </c>
      <c r="H71" s="9">
        <v>7.5</v>
      </c>
      <c r="I71" s="9">
        <v>1.7</v>
      </c>
      <c r="J71" s="8" t="s">
        <v>2</v>
      </c>
    </row>
    <row r="72" spans="1:10" ht="15" customHeight="1">
      <c r="C72" s="12"/>
      <c r="D72" s="9"/>
      <c r="E72" s="9"/>
      <c r="F72" s="9"/>
      <c r="G72" s="9"/>
      <c r="H72" s="9"/>
      <c r="I72" s="9"/>
      <c r="J72" s="8"/>
    </row>
    <row r="73" spans="1:10" ht="15" customHeight="1">
      <c r="A73">
        <v>351</v>
      </c>
      <c r="B73" s="3" t="s">
        <v>44</v>
      </c>
      <c r="C73" s="12">
        <v>2699</v>
      </c>
      <c r="D73" s="9">
        <v>80</v>
      </c>
      <c r="E73" s="9">
        <v>53.5</v>
      </c>
      <c r="F73" s="9">
        <v>29.5</v>
      </c>
      <c r="G73" s="9">
        <v>9.1</v>
      </c>
      <c r="H73" s="9">
        <v>6.6</v>
      </c>
      <c r="I73" s="9">
        <v>1.2</v>
      </c>
      <c r="J73" s="8" t="s">
        <v>2</v>
      </c>
    </row>
    <row r="74" spans="1:10" ht="15" customHeight="1">
      <c r="A74">
        <v>361</v>
      </c>
      <c r="B74" s="3" t="s">
        <v>45</v>
      </c>
      <c r="C74" s="12">
        <v>4495</v>
      </c>
      <c r="D74" s="9">
        <v>80.900000000000006</v>
      </c>
      <c r="E74" s="9">
        <v>37.9</v>
      </c>
      <c r="F74" s="9">
        <v>33.200000000000003</v>
      </c>
      <c r="G74" s="9">
        <v>19.3</v>
      </c>
      <c r="H74" s="9">
        <v>8.1</v>
      </c>
      <c r="I74" s="9">
        <v>1.5</v>
      </c>
      <c r="J74" s="8" t="s">
        <v>2</v>
      </c>
    </row>
    <row r="75" spans="1:10" ht="15" customHeight="1">
      <c r="C75" s="12"/>
      <c r="D75" s="9"/>
      <c r="E75" s="9"/>
      <c r="F75" s="9"/>
      <c r="G75" s="9"/>
      <c r="H75" s="9"/>
      <c r="I75" s="9"/>
      <c r="J75" s="8"/>
    </row>
    <row r="76" spans="1:10" ht="15" customHeight="1">
      <c r="A76" s="1">
        <v>371</v>
      </c>
      <c r="B76" s="1" t="s">
        <v>46</v>
      </c>
      <c r="C76" s="12">
        <v>9172</v>
      </c>
      <c r="D76" s="9">
        <v>82</v>
      </c>
      <c r="E76" s="9">
        <v>65.3</v>
      </c>
      <c r="F76" s="9">
        <v>20.7</v>
      </c>
      <c r="G76" s="9">
        <v>7</v>
      </c>
      <c r="H76" s="9">
        <v>4.5</v>
      </c>
      <c r="I76" s="9">
        <v>2.5</v>
      </c>
      <c r="J76" s="8" t="s">
        <v>2</v>
      </c>
    </row>
    <row r="77" spans="1:10" ht="15" customHeight="1">
      <c r="B77" s="2" t="s">
        <v>47</v>
      </c>
      <c r="C77" s="12">
        <v>9172</v>
      </c>
      <c r="D77" s="9">
        <v>82</v>
      </c>
      <c r="E77" s="9">
        <v>65.3</v>
      </c>
      <c r="F77" s="9">
        <v>20.7</v>
      </c>
      <c r="G77" s="9">
        <v>7</v>
      </c>
      <c r="H77" s="9">
        <v>4.5</v>
      </c>
      <c r="I77" s="9">
        <v>2.5</v>
      </c>
      <c r="J77" s="8" t="s">
        <v>2</v>
      </c>
    </row>
    <row r="78" spans="1:10" ht="15" customHeight="1">
      <c r="C78" s="12"/>
      <c r="D78" s="9"/>
      <c r="E78" s="9"/>
      <c r="F78" s="9"/>
      <c r="G78" s="9"/>
      <c r="H78" s="9"/>
      <c r="I78" s="9"/>
      <c r="J78" s="8"/>
    </row>
    <row r="79" spans="1:10" ht="15" customHeight="1">
      <c r="A79" s="1">
        <v>381</v>
      </c>
      <c r="B79" s="1" t="s">
        <v>48</v>
      </c>
      <c r="C79" s="12">
        <v>9430</v>
      </c>
      <c r="D79" s="9">
        <v>79</v>
      </c>
      <c r="E79" s="9">
        <v>64.2</v>
      </c>
      <c r="F79" s="9">
        <v>22.4</v>
      </c>
      <c r="G79" s="9">
        <v>6.2</v>
      </c>
      <c r="H79" s="9">
        <v>4.0999999999999996</v>
      </c>
      <c r="I79" s="9">
        <v>3.1</v>
      </c>
      <c r="J79" s="8" t="s">
        <v>2</v>
      </c>
    </row>
    <row r="80" spans="1:10" ht="15" customHeight="1">
      <c r="A80" s="1">
        <v>382</v>
      </c>
      <c r="B80" s="1" t="s">
        <v>49</v>
      </c>
      <c r="C80" s="12">
        <v>10790</v>
      </c>
      <c r="D80" s="9">
        <v>79.2</v>
      </c>
      <c r="E80" s="9">
        <v>58.7</v>
      </c>
      <c r="F80" s="9">
        <v>24.6</v>
      </c>
      <c r="G80" s="9">
        <v>8.1</v>
      </c>
      <c r="H80" s="9">
        <v>5.0999999999999996</v>
      </c>
      <c r="I80" s="9">
        <v>3.5</v>
      </c>
      <c r="J80" s="8" t="s">
        <v>2</v>
      </c>
    </row>
    <row r="81" spans="1:10" ht="15" customHeight="1">
      <c r="A81" s="1">
        <v>383</v>
      </c>
      <c r="B81" s="1" t="s">
        <v>50</v>
      </c>
      <c r="C81" s="12">
        <v>8109</v>
      </c>
      <c r="D81" s="9">
        <v>79.3</v>
      </c>
      <c r="E81" s="9">
        <v>62.1</v>
      </c>
      <c r="F81" s="9">
        <v>24.7</v>
      </c>
      <c r="G81" s="9">
        <v>6.5</v>
      </c>
      <c r="H81" s="9">
        <v>4.2</v>
      </c>
      <c r="I81" s="9">
        <v>2.6</v>
      </c>
      <c r="J81" s="8" t="s">
        <v>2</v>
      </c>
    </row>
    <row r="82" spans="1:10" ht="15" customHeight="1">
      <c r="A82" s="1">
        <v>384</v>
      </c>
      <c r="B82" s="1" t="s">
        <v>51</v>
      </c>
      <c r="C82" s="12">
        <v>3503</v>
      </c>
      <c r="D82" s="9">
        <v>58.3</v>
      </c>
      <c r="E82" s="9">
        <v>66.599999999999994</v>
      </c>
      <c r="F82" s="9">
        <v>20.2</v>
      </c>
      <c r="G82" s="9">
        <v>6.8</v>
      </c>
      <c r="H82" s="9">
        <v>4.2</v>
      </c>
      <c r="I82" s="9">
        <v>2.1</v>
      </c>
      <c r="J82" s="8" t="s">
        <v>2</v>
      </c>
    </row>
    <row r="83" spans="1:10" ht="15" customHeight="1">
      <c r="A83" s="1">
        <v>385</v>
      </c>
      <c r="B83" s="1" t="s">
        <v>52</v>
      </c>
      <c r="C83" s="12">
        <v>1589</v>
      </c>
      <c r="D83" s="9">
        <v>87.4</v>
      </c>
      <c r="E83" s="9">
        <v>65</v>
      </c>
      <c r="F83" s="9">
        <v>21.5</v>
      </c>
      <c r="G83" s="9">
        <v>8.6</v>
      </c>
      <c r="H83" s="9">
        <v>3.8</v>
      </c>
      <c r="I83" s="9">
        <v>1.1000000000000001</v>
      </c>
      <c r="J83" s="8" t="s">
        <v>2</v>
      </c>
    </row>
    <row r="84" spans="1:10" ht="15" customHeight="1">
      <c r="B84" s="2" t="s">
        <v>53</v>
      </c>
      <c r="C84" s="12">
        <v>33421</v>
      </c>
      <c r="D84" s="9">
        <v>80.400000000000006</v>
      </c>
      <c r="E84" s="9">
        <v>62.3</v>
      </c>
      <c r="F84" s="9">
        <v>23.4</v>
      </c>
      <c r="G84" s="9">
        <v>7.1</v>
      </c>
      <c r="H84" s="9">
        <v>4.4000000000000004</v>
      </c>
      <c r="I84" s="9">
        <v>2.9</v>
      </c>
      <c r="J84" s="8" t="s">
        <v>2</v>
      </c>
    </row>
    <row r="85" spans="1:10" ht="15" customHeight="1">
      <c r="C85" s="12"/>
      <c r="D85" s="9"/>
      <c r="E85" s="9"/>
      <c r="F85" s="9"/>
      <c r="G85" s="9"/>
      <c r="H85" s="9"/>
      <c r="I85" s="9"/>
      <c r="J85" s="8"/>
    </row>
    <row r="86" spans="1:10" ht="15" customHeight="1">
      <c r="B86" s="2" t="s">
        <v>54</v>
      </c>
      <c r="C86" s="12">
        <v>151942</v>
      </c>
      <c r="D86" s="9">
        <v>78.3</v>
      </c>
      <c r="E86" s="9">
        <v>48.4</v>
      </c>
      <c r="F86" s="9">
        <v>32.799999999999997</v>
      </c>
      <c r="G86" s="9">
        <v>10.3</v>
      </c>
      <c r="H86" s="9">
        <v>6.2</v>
      </c>
      <c r="I86" s="9">
        <v>2.1</v>
      </c>
      <c r="J86" s="8" t="s">
        <v>2</v>
      </c>
    </row>
    <row r="87" spans="1:10" ht="15" customHeight="1">
      <c r="C87" s="12"/>
      <c r="D87" s="9"/>
      <c r="E87" s="9"/>
      <c r="F87" s="9"/>
      <c r="G87" s="9"/>
      <c r="H87" s="9"/>
      <c r="I87" s="9"/>
      <c r="J87" s="8"/>
    </row>
    <row r="88" spans="1:10" ht="15" customHeight="1">
      <c r="A88" s="1">
        <v>411</v>
      </c>
      <c r="B88" s="1" t="s">
        <v>55</v>
      </c>
      <c r="C88" s="12">
        <v>457</v>
      </c>
      <c r="D88" s="9">
        <v>80.3</v>
      </c>
      <c r="E88" s="9">
        <v>32.700000000000003</v>
      </c>
      <c r="F88" s="9">
        <v>42.4</v>
      </c>
      <c r="G88" s="9">
        <v>14.3</v>
      </c>
      <c r="H88" s="9">
        <v>8</v>
      </c>
      <c r="I88" s="9">
        <v>2.6</v>
      </c>
      <c r="J88" s="8" t="s">
        <v>2</v>
      </c>
    </row>
    <row r="89" spans="1:10" ht="15" customHeight="1">
      <c r="C89" s="12"/>
      <c r="D89" s="9"/>
      <c r="E89" s="9"/>
      <c r="F89" s="9"/>
      <c r="G89" s="9"/>
      <c r="H89" s="9"/>
      <c r="I89" s="9"/>
      <c r="J89" s="8"/>
    </row>
    <row r="90" spans="1:10" ht="15" customHeight="1">
      <c r="A90" s="1">
        <v>421</v>
      </c>
      <c r="B90" s="1" t="s">
        <v>56</v>
      </c>
      <c r="C90" s="12">
        <v>26549</v>
      </c>
      <c r="D90" s="9">
        <v>78.599999999999994</v>
      </c>
      <c r="E90" s="9">
        <v>59.1</v>
      </c>
      <c r="F90" s="9">
        <v>24.7</v>
      </c>
      <c r="G90" s="9">
        <v>7.5</v>
      </c>
      <c r="H90" s="9">
        <v>5.3</v>
      </c>
      <c r="I90" s="9">
        <v>3.5</v>
      </c>
      <c r="J90" s="8" t="s">
        <v>2</v>
      </c>
    </row>
    <row r="91" spans="1:10" ht="15" customHeight="1">
      <c r="B91" s="2" t="s">
        <v>57</v>
      </c>
      <c r="C91" s="12">
        <v>26549</v>
      </c>
      <c r="D91" s="9">
        <v>78.599999999999994</v>
      </c>
      <c r="E91" s="9">
        <v>59.1</v>
      </c>
      <c r="F91" s="9">
        <v>24.7</v>
      </c>
      <c r="G91" s="9">
        <v>7.5</v>
      </c>
      <c r="H91" s="9">
        <v>5.3</v>
      </c>
      <c r="I91" s="9">
        <v>3.5</v>
      </c>
      <c r="J91" s="8" t="s">
        <v>2</v>
      </c>
    </row>
    <row r="92" spans="1:10" ht="15" customHeight="1">
      <c r="C92" s="12"/>
      <c r="D92" s="9"/>
      <c r="E92" s="9"/>
      <c r="F92" s="9"/>
      <c r="G92" s="9"/>
      <c r="H92" s="9"/>
      <c r="I92" s="9"/>
      <c r="J92" s="8"/>
    </row>
    <row r="93" spans="1:10" ht="15" customHeight="1">
      <c r="A93" s="1">
        <v>431</v>
      </c>
      <c r="B93" s="1" t="s">
        <v>58</v>
      </c>
      <c r="C93" s="12">
        <v>3760</v>
      </c>
      <c r="D93" s="9">
        <v>79.8</v>
      </c>
      <c r="E93" s="9">
        <v>55.7</v>
      </c>
      <c r="F93" s="9">
        <v>26.4</v>
      </c>
      <c r="G93" s="9">
        <v>7.9</v>
      </c>
      <c r="H93" s="9">
        <v>6.5</v>
      </c>
      <c r="I93" s="9">
        <v>3.6</v>
      </c>
      <c r="J93" s="8" t="s">
        <v>2</v>
      </c>
    </row>
    <row r="94" spans="1:10" ht="15" customHeight="1">
      <c r="A94" s="1">
        <v>432</v>
      </c>
      <c r="B94" s="1" t="s">
        <v>59</v>
      </c>
      <c r="C94" s="12">
        <v>21510</v>
      </c>
      <c r="D94" s="9">
        <v>78.099999999999994</v>
      </c>
      <c r="E94" s="9">
        <v>61.2</v>
      </c>
      <c r="F94" s="9">
        <v>22.8</v>
      </c>
      <c r="G94" s="9">
        <v>7.3</v>
      </c>
      <c r="H94" s="9">
        <v>4.9000000000000004</v>
      </c>
      <c r="I94" s="9">
        <v>3.9</v>
      </c>
      <c r="J94" s="8" t="s">
        <v>2</v>
      </c>
    </row>
    <row r="95" spans="1:10" ht="15" customHeight="1">
      <c r="A95" s="1">
        <v>433</v>
      </c>
      <c r="B95" s="1" t="s">
        <v>60</v>
      </c>
      <c r="C95" s="12">
        <v>9881</v>
      </c>
      <c r="D95" s="9">
        <v>77.2</v>
      </c>
      <c r="E95" s="9">
        <v>68.3</v>
      </c>
      <c r="F95" s="9">
        <v>17.3</v>
      </c>
      <c r="G95" s="9">
        <v>4.8</v>
      </c>
      <c r="H95" s="9">
        <v>3.3</v>
      </c>
      <c r="I95" s="9">
        <v>6.3</v>
      </c>
      <c r="J95" s="8" t="s">
        <v>2</v>
      </c>
    </row>
    <row r="96" spans="1:10" ht="15" customHeight="1">
      <c r="B96" s="2" t="s">
        <v>61</v>
      </c>
      <c r="C96" s="12">
        <v>35151</v>
      </c>
      <c r="D96" s="9">
        <v>78</v>
      </c>
      <c r="E96" s="9">
        <v>62.6</v>
      </c>
      <c r="F96" s="9">
        <v>21.6</v>
      </c>
      <c r="G96" s="9">
        <v>6.6</v>
      </c>
      <c r="H96" s="9">
        <v>4.5999999999999996</v>
      </c>
      <c r="I96" s="9">
        <v>4.5</v>
      </c>
      <c r="J96" s="8" t="s">
        <v>2</v>
      </c>
    </row>
    <row r="97" spans="1:10" ht="15" customHeight="1">
      <c r="C97" s="12"/>
      <c r="D97" s="9"/>
      <c r="E97" s="9"/>
      <c r="F97" s="9"/>
      <c r="G97" s="9"/>
      <c r="H97" s="9"/>
      <c r="I97" s="9"/>
      <c r="J97" s="8"/>
    </row>
    <row r="98" spans="1:10" ht="15" customHeight="1">
      <c r="A98" s="1">
        <v>441</v>
      </c>
      <c r="B98" s="1" t="s">
        <v>62</v>
      </c>
      <c r="C98" s="12">
        <v>25143</v>
      </c>
      <c r="D98" s="9">
        <v>76.2</v>
      </c>
      <c r="E98" s="9">
        <v>69.099999999999994</v>
      </c>
      <c r="F98" s="9">
        <v>17.899999999999999</v>
      </c>
      <c r="G98" s="9">
        <v>4.7</v>
      </c>
      <c r="H98" s="9">
        <v>3.2</v>
      </c>
      <c r="I98" s="9">
        <v>5.0999999999999996</v>
      </c>
      <c r="J98" s="8" t="s">
        <v>2</v>
      </c>
    </row>
    <row r="99" spans="1:10" ht="15" customHeight="1">
      <c r="A99" s="1">
        <v>442</v>
      </c>
      <c r="B99" s="1" t="s">
        <v>63</v>
      </c>
      <c r="C99" s="12">
        <v>7616</v>
      </c>
      <c r="D99" s="9">
        <v>76.400000000000006</v>
      </c>
      <c r="E99" s="9">
        <v>71.7</v>
      </c>
      <c r="F99" s="9">
        <v>16.399999999999999</v>
      </c>
      <c r="G99" s="9">
        <v>4.0999999999999996</v>
      </c>
      <c r="H99" s="9">
        <v>3.6</v>
      </c>
      <c r="I99" s="9">
        <v>4.0999999999999996</v>
      </c>
      <c r="J99" s="8" t="s">
        <v>2</v>
      </c>
    </row>
    <row r="100" spans="1:10" ht="15" customHeight="1">
      <c r="B100" s="2" t="s">
        <v>64</v>
      </c>
      <c r="C100" s="12">
        <v>32759</v>
      </c>
      <c r="D100" s="9">
        <v>76.3</v>
      </c>
      <c r="E100" s="9">
        <v>69.7</v>
      </c>
      <c r="F100" s="9">
        <v>17.600000000000001</v>
      </c>
      <c r="G100" s="9">
        <v>4.5999999999999996</v>
      </c>
      <c r="H100" s="9">
        <v>3.3</v>
      </c>
      <c r="I100" s="9">
        <v>4.9000000000000004</v>
      </c>
      <c r="J100" s="8" t="s">
        <v>2</v>
      </c>
    </row>
    <row r="101" spans="1:10" ht="15" customHeight="1">
      <c r="C101" s="12"/>
      <c r="D101" s="9"/>
      <c r="E101" s="9"/>
      <c r="F101" s="9"/>
      <c r="G101" s="9"/>
      <c r="H101" s="9"/>
      <c r="I101" s="9"/>
      <c r="J101" s="8"/>
    </row>
    <row r="102" spans="1:10" ht="15" customHeight="1">
      <c r="B102" s="2" t="s">
        <v>65</v>
      </c>
      <c r="C102" s="12">
        <v>94916</v>
      </c>
      <c r="D102" s="9">
        <v>77.599999999999994</v>
      </c>
      <c r="E102" s="9">
        <v>63.9</v>
      </c>
      <c r="F102" s="9">
        <v>21.2</v>
      </c>
      <c r="G102" s="9">
        <v>6.2</v>
      </c>
      <c r="H102" s="9">
        <v>4.4000000000000004</v>
      </c>
      <c r="I102" s="9">
        <v>4.4000000000000004</v>
      </c>
      <c r="J102" s="8" t="s">
        <v>2</v>
      </c>
    </row>
    <row r="103" spans="1:10" ht="15" customHeight="1">
      <c r="C103" s="12"/>
      <c r="D103" s="9"/>
      <c r="E103" s="9"/>
      <c r="F103" s="9"/>
      <c r="G103" s="9"/>
      <c r="H103" s="9"/>
      <c r="I103" s="9"/>
      <c r="J103" s="8"/>
    </row>
    <row r="104" spans="1:10" ht="15" customHeight="1">
      <c r="A104" s="1">
        <v>511</v>
      </c>
      <c r="B104" s="1" t="s">
        <v>66</v>
      </c>
      <c r="C104" s="12">
        <v>4495</v>
      </c>
      <c r="D104" s="9">
        <v>74.099999999999994</v>
      </c>
      <c r="E104" s="9">
        <v>67.2</v>
      </c>
      <c r="F104" s="9">
        <v>20.5</v>
      </c>
      <c r="G104" s="9">
        <v>4.8</v>
      </c>
      <c r="H104" s="9">
        <v>4.4000000000000004</v>
      </c>
      <c r="I104" s="9">
        <v>3.1</v>
      </c>
      <c r="J104" s="8" t="s">
        <v>2</v>
      </c>
    </row>
    <row r="105" spans="1:10" ht="15" customHeight="1">
      <c r="A105" s="1">
        <v>512</v>
      </c>
      <c r="B105" s="1" t="s">
        <v>67</v>
      </c>
      <c r="C105" s="12">
        <v>307</v>
      </c>
      <c r="D105" s="9">
        <v>73.8</v>
      </c>
      <c r="E105" s="9">
        <v>47.7</v>
      </c>
      <c r="F105" s="9">
        <v>33.9</v>
      </c>
      <c r="G105" s="9">
        <v>7.8</v>
      </c>
      <c r="H105" s="9">
        <v>10.1</v>
      </c>
      <c r="I105" s="10">
        <v>0.5</v>
      </c>
      <c r="J105" s="8" t="s">
        <v>2</v>
      </c>
    </row>
    <row r="106" spans="1:10" ht="15" customHeight="1">
      <c r="A106" s="1">
        <v>513</v>
      </c>
      <c r="B106" s="1" t="s">
        <v>68</v>
      </c>
      <c r="C106" s="12">
        <v>15197</v>
      </c>
      <c r="D106" s="9">
        <v>75.7</v>
      </c>
      <c r="E106" s="9">
        <v>51.3</v>
      </c>
      <c r="F106" s="9">
        <v>32.1</v>
      </c>
      <c r="G106" s="9">
        <v>8.6999999999999993</v>
      </c>
      <c r="H106" s="9">
        <v>5.4</v>
      </c>
      <c r="I106" s="9">
        <v>2.5</v>
      </c>
      <c r="J106" s="8" t="s">
        <v>2</v>
      </c>
    </row>
    <row r="107" spans="1:10" ht="15" customHeight="1">
      <c r="B107" s="4" t="s">
        <v>69</v>
      </c>
      <c r="C107" s="12">
        <v>19999</v>
      </c>
      <c r="D107" s="9">
        <v>75.3</v>
      </c>
      <c r="E107" s="9">
        <v>54.8</v>
      </c>
      <c r="F107" s="9">
        <v>29.5</v>
      </c>
      <c r="G107" s="9">
        <v>7.8</v>
      </c>
      <c r="H107" s="9">
        <v>5.2</v>
      </c>
      <c r="I107" s="9">
        <v>2.6</v>
      </c>
      <c r="J107" s="8" t="s">
        <v>2</v>
      </c>
    </row>
    <row r="108" spans="1:10" ht="15" customHeight="1">
      <c r="C108" s="12"/>
      <c r="D108" s="9"/>
      <c r="E108" s="9"/>
      <c r="F108" s="9"/>
      <c r="G108" s="9"/>
      <c r="H108" s="9"/>
      <c r="I108" s="9"/>
      <c r="J108" s="8"/>
    </row>
    <row r="109" spans="1:10" ht="15" customHeight="1">
      <c r="A109" s="1">
        <v>521</v>
      </c>
      <c r="B109" s="1" t="s">
        <v>70</v>
      </c>
      <c r="C109" s="12">
        <v>3407</v>
      </c>
      <c r="D109" s="9">
        <v>76.900000000000006</v>
      </c>
      <c r="E109" s="9">
        <v>40.1</v>
      </c>
      <c r="F109" s="9">
        <v>39.700000000000003</v>
      </c>
      <c r="G109" s="9">
        <v>11.2</v>
      </c>
      <c r="H109" s="9">
        <v>7.6</v>
      </c>
      <c r="I109" s="9">
        <v>1.4</v>
      </c>
      <c r="J109" s="8" t="s">
        <v>2</v>
      </c>
    </row>
    <row r="110" spans="1:10" ht="15" customHeight="1">
      <c r="A110" s="1">
        <v>522</v>
      </c>
      <c r="B110" s="1" t="s">
        <v>71</v>
      </c>
      <c r="C110" s="12">
        <v>4427</v>
      </c>
      <c r="D110" s="9">
        <v>76.8</v>
      </c>
      <c r="E110" s="9">
        <v>60.4</v>
      </c>
      <c r="F110" s="9">
        <v>27.9</v>
      </c>
      <c r="G110" s="9">
        <v>5.3</v>
      </c>
      <c r="H110" s="9">
        <v>3.6</v>
      </c>
      <c r="I110" s="9">
        <v>2.8</v>
      </c>
      <c r="J110" s="8" t="s">
        <v>2</v>
      </c>
    </row>
    <row r="111" spans="1:10" ht="15" customHeight="1">
      <c r="A111" s="1">
        <v>523</v>
      </c>
      <c r="B111" s="1" t="s">
        <v>72</v>
      </c>
      <c r="C111" s="12">
        <v>2308</v>
      </c>
      <c r="D111" s="9">
        <v>79.2</v>
      </c>
      <c r="E111" s="9">
        <v>53.8</v>
      </c>
      <c r="F111" s="9">
        <v>29.2</v>
      </c>
      <c r="G111" s="9">
        <v>6.9</v>
      </c>
      <c r="H111" s="9">
        <v>6.2</v>
      </c>
      <c r="I111" s="9">
        <v>4</v>
      </c>
      <c r="J111" s="8" t="s">
        <v>2</v>
      </c>
    </row>
    <row r="112" spans="1:10" ht="15" customHeight="1">
      <c r="A112" s="1">
        <v>524</v>
      </c>
      <c r="B112" s="1" t="s">
        <v>73</v>
      </c>
      <c r="C112" s="12">
        <v>8999</v>
      </c>
      <c r="D112" s="9">
        <v>78.3</v>
      </c>
      <c r="E112" s="9">
        <v>62.4</v>
      </c>
      <c r="F112" s="9">
        <v>26.3</v>
      </c>
      <c r="G112" s="9">
        <v>4.5</v>
      </c>
      <c r="H112" s="9">
        <v>3.8</v>
      </c>
      <c r="I112" s="9">
        <v>3</v>
      </c>
      <c r="J112" s="8" t="s">
        <v>2</v>
      </c>
    </row>
    <row r="113" spans="1:10" ht="15" customHeight="1">
      <c r="A113" s="1">
        <v>525</v>
      </c>
      <c r="B113" s="1" t="s">
        <v>74</v>
      </c>
      <c r="C113" s="12">
        <v>6437</v>
      </c>
      <c r="D113" s="9">
        <v>78.3</v>
      </c>
      <c r="E113" s="9">
        <v>61.5</v>
      </c>
      <c r="F113" s="9">
        <v>27.3</v>
      </c>
      <c r="G113" s="9">
        <v>4.7</v>
      </c>
      <c r="H113" s="9">
        <v>3.8</v>
      </c>
      <c r="I113" s="9">
        <v>2.7</v>
      </c>
      <c r="J113" s="8" t="s">
        <v>2</v>
      </c>
    </row>
    <row r="114" spans="1:10" ht="15" customHeight="1">
      <c r="B114" s="2" t="s">
        <v>75</v>
      </c>
      <c r="C114" s="12">
        <v>25578</v>
      </c>
      <c r="D114" s="9">
        <v>78</v>
      </c>
      <c r="E114" s="9">
        <v>58.2</v>
      </c>
      <c r="F114" s="9">
        <v>28.8</v>
      </c>
      <c r="G114" s="9">
        <v>5.8</v>
      </c>
      <c r="H114" s="9">
        <v>4.5</v>
      </c>
      <c r="I114" s="9">
        <v>2.8</v>
      </c>
      <c r="J114" s="8" t="s">
        <v>2</v>
      </c>
    </row>
    <row r="115" spans="1:10" ht="15" customHeight="1">
      <c r="C115" s="12"/>
      <c r="D115" s="9"/>
      <c r="E115" s="9"/>
      <c r="F115" s="9"/>
      <c r="G115" s="9"/>
      <c r="H115" s="9"/>
      <c r="I115" s="9"/>
      <c r="J115" s="8"/>
    </row>
    <row r="116" spans="1:10" ht="15" customHeight="1">
      <c r="A116" s="1">
        <v>531</v>
      </c>
      <c r="B116" s="1" t="s">
        <v>76</v>
      </c>
      <c r="C116" s="12">
        <v>18246</v>
      </c>
      <c r="D116" s="9">
        <v>78.2</v>
      </c>
      <c r="E116" s="9">
        <v>54.9</v>
      </c>
      <c r="F116" s="9">
        <v>32.799999999999997</v>
      </c>
      <c r="G116" s="9">
        <v>5.0999999999999996</v>
      </c>
      <c r="H116" s="9">
        <v>4.3</v>
      </c>
      <c r="I116" s="9">
        <v>2.9</v>
      </c>
      <c r="J116" s="8" t="s">
        <v>2</v>
      </c>
    </row>
    <row r="117" spans="1:10" ht="15" customHeight="1">
      <c r="A117" s="1">
        <v>532</v>
      </c>
      <c r="B117" s="1" t="s">
        <v>77</v>
      </c>
      <c r="C117" s="12">
        <v>4524</v>
      </c>
      <c r="D117" s="9">
        <v>78.599999999999994</v>
      </c>
      <c r="E117" s="9">
        <v>59.4</v>
      </c>
      <c r="F117" s="9">
        <v>28.6</v>
      </c>
      <c r="G117" s="9">
        <v>4.8</v>
      </c>
      <c r="H117" s="9">
        <v>5</v>
      </c>
      <c r="I117" s="9">
        <v>2.2000000000000002</v>
      </c>
      <c r="J117" s="8" t="s">
        <v>2</v>
      </c>
    </row>
    <row r="118" spans="1:10" ht="15" customHeight="1">
      <c r="B118" s="2" t="s">
        <v>78</v>
      </c>
      <c r="C118" s="12">
        <v>22770</v>
      </c>
      <c r="D118" s="9">
        <v>78.3</v>
      </c>
      <c r="E118" s="9">
        <v>55.8</v>
      </c>
      <c r="F118" s="9">
        <v>32</v>
      </c>
      <c r="G118" s="9">
        <v>5</v>
      </c>
      <c r="H118" s="9">
        <v>4.5</v>
      </c>
      <c r="I118" s="9">
        <v>2.7</v>
      </c>
      <c r="J118" s="8" t="s">
        <v>2</v>
      </c>
    </row>
    <row r="119" spans="1:10" ht="15" customHeight="1">
      <c r="C119" s="12"/>
      <c r="D119" s="9"/>
      <c r="E119" s="9"/>
      <c r="F119" s="9"/>
      <c r="G119" s="9"/>
      <c r="H119" s="9"/>
      <c r="I119" s="9"/>
      <c r="J119" s="8"/>
    </row>
    <row r="120" spans="1:10" ht="15" customHeight="1">
      <c r="B120" s="2" t="s">
        <v>79</v>
      </c>
      <c r="C120" s="12">
        <v>68347</v>
      </c>
      <c r="D120" s="9">
        <v>77.3</v>
      </c>
      <c r="E120" s="9">
        <v>56.4</v>
      </c>
      <c r="F120" s="9">
        <v>30.1</v>
      </c>
      <c r="G120" s="9">
        <v>6.1</v>
      </c>
      <c r="H120" s="9">
        <v>4.7</v>
      </c>
      <c r="I120" s="9">
        <v>2.7</v>
      </c>
      <c r="J120" s="8" t="s">
        <v>2</v>
      </c>
    </row>
    <row r="121" spans="1:10" ht="15" customHeight="1">
      <c r="C121" s="12"/>
      <c r="D121" s="9"/>
      <c r="E121" s="9"/>
      <c r="F121" s="9"/>
      <c r="G121" s="9"/>
      <c r="H121" s="9"/>
      <c r="I121" s="9"/>
      <c r="J121" s="8"/>
    </row>
    <row r="122" spans="1:10" ht="15" customHeight="1">
      <c r="B122" s="2" t="s">
        <v>80</v>
      </c>
      <c r="C122" s="12">
        <v>420325</v>
      </c>
      <c r="D122" s="9">
        <v>78.2</v>
      </c>
      <c r="E122" s="9">
        <v>54.6</v>
      </c>
      <c r="F122" s="9">
        <v>28.7</v>
      </c>
      <c r="G122" s="9">
        <v>8.5</v>
      </c>
      <c r="H122" s="9">
        <v>5.3</v>
      </c>
      <c r="I122" s="9">
        <v>2.8</v>
      </c>
      <c r="J122" s="8" t="s">
        <v>2</v>
      </c>
    </row>
    <row r="123" spans="1:10" ht="15" customHeight="1">
      <c r="B123" s="1" t="s">
        <v>81</v>
      </c>
      <c r="C123" s="12" t="s">
        <v>6</v>
      </c>
      <c r="D123" s="9"/>
      <c r="E123" s="9"/>
      <c r="F123" s="9"/>
      <c r="G123" s="9"/>
      <c r="H123" s="9"/>
      <c r="I123" s="9"/>
      <c r="J123" s="8"/>
    </row>
    <row r="124" spans="1:10" ht="15" customHeight="1">
      <c r="B124" s="1" t="s">
        <v>82</v>
      </c>
      <c r="C124" s="12">
        <v>15284</v>
      </c>
      <c r="D124" s="8">
        <v>94.4</v>
      </c>
      <c r="E124" s="8">
        <v>38.799999999999997</v>
      </c>
      <c r="F124" s="8">
        <v>40.1</v>
      </c>
      <c r="G124" s="8">
        <v>15.2</v>
      </c>
      <c r="H124" s="8">
        <v>4.3</v>
      </c>
      <c r="I124" s="9">
        <v>1.7</v>
      </c>
      <c r="J124" s="8" t="s">
        <v>2</v>
      </c>
    </row>
    <row r="125" spans="1:10" ht="15" customHeight="1">
      <c r="C125" s="12"/>
      <c r="D125" s="9"/>
      <c r="E125" s="9"/>
      <c r="F125" s="9"/>
      <c r="G125" s="9"/>
      <c r="H125" s="9"/>
      <c r="I125" s="9"/>
      <c r="J125" s="8"/>
    </row>
    <row r="126" spans="1:10" ht="15" customHeight="1">
      <c r="B126" s="2" t="s">
        <v>83</v>
      </c>
      <c r="C126" s="12">
        <v>104378</v>
      </c>
      <c r="D126" s="9">
        <v>67.8</v>
      </c>
      <c r="E126" s="9">
        <v>55.1</v>
      </c>
      <c r="F126" s="9">
        <v>29.8</v>
      </c>
      <c r="G126" s="9">
        <v>7.6</v>
      </c>
      <c r="H126" s="9">
        <v>4.4000000000000004</v>
      </c>
      <c r="I126" s="9">
        <v>2</v>
      </c>
      <c r="J126" s="9">
        <v>1</v>
      </c>
    </row>
    <row r="127" spans="1:10" ht="15" customHeight="1">
      <c r="C127" s="12"/>
      <c r="D127" s="9"/>
      <c r="E127" s="9"/>
      <c r="F127" s="9"/>
      <c r="G127" s="9"/>
      <c r="H127" s="9"/>
      <c r="I127" s="9"/>
      <c r="J127" s="8"/>
    </row>
    <row r="128" spans="1:10" ht="15" customHeight="1">
      <c r="B128" s="13" t="s">
        <v>84</v>
      </c>
      <c r="C128" s="12">
        <v>524703</v>
      </c>
      <c r="D128" s="9">
        <v>76.099999999999994</v>
      </c>
      <c r="E128" s="9">
        <v>54.7</v>
      </c>
      <c r="F128" s="9">
        <v>28.9</v>
      </c>
      <c r="G128" s="9">
        <v>8.4</v>
      </c>
      <c r="H128" s="9">
        <v>5.2</v>
      </c>
      <c r="I128" s="9">
        <v>2.7</v>
      </c>
      <c r="J128" s="8">
        <v>0.2</v>
      </c>
    </row>
    <row r="129" spans="1:9" ht="15" customHeight="1">
      <c r="D129" s="6"/>
      <c r="E129" s="5"/>
      <c r="F129" s="5"/>
      <c r="G129" s="5"/>
      <c r="H129" s="5"/>
      <c r="I129" s="5"/>
    </row>
    <row r="130" spans="1:9" ht="15" customHeight="1">
      <c r="D130" s="5"/>
      <c r="E130" s="5"/>
      <c r="F130" s="5"/>
      <c r="G130" s="5"/>
      <c r="H130" s="5"/>
      <c r="I130" s="5"/>
    </row>
    <row r="131" spans="1:9" ht="15" customHeight="1"/>
    <row r="132" spans="1:9" ht="15" customHeight="1">
      <c r="A132" s="11" t="s">
        <v>85</v>
      </c>
      <c r="B132" s="11"/>
    </row>
    <row r="133" spans="1:9" ht="15" customHeight="1">
      <c r="A133" s="1" t="s">
        <v>86</v>
      </c>
    </row>
    <row r="134" spans="1:9" ht="15" customHeight="1">
      <c r="A134" s="1" t="s">
        <v>87</v>
      </c>
    </row>
    <row r="135" spans="1:9" ht="15" customHeight="1">
      <c r="A135" s="1" t="s">
        <v>88</v>
      </c>
    </row>
    <row r="136" spans="1:9" ht="15" customHeight="1">
      <c r="A136" s="1" t="s">
        <v>89</v>
      </c>
    </row>
    <row r="137" spans="1:9" ht="15" customHeight="1">
      <c r="A137" s="1" t="s">
        <v>90</v>
      </c>
    </row>
    <row r="138" spans="1:9" ht="15" customHeight="1"/>
    <row r="139" spans="1:9" ht="15" customHeight="1"/>
    <row r="140" spans="1:9" ht="15" customHeight="1"/>
    <row r="141" spans="1:9" ht="15" customHeight="1"/>
    <row r="142" spans="1:9" ht="15" customHeight="1"/>
    <row r="143" spans="1:9" ht="15" customHeight="1"/>
  </sheetData>
  <printOptions horizontalCentered="1"/>
  <pageMargins left="0.39370078740157483" right="0.39370078740157483" top="0.43307086614173229" bottom="0.59055118110236227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2026-03-20T20:14:33Z</dcterms:created>
  <dcterms:modified xsi:type="dcterms:W3CDTF">2026-03-20T20:14:33Z</dcterms:modified>
</cp:coreProperties>
</file>