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ncentheddesheimer/Princeton Dropbox/Vincent Heddesheimer/german_election_data/data/state_elections/raw/Landtagswahlen/Bremen/"/>
    </mc:Choice>
  </mc:AlternateContent>
  <xr:revisionPtr revIDLastSave="0" documentId="8_{9423C67F-22B7-4845-AC96-56CAEBB36994}" xr6:coauthVersionLast="47" xr6:coauthVersionMax="47" xr10:uidLastSave="{00000000-0000-0000-0000-000000000000}"/>
  <bookViews>
    <workbookView xWindow="0" yWindow="660" windowWidth="30240" windowHeight="17520" xr2:uid="{791AB3CC-F198-9D4D-A025-8937B2FC93D1}"/>
  </bookViews>
  <sheets>
    <sheet name="Bremen_Bürgerschaft_1979" sheetId="1" r:id="rId1"/>
  </sheets>
  <calcPr calcId="0" refMode="R1C1"/>
</workbook>
</file>

<file path=xl/calcChain.xml><?xml version="1.0" encoding="utf-8"?>
<calcChain xmlns="http://schemas.openxmlformats.org/spreadsheetml/2006/main">
  <c r="K16" i="1" l="1"/>
  <c r="K17" i="1"/>
  <c r="K18" i="1"/>
  <c r="C19" i="1"/>
  <c r="K19" i="1"/>
  <c r="K29" i="1"/>
  <c r="K31" i="1"/>
  <c r="K32" i="1"/>
  <c r="K33" i="1"/>
  <c r="K34" i="1"/>
  <c r="K35" i="1"/>
  <c r="K36" i="1"/>
  <c r="K37" i="1"/>
  <c r="C39" i="1"/>
  <c r="K39" i="1"/>
  <c r="K41" i="1"/>
  <c r="K43" i="1"/>
  <c r="K44" i="1"/>
  <c r="C45" i="1"/>
  <c r="K45" i="1"/>
  <c r="K47" i="1"/>
  <c r="K48" i="1"/>
  <c r="K49" i="1"/>
  <c r="K50" i="1"/>
  <c r="C51" i="1"/>
  <c r="K51" i="1"/>
  <c r="K53" i="1"/>
  <c r="C55" i="1"/>
  <c r="K55" i="1"/>
  <c r="K57" i="1"/>
  <c r="K62" i="1"/>
  <c r="K63" i="1"/>
  <c r="K64" i="1"/>
  <c r="K65" i="1"/>
  <c r="C66" i="1"/>
  <c r="K66" i="1"/>
  <c r="K68" i="1"/>
  <c r="K69" i="1"/>
  <c r="K70" i="1"/>
  <c r="K71" i="1"/>
  <c r="K72" i="1"/>
  <c r="K73" i="1"/>
  <c r="K74" i="1"/>
  <c r="C75" i="1"/>
  <c r="K75" i="1"/>
  <c r="K77" i="1"/>
  <c r="K78" i="1"/>
  <c r="K79" i="1"/>
  <c r="K80" i="1"/>
  <c r="C81" i="1"/>
  <c r="K81" i="1"/>
  <c r="K83" i="1"/>
  <c r="K84" i="1"/>
  <c r="K85" i="1"/>
  <c r="C86" i="1"/>
  <c r="K86" i="1"/>
  <c r="K88" i="1"/>
  <c r="K89" i="1"/>
  <c r="K91" i="1"/>
  <c r="K93" i="1"/>
  <c r="K94" i="1"/>
  <c r="K95" i="1"/>
  <c r="C96" i="1"/>
  <c r="K96" i="1"/>
  <c r="K98" i="1"/>
  <c r="K99" i="1"/>
  <c r="K100" i="1"/>
  <c r="K101" i="1"/>
  <c r="C103" i="1"/>
  <c r="K103" i="1"/>
  <c r="K109" i="1"/>
  <c r="K110" i="1"/>
  <c r="K111" i="1"/>
  <c r="C113" i="1"/>
  <c r="K113" i="1"/>
  <c r="K115" i="1"/>
  <c r="K116" i="1"/>
  <c r="K117" i="1"/>
  <c r="K118" i="1"/>
  <c r="K119" i="1"/>
  <c r="C121" i="1"/>
  <c r="K121" i="1"/>
  <c r="K123" i="1"/>
  <c r="K124" i="1"/>
  <c r="K125" i="1"/>
  <c r="K126" i="1"/>
  <c r="C128" i="1"/>
  <c r="K128" i="1"/>
  <c r="K132" i="1"/>
  <c r="K134" i="1"/>
  <c r="K135" i="1"/>
  <c r="K136" i="1"/>
  <c r="C137" i="1"/>
  <c r="K137" i="1"/>
  <c r="K139" i="1"/>
  <c r="K140" i="1"/>
  <c r="K141" i="1"/>
  <c r="K142" i="1"/>
  <c r="K143" i="1"/>
  <c r="C144" i="1"/>
  <c r="K144" i="1"/>
  <c r="K146" i="1"/>
  <c r="K147" i="1"/>
  <c r="K148" i="1"/>
  <c r="K149" i="1"/>
  <c r="C151" i="1"/>
  <c r="K151" i="1"/>
</calcChain>
</file>

<file path=xl/sharedStrings.xml><?xml version="1.0" encoding="utf-8"?>
<sst xmlns="http://schemas.openxmlformats.org/spreadsheetml/2006/main" count="255" uniqueCount="127">
  <si>
    <t>Tabelle 23</t>
  </si>
  <si>
    <t xml:space="preserve">Altstadt...................................................................................  </t>
  </si>
  <si>
    <t xml:space="preserve">Bahnhofsvorstadt.................................................................   </t>
  </si>
  <si>
    <t xml:space="preserve">Ostertor................................................................................... </t>
  </si>
  <si>
    <t xml:space="preserve">Stadtteil Mitte....................................................................... </t>
  </si>
  <si>
    <t xml:space="preserve">Handelsh‰fen....................................................................... </t>
  </si>
  <si>
    <t xml:space="preserve"> -</t>
  </si>
  <si>
    <t>Industrieh‰fen (beim Ortsreil 121 erfaﬂt)...........................</t>
  </si>
  <si>
    <t>Stadtbremisches ‹berseehafengebiet Bremerhaven</t>
  </si>
  <si>
    <t>(beim Ortsteil 121 erfaﬂt)...................................................</t>
  </si>
  <si>
    <t>Neust‰dter Hafen (beim Ortsteil 121 erfaﬂt)...................................</t>
  </si>
  <si>
    <t>Hohentorshafen (beim Ortsteil 121 erfaﬂt)..............................</t>
  </si>
  <si>
    <t xml:space="preserve">Stadtteil H‰fen................................................................... </t>
  </si>
  <si>
    <t xml:space="preserve">Stadtbezik Mitte.................................................................... </t>
  </si>
  <si>
    <t xml:space="preserve">Alte Neustadt............................................................................  </t>
  </si>
  <si>
    <t xml:space="preserve">Hohentor..........................................................................   </t>
  </si>
  <si>
    <t xml:space="preserve">Neustadt.............................................................................   </t>
  </si>
  <si>
    <t xml:space="preserve">S¸dervorstadt...................................................................... </t>
  </si>
  <si>
    <t xml:space="preserve">Gartenstadt S¸d................................................................... </t>
  </si>
  <si>
    <t xml:space="preserve">Buntentor....................................................................................   </t>
  </si>
  <si>
    <t>Neuenland...............................................................................</t>
  </si>
  <si>
    <t xml:space="preserve">Huckelriede (beim Ortsteil 217 erfaﬂt)............................... </t>
  </si>
  <si>
    <t xml:space="preserve">Stadtteil Neustadt.............................................................. </t>
  </si>
  <si>
    <t xml:space="preserve"> </t>
  </si>
  <si>
    <t xml:space="preserve">Habenhausen......................................................................  </t>
  </si>
  <si>
    <t>Arsten (beim Ortsteil 231 erfaﬂt).............................................</t>
  </si>
  <si>
    <t xml:space="preserve">Kattenturm........................................................................... </t>
  </si>
  <si>
    <t xml:space="preserve">Kattenesch..........................................................................  </t>
  </si>
  <si>
    <t xml:space="preserve">Stadtteil Obervieland............................................................    </t>
  </si>
  <si>
    <t xml:space="preserve">Mittelshuchting.....................................................................  </t>
  </si>
  <si>
    <t xml:space="preserve">Sodenmatt............................................................................   </t>
  </si>
  <si>
    <t xml:space="preserve">Kirchhuchting............................................................................ </t>
  </si>
  <si>
    <t xml:space="preserve">Grolland..................................................................................... </t>
  </si>
  <si>
    <t xml:space="preserve">Stadtteil Huchting..................................................................     </t>
  </si>
  <si>
    <t xml:space="preserve">Woltmershausen....................................................................  </t>
  </si>
  <si>
    <t xml:space="preserve">Rablinghausen (beim Ortsteil 251 erfaﬂt)................................. </t>
  </si>
  <si>
    <t xml:space="preserve">Stadtteil Woltmershausen..........................................................   </t>
  </si>
  <si>
    <t xml:space="preserve">Seehausen............................................................................ </t>
  </si>
  <si>
    <t xml:space="preserve">Strom....................................................................................... </t>
  </si>
  <si>
    <t xml:space="preserve">Stadtbezirk S¸d....................................................................  </t>
  </si>
  <si>
    <t xml:space="preserve">Steintor....................................................................................  </t>
  </si>
  <si>
    <t xml:space="preserve">Fesenfeld..............................................................................  </t>
  </si>
  <si>
    <t xml:space="preserve">Peterswerder........................................................................... </t>
  </si>
  <si>
    <t xml:space="preserve">Hulsberg.............................................................................  </t>
  </si>
  <si>
    <t xml:space="preserve">Stadtteil ÷stl. Vorstadt.........................................................  </t>
  </si>
  <si>
    <t xml:space="preserve">Neu-Schwachhausen..........................................................  </t>
  </si>
  <si>
    <t xml:space="preserve">B¸rgerpark........................................................................... </t>
  </si>
  <si>
    <t xml:space="preserve">B¸rgerweide-Barkhof..........................................................  </t>
  </si>
  <si>
    <t xml:space="preserve">Riensberg..........................................................................    </t>
  </si>
  <si>
    <t xml:space="preserve">Radio Bremen.....................................................................  </t>
  </si>
  <si>
    <t xml:space="preserve">Schwachhausen....................................................................  </t>
  </si>
  <si>
    <t xml:space="preserve">Gete....................................................................................  </t>
  </si>
  <si>
    <t xml:space="preserve">Stadtteil Schwachhausen......................................................   </t>
  </si>
  <si>
    <t xml:space="preserve">Gartenstadt Vahr.................................................................  </t>
  </si>
  <si>
    <t xml:space="preserve">Neue Vahr Nord.....................................................................   </t>
  </si>
  <si>
    <t>Neue Vahr S¸dwest...................................................................</t>
  </si>
  <si>
    <t xml:space="preserve">Neue Vahr S¸dost..................................................................  </t>
  </si>
  <si>
    <t xml:space="preserve">Stadtteil Vahr..........................................................................  </t>
  </si>
  <si>
    <t xml:space="preserve">Horn...............................................................................................  </t>
  </si>
  <si>
    <t xml:space="preserve">Lehe......................................................................................  </t>
  </si>
  <si>
    <t xml:space="preserve">Lehesterdeich....................................................................... </t>
  </si>
  <si>
    <t xml:space="preserve">Stadtteil Horn-Lehe..............................................................    </t>
  </si>
  <si>
    <t xml:space="preserve">Borgfeld................................................................................... </t>
  </si>
  <si>
    <t xml:space="preserve">Oberneuland........................................................................... </t>
  </si>
  <si>
    <t xml:space="preserve">Ellener Feld.............................................................................  </t>
  </si>
  <si>
    <t xml:space="preserve">Ellenerbrok-Schevermoor (beim Ortsteil 371 erfaﬂt).......   </t>
  </si>
  <si>
    <t xml:space="preserve">Tenever................................................................................... </t>
  </si>
  <si>
    <t xml:space="preserve">Osterholz................................................................................   </t>
  </si>
  <si>
    <t xml:space="preserve">Blockdiek..............................................................................  </t>
  </si>
  <si>
    <t xml:space="preserve">Stadtteil Osterholz...................................................................    </t>
  </si>
  <si>
    <t>Sebaldsbr¸ck...............................................................................</t>
  </si>
  <si>
    <t xml:space="preserve">Hastedt................................................................................  </t>
  </si>
  <si>
    <t xml:space="preserve">Hemelingen............................................................................... </t>
  </si>
  <si>
    <t xml:space="preserve">Arbergen................................................................................... </t>
  </si>
  <si>
    <t xml:space="preserve">Mahndorf (beim Ortsteil 384 erfaﬂt).....................................  </t>
  </si>
  <si>
    <t xml:space="preserve">Stadtteil Hemelingen............................................................   </t>
  </si>
  <si>
    <t xml:space="preserve">Stadtbezirk Ost...................................................................  </t>
  </si>
  <si>
    <t xml:space="preserve">Blockland............................................................................. </t>
  </si>
  <si>
    <t xml:space="preserve">Regensburger Straﬂe............................................................ </t>
  </si>
  <si>
    <t xml:space="preserve">Findorff............................................................................... </t>
  </si>
  <si>
    <t xml:space="preserve">Weidedamm..........................................................................  </t>
  </si>
  <si>
    <t xml:space="preserve">In den Hufen (beim Ortsteil 423 erfaﬂt)................................... </t>
  </si>
  <si>
    <t xml:space="preserve">Stadtteil Findorff...................................................................  </t>
  </si>
  <si>
    <t xml:space="preserve">Utbremen.................................................................................. </t>
  </si>
  <si>
    <t xml:space="preserve">Steffensweg.......................................................................   </t>
  </si>
  <si>
    <t xml:space="preserve">Westend.............................................................................  </t>
  </si>
  <si>
    <t xml:space="preserve">Walle................................................................................... </t>
  </si>
  <si>
    <t xml:space="preserve">Osterfeuerberg......................................................................  </t>
  </si>
  <si>
    <t xml:space="preserve">Hohweg (beim Ortsteil 435 erfaﬂt)....................................... </t>
  </si>
  <si>
    <t xml:space="preserve">Stadtteil Walle...................................................................  </t>
  </si>
  <si>
    <t xml:space="preserve">Lindenhof...........................................................................  </t>
  </si>
  <si>
    <t xml:space="preserve">Grˆpelingen......................................................................... </t>
  </si>
  <si>
    <t xml:space="preserve">Ohlenhof............................................................................  </t>
  </si>
  <si>
    <t>In den Wischen..................................................................</t>
  </si>
  <si>
    <t xml:space="preserve">Oslebshausen (beim Ortsteil 444 erfaﬂt).............................. </t>
  </si>
  <si>
    <t xml:space="preserve">Stadtteil Grˆpelingen............................................................... </t>
  </si>
  <si>
    <t xml:space="preserve">Stadtbezirk West.................................................................. </t>
  </si>
  <si>
    <t xml:space="preserve">Burg-Grambke......................................................................... </t>
  </si>
  <si>
    <t xml:space="preserve">Werderland (beim Ortsteil 511 erfaﬂt)........................................ </t>
  </si>
  <si>
    <t xml:space="preserve">Burgdamm..........................................................................  </t>
  </si>
  <si>
    <t xml:space="preserve">Lesum........................................................................................ </t>
  </si>
  <si>
    <t xml:space="preserve">St. Magnus.........................................................................  </t>
  </si>
  <si>
    <t xml:space="preserve">Stadtteil Burglesum............................................................   </t>
  </si>
  <si>
    <t xml:space="preserve">Vegesack............................................................................  </t>
  </si>
  <si>
    <t xml:space="preserve">Grohn....................................................................................   </t>
  </si>
  <si>
    <t xml:space="preserve">Schˆnebeck......................................................................... </t>
  </si>
  <si>
    <t xml:space="preserve">Aumund-Hammersbeck......................................................   </t>
  </si>
  <si>
    <t>F‰hr- Lobbendorf...................................................................</t>
  </si>
  <si>
    <t xml:space="preserve">Stadtteil Vegesack...............................................................    </t>
  </si>
  <si>
    <t xml:space="preserve">Blumenthal............................................................................  </t>
  </si>
  <si>
    <t xml:space="preserve">Rˆnnebeck..........................................................................  </t>
  </si>
  <si>
    <t xml:space="preserve">L¸ssum-Bockhorn................................................................  </t>
  </si>
  <si>
    <t xml:space="preserve">Farge......................................................................................... </t>
  </si>
  <si>
    <t xml:space="preserve">Rekum (beim Ortsteil 534 erfaﬂt)........................................... </t>
  </si>
  <si>
    <t xml:space="preserve">Stadtteil Blumenthal..............................................................  </t>
  </si>
  <si>
    <t xml:space="preserve">Stadtbezirk Nord........................................................................ </t>
  </si>
  <si>
    <t xml:space="preserve">Stadt Bremen.....................................................................  </t>
  </si>
  <si>
    <t>darunter</t>
  </si>
  <si>
    <t xml:space="preserve">Briefwahl.................................................................................. </t>
  </si>
  <si>
    <t>Bremerhaven.............................................................................</t>
  </si>
  <si>
    <t>Land Bremen..................................................</t>
  </si>
  <si>
    <t xml:space="preserve">1) Nach Neuordnung der stadtbremischen Verwaltungsbezirke vom 27.5.1977 (Brem. GBL. S.219). </t>
  </si>
  <si>
    <t>2) Einschl. Wahlscheininhaber.</t>
  </si>
  <si>
    <t>3) EAP, KBW, NPD.</t>
  </si>
  <si>
    <t>4) Stadtteile mit Ortsamtsverwaltung.</t>
  </si>
  <si>
    <t>5) Ortsteile mit Ortsamtsverwaltung, die keinem Stadtteil zugeordnet sind.</t>
  </si>
  <si>
    <t>Quelle: Statistische Mitteilungen aus Bremen / Heft 47.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</si>
</sst>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8" formatCode="#.0"/>
    <numFmt numFmtId="179" formatCode="0.#"/>
    <numFmt numFmtId="180" formatCode="0.0"/>
    <numFmt numFmtId="181" formatCode="###\ ###"/>
  </numFmts>
  <fonts count="4">
    <font>
      <sz val="8"/>
      <name val="Helv"/>
    </font>
    <font>
      <sz val="8"/>
      <name val="Helv"/>
    </font>
    <font>
      <b/>
      <sz val="12"/>
      <name val="Helv"/>
    </font>
    <font>
      <b/>
      <sz val="10"/>
      <name val="Helv"/>
    </font>
  </fonts>
  <fills count="3">
    <fill>
      <patternFill patternType="none"/>
    </fill>
    <fill>
      <patternFill patternType="gray125"/>
    </fill>
    <fill>
      <patternFill patternType="lightGray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horizontal="center"/>
    </xf>
  </cellStyleXfs>
  <cellXfs count="14">
    <xf numFmtId="0" fontId="0" fillId="0" borderId="0" xfId="0">
      <alignment horizont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Alignment="1"/>
    <xf numFmtId="0" fontId="2" fillId="0" borderId="0" xfId="0" applyFo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right"/>
    </xf>
    <xf numFmtId="178" fontId="0" fillId="0" borderId="0" xfId="0" applyNumberFormat="1" applyAlignment="1">
      <alignment horizontal="right"/>
    </xf>
    <xf numFmtId="179" fontId="0" fillId="0" borderId="0" xfId="0" applyNumberFormat="1" applyAlignment="1">
      <alignment horizontal="right"/>
    </xf>
    <xf numFmtId="180" fontId="0" fillId="0" borderId="0" xfId="0" applyNumberFormat="1" applyAlignment="1">
      <alignment horizontal="right"/>
    </xf>
    <xf numFmtId="178" fontId="1" fillId="0" borderId="0" xfId="0" applyNumberFormat="1" applyFont="1" applyAlignment="1">
      <alignment horizontal="right" vertical="top" wrapText="1"/>
    </xf>
    <xf numFmtId="178" fontId="1" fillId="0" borderId="0" xfId="0" applyNumberFormat="1" applyFont="1" applyAlignment="1">
      <alignment horizontal="right"/>
    </xf>
    <xf numFmtId="181" fontId="0" fillId="0" borderId="0" xfId="0" applyNumberFormat="1" applyAlignment="1">
      <alignment horizontal="right"/>
    </xf>
    <xf numFmtId="0" fontId="3" fillId="2" borderId="0" xfId="0" applyFont="1" applyFill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63500</xdr:rowOff>
    </xdr:from>
    <xdr:to>
      <xdr:col>10</xdr:col>
      <xdr:colOff>495300</xdr:colOff>
      <xdr:row>5</xdr:row>
      <xdr:rowOff>101600</xdr:rowOff>
    </xdr:to>
    <xdr:sp macro="" textlink="">
      <xdr:nvSpPr>
        <xdr:cNvPr id="1108" name="Text 84">
          <a:extLst>
            <a:ext uri="{FF2B5EF4-FFF2-40B4-BE49-F238E27FC236}">
              <a16:creationId xmlns:a16="http://schemas.microsoft.com/office/drawing/2014/main" id="{909B2A3C-0CBD-E5C0-B3D8-9EBF2802A981}"/>
            </a:ext>
          </a:extLst>
        </xdr:cNvPr>
        <xdr:cNvSpPr txBox="1">
          <a:spLocks noChangeArrowheads="1"/>
        </xdr:cNvSpPr>
      </xdr:nvSpPr>
      <xdr:spPr bwMode="auto">
        <a:xfrm>
          <a:off x="0" y="279400"/>
          <a:ext cx="7543800" cy="647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1" i="0" u="none" strike="noStrike" baseline="0">
              <a:solidFill>
                <a:srgbClr val="000000"/>
              </a:solidFill>
              <a:latin typeface="Helv" charset="0"/>
            </a:rPr>
            <a:t>Wahlberechtigte, Wahlbeteiligung und Stimmenanteile bei der Wahl zur Bremischen B¸rgerschaft</a:t>
          </a:r>
        </a:p>
        <a:p>
          <a:pPr algn="ctr" rtl="0">
            <a:defRPr sz="1000"/>
          </a:pPr>
          <a:r>
            <a:rPr lang="de-DE" sz="1000" b="1" i="0" u="none" strike="noStrike" baseline="0">
              <a:solidFill>
                <a:srgbClr val="000000"/>
              </a:solidFill>
              <a:latin typeface="Helv" charset="0"/>
            </a:rPr>
            <a:t>am 07.10.1979 nach Ortsteilen, Stadtteilen und Stadtbezirken (einschl. Briefwahl)</a:t>
          </a:r>
        </a:p>
        <a:p>
          <a:pPr algn="ctr" rtl="0">
            <a:defRPr sz="1000"/>
          </a:pPr>
          <a:endParaRPr lang="de-DE" sz="1000" b="1" i="0" u="none" strike="noStrike" baseline="0">
            <a:solidFill>
              <a:srgbClr val="000000"/>
            </a:solidFill>
            <a:latin typeface="Helv" charset="0"/>
          </a:endParaRP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2</xdr:col>
      <xdr:colOff>0</xdr:colOff>
      <xdr:row>14</xdr:row>
      <xdr:rowOff>0</xdr:rowOff>
    </xdr:to>
    <xdr:sp macro="" textlink="">
      <xdr:nvSpPr>
        <xdr:cNvPr id="1029" name="Text 5">
          <a:extLst>
            <a:ext uri="{FF2B5EF4-FFF2-40B4-BE49-F238E27FC236}">
              <a16:creationId xmlns:a16="http://schemas.microsoft.com/office/drawing/2014/main" id="{C89BD837-6190-AB51-4070-98E13150FE8A}"/>
            </a:ext>
          </a:extLst>
        </xdr:cNvPr>
        <xdr:cNvSpPr txBox="1">
          <a:spLocks noChangeArrowheads="1"/>
        </xdr:cNvSpPr>
      </xdr:nvSpPr>
      <xdr:spPr bwMode="auto">
        <a:xfrm>
          <a:off x="0" y="977900"/>
          <a:ext cx="2374900" cy="1219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Ortsteil</a:t>
          </a: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Stadtteil</a:t>
          </a: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Stadtbezirk</a:t>
          </a:r>
        </a:p>
      </xdr:txBody>
    </xdr:sp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14</xdr:row>
      <xdr:rowOff>0</xdr:rowOff>
    </xdr:to>
    <xdr:sp macro="" textlink="">
      <xdr:nvSpPr>
        <xdr:cNvPr id="1058" name="Text 34">
          <a:extLst>
            <a:ext uri="{FF2B5EF4-FFF2-40B4-BE49-F238E27FC236}">
              <a16:creationId xmlns:a16="http://schemas.microsoft.com/office/drawing/2014/main" id="{C4E9618E-E78F-40C8-0B40-393718409BFA}"/>
            </a:ext>
          </a:extLst>
        </xdr:cNvPr>
        <xdr:cNvSpPr txBox="1">
          <a:spLocks noChangeArrowheads="1"/>
        </xdr:cNvSpPr>
      </xdr:nvSpPr>
      <xdr:spPr bwMode="auto">
        <a:xfrm>
          <a:off x="2374900" y="977900"/>
          <a:ext cx="762000" cy="1219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Wahlbe-</a:t>
          </a: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rechtigte</a:t>
          </a: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insgesamt   </a:t>
          </a:r>
        </a:p>
      </xdr:txBody>
    </xdr:sp>
    <xdr:clientData/>
  </xdr:twoCellAnchor>
  <xdr:oneCellAnchor>
    <xdr:from>
      <xdr:col>2</xdr:col>
      <xdr:colOff>596900</xdr:colOff>
      <xdr:row>8</xdr:row>
      <xdr:rowOff>63500</xdr:rowOff>
    </xdr:from>
    <xdr:ext cx="139700" cy="127000"/>
    <xdr:sp macro="" textlink="">
      <xdr:nvSpPr>
        <xdr:cNvPr id="1107" name="Text 83">
          <a:extLst>
            <a:ext uri="{FF2B5EF4-FFF2-40B4-BE49-F238E27FC236}">
              <a16:creationId xmlns:a16="http://schemas.microsoft.com/office/drawing/2014/main" id="{C0D61208-3114-7FB1-E202-86D6AD66B2E1}"/>
            </a:ext>
          </a:extLst>
        </xdr:cNvPr>
        <xdr:cNvSpPr txBox="1">
          <a:spLocks noChangeArrowheads="1"/>
        </xdr:cNvSpPr>
      </xdr:nvSpPr>
      <xdr:spPr bwMode="auto">
        <a:xfrm>
          <a:off x="2971800" y="1346200"/>
          <a:ext cx="139700" cy="127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2)</a:t>
          </a:r>
        </a:p>
      </xdr:txBody>
    </xdr:sp>
    <xdr:clientData/>
  </xdr:oneCellAnchor>
  <xdr:twoCellAnchor>
    <xdr:from>
      <xdr:col>3</xdr:col>
      <xdr:colOff>0</xdr:colOff>
      <xdr:row>6</xdr:row>
      <xdr:rowOff>0</xdr:rowOff>
    </xdr:from>
    <xdr:to>
      <xdr:col>4</xdr:col>
      <xdr:colOff>0</xdr:colOff>
      <xdr:row>12</xdr:row>
      <xdr:rowOff>0</xdr:rowOff>
    </xdr:to>
    <xdr:sp macro="" textlink="">
      <xdr:nvSpPr>
        <xdr:cNvPr id="1111" name="Text 87">
          <a:extLst>
            <a:ext uri="{FF2B5EF4-FFF2-40B4-BE49-F238E27FC236}">
              <a16:creationId xmlns:a16="http://schemas.microsoft.com/office/drawing/2014/main" id="{9C5E8B03-4C22-71D1-F2A8-F8BFC3CEF71A}"/>
            </a:ext>
          </a:extLst>
        </xdr:cNvPr>
        <xdr:cNvSpPr txBox="1">
          <a:spLocks noChangeArrowheads="1"/>
        </xdr:cNvSpPr>
      </xdr:nvSpPr>
      <xdr:spPr bwMode="auto">
        <a:xfrm>
          <a:off x="3136900" y="977900"/>
          <a:ext cx="558800" cy="914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endParaRPr lang="de-DE" sz="1000" b="0" i="0" u="none" strike="noStrike" baseline="0">
            <a:solidFill>
              <a:srgbClr val="000000"/>
            </a:solidFill>
            <a:latin typeface="Helv" charset="0"/>
          </a:endParaRP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Wahlbe-</a:t>
          </a: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teiligung</a:t>
          </a:r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10</xdr:col>
      <xdr:colOff>495300</xdr:colOff>
      <xdr:row>8</xdr:row>
      <xdr:rowOff>0</xdr:rowOff>
    </xdr:to>
    <xdr:sp macro="" textlink="">
      <xdr:nvSpPr>
        <xdr:cNvPr id="1112" name="Text 88">
          <a:extLst>
            <a:ext uri="{FF2B5EF4-FFF2-40B4-BE49-F238E27FC236}">
              <a16:creationId xmlns:a16="http://schemas.microsoft.com/office/drawing/2014/main" id="{FE0FD613-039F-6AFD-25D5-0C2201D0839D}"/>
            </a:ext>
          </a:extLst>
        </xdr:cNvPr>
        <xdr:cNvSpPr txBox="1">
          <a:spLocks noChangeArrowheads="1"/>
        </xdr:cNvSpPr>
      </xdr:nvSpPr>
      <xdr:spPr bwMode="auto">
        <a:xfrm>
          <a:off x="3695700" y="977900"/>
          <a:ext cx="3848100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Von den g¸ltigen Stimmen entfielen auf</a:t>
          </a:r>
        </a:p>
      </xdr:txBody>
    </xdr:sp>
    <xdr:clientData/>
  </xdr:twoCellAnchor>
  <xdr:twoCellAnchor>
    <xdr:from>
      <xdr:col>3</xdr:col>
      <xdr:colOff>0</xdr:colOff>
      <xdr:row>12</xdr:row>
      <xdr:rowOff>0</xdr:rowOff>
    </xdr:from>
    <xdr:to>
      <xdr:col>10</xdr:col>
      <xdr:colOff>495300</xdr:colOff>
      <xdr:row>14</xdr:row>
      <xdr:rowOff>0</xdr:rowOff>
    </xdr:to>
    <xdr:sp macro="" textlink="">
      <xdr:nvSpPr>
        <xdr:cNvPr id="1130" name="Text 106">
          <a:extLst>
            <a:ext uri="{FF2B5EF4-FFF2-40B4-BE49-F238E27FC236}">
              <a16:creationId xmlns:a16="http://schemas.microsoft.com/office/drawing/2014/main" id="{07056049-8FA3-6ECB-F818-4184A244569A}"/>
            </a:ext>
          </a:extLst>
        </xdr:cNvPr>
        <xdr:cNvSpPr txBox="1">
          <a:spLocks noChangeArrowheads="1"/>
        </xdr:cNvSpPr>
      </xdr:nvSpPr>
      <xdr:spPr bwMode="auto">
        <a:xfrm>
          <a:off x="3136900" y="1892300"/>
          <a:ext cx="4406900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1" i="0" u="none" strike="noStrike" baseline="0">
              <a:solidFill>
                <a:srgbClr val="000000"/>
              </a:solidFill>
              <a:latin typeface="Helv" charset="0"/>
            </a:rPr>
            <a:t>%</a:t>
          </a:r>
        </a:p>
      </xdr:txBody>
    </xdr:sp>
    <xdr:clientData/>
  </xdr:twoCellAnchor>
  <xdr:twoCellAnchor>
    <xdr:from>
      <xdr:col>4</xdr:col>
      <xdr:colOff>0</xdr:colOff>
      <xdr:row>8</xdr:row>
      <xdr:rowOff>0</xdr:rowOff>
    </xdr:from>
    <xdr:to>
      <xdr:col>5</xdr:col>
      <xdr:colOff>0</xdr:colOff>
      <xdr:row>12</xdr:row>
      <xdr:rowOff>0</xdr:rowOff>
    </xdr:to>
    <xdr:sp macro="" textlink="">
      <xdr:nvSpPr>
        <xdr:cNvPr id="1137" name="Text 113">
          <a:extLst>
            <a:ext uri="{FF2B5EF4-FFF2-40B4-BE49-F238E27FC236}">
              <a16:creationId xmlns:a16="http://schemas.microsoft.com/office/drawing/2014/main" id="{E0453161-460A-2255-1E22-B69006F905EC}"/>
            </a:ext>
          </a:extLst>
        </xdr:cNvPr>
        <xdr:cNvSpPr txBox="1">
          <a:spLocks noChangeArrowheads="1"/>
        </xdr:cNvSpPr>
      </xdr:nvSpPr>
      <xdr:spPr bwMode="auto">
        <a:xfrm>
          <a:off x="3695700" y="1282700"/>
          <a:ext cx="558800" cy="609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SPD</a:t>
          </a:r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1138" name="Text 114">
          <a:extLst>
            <a:ext uri="{FF2B5EF4-FFF2-40B4-BE49-F238E27FC236}">
              <a16:creationId xmlns:a16="http://schemas.microsoft.com/office/drawing/2014/main" id="{3934735C-6115-5183-8E88-F775185547A2}"/>
            </a:ext>
          </a:extLst>
        </xdr:cNvPr>
        <xdr:cNvSpPr txBox="1">
          <a:spLocks noChangeArrowheads="1"/>
        </xdr:cNvSpPr>
      </xdr:nvSpPr>
      <xdr:spPr bwMode="auto">
        <a:xfrm>
          <a:off x="4254500" y="1282700"/>
          <a:ext cx="558800" cy="609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CDU</a:t>
          </a:r>
        </a:p>
      </xdr:txBody>
    </xdr:sp>
    <xdr:clientData/>
  </xdr:twoCellAnchor>
  <xdr:twoCellAnchor>
    <xdr:from>
      <xdr:col>6</xdr:col>
      <xdr:colOff>0</xdr:colOff>
      <xdr:row>8</xdr:row>
      <xdr:rowOff>0</xdr:rowOff>
    </xdr:from>
    <xdr:to>
      <xdr:col>7</xdr:col>
      <xdr:colOff>0</xdr:colOff>
      <xdr:row>12</xdr:row>
      <xdr:rowOff>0</xdr:rowOff>
    </xdr:to>
    <xdr:sp macro="" textlink="">
      <xdr:nvSpPr>
        <xdr:cNvPr id="1139" name="Text 115">
          <a:extLst>
            <a:ext uri="{FF2B5EF4-FFF2-40B4-BE49-F238E27FC236}">
              <a16:creationId xmlns:a16="http://schemas.microsoft.com/office/drawing/2014/main" id="{19301CFD-BEA9-5B2A-6B2C-6DAE30A63B6A}"/>
            </a:ext>
          </a:extLst>
        </xdr:cNvPr>
        <xdr:cNvSpPr txBox="1">
          <a:spLocks noChangeArrowheads="1"/>
        </xdr:cNvSpPr>
      </xdr:nvSpPr>
      <xdr:spPr bwMode="auto">
        <a:xfrm>
          <a:off x="4813300" y="1282700"/>
          <a:ext cx="558800" cy="609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FDP</a:t>
          </a:r>
        </a:p>
      </xdr:txBody>
    </xdr:sp>
    <xdr:clientData/>
  </xdr:twoCellAnchor>
  <xdr:twoCellAnchor>
    <xdr:from>
      <xdr:col>9</xdr:col>
      <xdr:colOff>0</xdr:colOff>
      <xdr:row>8</xdr:row>
      <xdr:rowOff>0</xdr:rowOff>
    </xdr:from>
    <xdr:to>
      <xdr:col>10</xdr:col>
      <xdr:colOff>0</xdr:colOff>
      <xdr:row>12</xdr:row>
      <xdr:rowOff>0</xdr:rowOff>
    </xdr:to>
    <xdr:sp macro="" textlink="">
      <xdr:nvSpPr>
        <xdr:cNvPr id="1140" name="Text 116">
          <a:extLst>
            <a:ext uri="{FF2B5EF4-FFF2-40B4-BE49-F238E27FC236}">
              <a16:creationId xmlns:a16="http://schemas.microsoft.com/office/drawing/2014/main" id="{6E5EC97C-32EE-ABFF-2CDC-9A0CBAB40E58}"/>
            </a:ext>
          </a:extLst>
        </xdr:cNvPr>
        <xdr:cNvSpPr txBox="1">
          <a:spLocks noChangeArrowheads="1"/>
        </xdr:cNvSpPr>
      </xdr:nvSpPr>
      <xdr:spPr bwMode="auto">
        <a:xfrm>
          <a:off x="6489700" y="1282700"/>
          <a:ext cx="558800" cy="609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DKP</a:t>
          </a:r>
        </a:p>
      </xdr:txBody>
    </xdr:sp>
    <xdr:clientData/>
  </xdr:twoCellAnchor>
  <xdr:twoCellAnchor>
    <xdr:from>
      <xdr:col>7</xdr:col>
      <xdr:colOff>0</xdr:colOff>
      <xdr:row>8</xdr:row>
      <xdr:rowOff>0</xdr:rowOff>
    </xdr:from>
    <xdr:to>
      <xdr:col>8</xdr:col>
      <xdr:colOff>0</xdr:colOff>
      <xdr:row>12</xdr:row>
      <xdr:rowOff>0</xdr:rowOff>
    </xdr:to>
    <xdr:sp macro="" textlink="">
      <xdr:nvSpPr>
        <xdr:cNvPr id="1141" name="Text 117">
          <a:extLst>
            <a:ext uri="{FF2B5EF4-FFF2-40B4-BE49-F238E27FC236}">
              <a16:creationId xmlns:a16="http://schemas.microsoft.com/office/drawing/2014/main" id="{5523B54F-F55F-5F4D-9DC1-8F0A59A5D61B}"/>
            </a:ext>
          </a:extLst>
        </xdr:cNvPr>
        <xdr:cNvSpPr txBox="1">
          <a:spLocks noChangeArrowheads="1"/>
        </xdr:cNvSpPr>
      </xdr:nvSpPr>
      <xdr:spPr bwMode="auto">
        <a:xfrm>
          <a:off x="5372100" y="1282700"/>
          <a:ext cx="558800" cy="609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AL</a:t>
          </a:r>
        </a:p>
      </xdr:txBody>
    </xdr:sp>
    <xdr:clientData/>
  </xdr:twoCellAnchor>
  <xdr:twoCellAnchor>
    <xdr:from>
      <xdr:col>8</xdr:col>
      <xdr:colOff>0</xdr:colOff>
      <xdr:row>8</xdr:row>
      <xdr:rowOff>0</xdr:rowOff>
    </xdr:from>
    <xdr:to>
      <xdr:col>9</xdr:col>
      <xdr:colOff>0</xdr:colOff>
      <xdr:row>12</xdr:row>
      <xdr:rowOff>0</xdr:rowOff>
    </xdr:to>
    <xdr:sp macro="" textlink="">
      <xdr:nvSpPr>
        <xdr:cNvPr id="1142" name="Text 118">
          <a:extLst>
            <a:ext uri="{FF2B5EF4-FFF2-40B4-BE49-F238E27FC236}">
              <a16:creationId xmlns:a16="http://schemas.microsoft.com/office/drawing/2014/main" id="{2F75AE1A-782B-6207-B820-761648E1F7DE}"/>
            </a:ext>
          </a:extLst>
        </xdr:cNvPr>
        <xdr:cNvSpPr txBox="1">
          <a:spLocks noChangeArrowheads="1"/>
        </xdr:cNvSpPr>
      </xdr:nvSpPr>
      <xdr:spPr bwMode="auto">
        <a:xfrm>
          <a:off x="5930900" y="1282700"/>
          <a:ext cx="558800" cy="609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endParaRPr lang="de-DE" sz="1000" b="0" i="0" u="none" strike="noStrike" baseline="0">
            <a:solidFill>
              <a:srgbClr val="000000"/>
            </a:solidFill>
            <a:latin typeface="Helv" charset="0"/>
          </a:endParaRP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 GR‹NE</a:t>
          </a:r>
        </a:p>
        <a:p>
          <a:pPr algn="ctr" rtl="0">
            <a:defRPr sz="1000"/>
          </a:pPr>
          <a:endParaRPr lang="de-DE" sz="1000" b="0" i="0" u="none" strike="noStrike" baseline="0">
            <a:solidFill>
              <a:srgbClr val="000000"/>
            </a:solidFill>
            <a:latin typeface="Helv" charset="0"/>
          </a:endParaRPr>
        </a:p>
      </xdr:txBody>
    </xdr:sp>
    <xdr:clientData/>
  </xdr:twoCellAnchor>
  <xdr:oneCellAnchor>
    <xdr:from>
      <xdr:col>1</xdr:col>
      <xdr:colOff>863600</xdr:colOff>
      <xdr:row>44</xdr:row>
      <xdr:rowOff>12700</xdr:rowOff>
    </xdr:from>
    <xdr:ext cx="139700" cy="127000"/>
    <xdr:sp macro="" textlink="">
      <xdr:nvSpPr>
        <xdr:cNvPr id="1145" name="Text 121">
          <a:extLst>
            <a:ext uri="{FF2B5EF4-FFF2-40B4-BE49-F238E27FC236}">
              <a16:creationId xmlns:a16="http://schemas.microsoft.com/office/drawing/2014/main" id="{C20FB4A3-D159-F8B6-A895-A4043D7D2DF4}"/>
            </a:ext>
          </a:extLst>
        </xdr:cNvPr>
        <xdr:cNvSpPr txBox="1">
          <a:spLocks noChangeArrowheads="1"/>
        </xdr:cNvSpPr>
      </xdr:nvSpPr>
      <xdr:spPr bwMode="auto">
        <a:xfrm>
          <a:off x="1092200" y="78867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4)</a:t>
          </a:r>
        </a:p>
      </xdr:txBody>
    </xdr:sp>
    <xdr:clientData/>
  </xdr:oneCellAnchor>
  <xdr:oneCellAnchor>
    <xdr:from>
      <xdr:col>1</xdr:col>
      <xdr:colOff>749300</xdr:colOff>
      <xdr:row>49</xdr:row>
      <xdr:rowOff>152400</xdr:rowOff>
    </xdr:from>
    <xdr:ext cx="139700" cy="139700"/>
    <xdr:sp macro="" textlink="">
      <xdr:nvSpPr>
        <xdr:cNvPr id="1146" name="Text 122">
          <a:extLst>
            <a:ext uri="{FF2B5EF4-FFF2-40B4-BE49-F238E27FC236}">
              <a16:creationId xmlns:a16="http://schemas.microsoft.com/office/drawing/2014/main" id="{87A04A77-470C-26A0-3052-EDC4A1EE642B}"/>
            </a:ext>
          </a:extLst>
        </xdr:cNvPr>
        <xdr:cNvSpPr txBox="1">
          <a:spLocks noChangeArrowheads="1"/>
        </xdr:cNvSpPr>
      </xdr:nvSpPr>
      <xdr:spPr bwMode="auto">
        <a:xfrm>
          <a:off x="977900" y="8978900"/>
          <a:ext cx="139700" cy="13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4)</a:t>
          </a:r>
        </a:p>
      </xdr:txBody>
    </xdr:sp>
    <xdr:clientData/>
  </xdr:oneCellAnchor>
  <xdr:oneCellAnchor>
    <xdr:from>
      <xdr:col>1</xdr:col>
      <xdr:colOff>495300</xdr:colOff>
      <xdr:row>56</xdr:row>
      <xdr:rowOff>12700</xdr:rowOff>
    </xdr:from>
    <xdr:ext cx="139700" cy="127000"/>
    <xdr:sp macro="" textlink="">
      <xdr:nvSpPr>
        <xdr:cNvPr id="1147" name="Text 123">
          <a:extLst>
            <a:ext uri="{FF2B5EF4-FFF2-40B4-BE49-F238E27FC236}">
              <a16:creationId xmlns:a16="http://schemas.microsoft.com/office/drawing/2014/main" id="{D510EB7D-AAEE-6AFB-2C93-62A08EAFA047}"/>
            </a:ext>
          </a:extLst>
        </xdr:cNvPr>
        <xdr:cNvSpPr txBox="1">
          <a:spLocks noChangeArrowheads="1"/>
        </xdr:cNvSpPr>
      </xdr:nvSpPr>
      <xdr:spPr bwMode="auto">
        <a:xfrm>
          <a:off x="723900" y="101727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5)</a:t>
          </a:r>
        </a:p>
      </xdr:txBody>
    </xdr:sp>
    <xdr:clientData/>
  </xdr:oneCellAnchor>
  <xdr:oneCellAnchor>
    <xdr:from>
      <xdr:col>1</xdr:col>
      <xdr:colOff>292100</xdr:colOff>
      <xdr:row>57</xdr:row>
      <xdr:rowOff>12700</xdr:rowOff>
    </xdr:from>
    <xdr:ext cx="139700" cy="127000"/>
    <xdr:sp macro="" textlink="">
      <xdr:nvSpPr>
        <xdr:cNvPr id="1148" name="Text 124">
          <a:extLst>
            <a:ext uri="{FF2B5EF4-FFF2-40B4-BE49-F238E27FC236}">
              <a16:creationId xmlns:a16="http://schemas.microsoft.com/office/drawing/2014/main" id="{CB51BD33-5350-C5BE-7400-56026B569031}"/>
            </a:ext>
          </a:extLst>
        </xdr:cNvPr>
        <xdr:cNvSpPr txBox="1">
          <a:spLocks noChangeArrowheads="1"/>
        </xdr:cNvSpPr>
      </xdr:nvSpPr>
      <xdr:spPr bwMode="auto">
        <a:xfrm>
          <a:off x="520700" y="103632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5)</a:t>
          </a:r>
        </a:p>
      </xdr:txBody>
    </xdr:sp>
    <xdr:clientData/>
  </xdr:oneCellAnchor>
  <xdr:oneCellAnchor>
    <xdr:from>
      <xdr:col>8</xdr:col>
      <xdr:colOff>215900</xdr:colOff>
      <xdr:row>2</xdr:row>
      <xdr:rowOff>139700</xdr:rowOff>
    </xdr:from>
    <xdr:ext cx="127000" cy="139700"/>
    <xdr:sp macro="" textlink="">
      <xdr:nvSpPr>
        <xdr:cNvPr id="1152" name="Text 128">
          <a:extLst>
            <a:ext uri="{FF2B5EF4-FFF2-40B4-BE49-F238E27FC236}">
              <a16:creationId xmlns:a16="http://schemas.microsoft.com/office/drawing/2014/main" id="{434C063C-A99F-4C41-10DA-72B3C076461D}"/>
            </a:ext>
          </a:extLst>
        </xdr:cNvPr>
        <xdr:cNvSpPr txBox="1">
          <a:spLocks noChangeArrowheads="1"/>
        </xdr:cNvSpPr>
      </xdr:nvSpPr>
      <xdr:spPr bwMode="auto">
        <a:xfrm>
          <a:off x="6146800" y="508000"/>
          <a:ext cx="127000" cy="139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1)</a:t>
          </a:r>
        </a:p>
      </xdr:txBody>
    </xdr:sp>
    <xdr:clientData/>
  </xdr:oneCellAnchor>
  <xdr:oneCellAnchor>
    <xdr:from>
      <xdr:col>1</xdr:col>
      <xdr:colOff>800100</xdr:colOff>
      <xdr:row>85</xdr:row>
      <xdr:rowOff>0</xdr:rowOff>
    </xdr:from>
    <xdr:ext cx="139700" cy="127000"/>
    <xdr:sp macro="" textlink="">
      <xdr:nvSpPr>
        <xdr:cNvPr id="1155" name="Text 131">
          <a:extLst>
            <a:ext uri="{FF2B5EF4-FFF2-40B4-BE49-F238E27FC236}">
              <a16:creationId xmlns:a16="http://schemas.microsoft.com/office/drawing/2014/main" id="{3F4D4CF6-6A77-9472-3C75-01028DA19E13}"/>
            </a:ext>
          </a:extLst>
        </xdr:cNvPr>
        <xdr:cNvSpPr txBox="1">
          <a:spLocks noChangeArrowheads="1"/>
        </xdr:cNvSpPr>
      </xdr:nvSpPr>
      <xdr:spPr bwMode="auto">
        <a:xfrm>
          <a:off x="1028700" y="156845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4)</a:t>
          </a:r>
        </a:p>
      </xdr:txBody>
    </xdr:sp>
    <xdr:clientData/>
  </xdr:oneCellAnchor>
  <xdr:oneCellAnchor>
    <xdr:from>
      <xdr:col>1</xdr:col>
      <xdr:colOff>749300</xdr:colOff>
      <xdr:row>94</xdr:row>
      <xdr:rowOff>177800</xdr:rowOff>
    </xdr:from>
    <xdr:ext cx="139700" cy="139700"/>
    <xdr:sp macro="" textlink="">
      <xdr:nvSpPr>
        <xdr:cNvPr id="1156" name="Text 132">
          <a:extLst>
            <a:ext uri="{FF2B5EF4-FFF2-40B4-BE49-F238E27FC236}">
              <a16:creationId xmlns:a16="http://schemas.microsoft.com/office/drawing/2014/main" id="{8AAEE48D-DD10-F1B8-BA57-F3701960ECD4}"/>
            </a:ext>
          </a:extLst>
        </xdr:cNvPr>
        <xdr:cNvSpPr txBox="1">
          <a:spLocks noChangeArrowheads="1"/>
        </xdr:cNvSpPr>
      </xdr:nvSpPr>
      <xdr:spPr bwMode="auto">
        <a:xfrm>
          <a:off x="977900" y="17576800"/>
          <a:ext cx="139700" cy="13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4)</a:t>
          </a:r>
        </a:p>
      </xdr:txBody>
    </xdr:sp>
    <xdr:clientData/>
  </xdr:oneCellAnchor>
  <xdr:oneCellAnchor>
    <xdr:from>
      <xdr:col>1</xdr:col>
      <xdr:colOff>863600</xdr:colOff>
      <xdr:row>102</xdr:row>
      <xdr:rowOff>0</xdr:rowOff>
    </xdr:from>
    <xdr:ext cx="139700" cy="127000"/>
    <xdr:sp macro="" textlink="">
      <xdr:nvSpPr>
        <xdr:cNvPr id="1157" name="Text 133">
          <a:extLst>
            <a:ext uri="{FF2B5EF4-FFF2-40B4-BE49-F238E27FC236}">
              <a16:creationId xmlns:a16="http://schemas.microsoft.com/office/drawing/2014/main" id="{E7997605-F134-509E-37AD-0031275C06CB}"/>
            </a:ext>
          </a:extLst>
        </xdr:cNvPr>
        <xdr:cNvSpPr txBox="1">
          <a:spLocks noChangeArrowheads="1"/>
        </xdr:cNvSpPr>
      </xdr:nvSpPr>
      <xdr:spPr bwMode="auto">
        <a:xfrm>
          <a:off x="1092200" y="189230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4)</a:t>
          </a:r>
        </a:p>
      </xdr:txBody>
    </xdr:sp>
    <xdr:clientData/>
  </xdr:oneCellAnchor>
  <xdr:oneCellAnchor>
    <xdr:from>
      <xdr:col>1</xdr:col>
      <xdr:colOff>863600</xdr:colOff>
      <xdr:row>136</xdr:row>
      <xdr:rowOff>0</xdr:rowOff>
    </xdr:from>
    <xdr:ext cx="139700" cy="127000"/>
    <xdr:sp macro="" textlink="">
      <xdr:nvSpPr>
        <xdr:cNvPr id="1158" name="Text 134">
          <a:extLst>
            <a:ext uri="{FF2B5EF4-FFF2-40B4-BE49-F238E27FC236}">
              <a16:creationId xmlns:a16="http://schemas.microsoft.com/office/drawing/2014/main" id="{CEDA43B4-7072-7D26-93E0-E15A4D61E0B9}"/>
            </a:ext>
          </a:extLst>
        </xdr:cNvPr>
        <xdr:cNvSpPr txBox="1">
          <a:spLocks noChangeArrowheads="1"/>
        </xdr:cNvSpPr>
      </xdr:nvSpPr>
      <xdr:spPr bwMode="auto">
        <a:xfrm>
          <a:off x="1092200" y="254000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4)</a:t>
          </a:r>
        </a:p>
      </xdr:txBody>
    </xdr:sp>
    <xdr:clientData/>
  </xdr:oneCellAnchor>
  <xdr:oneCellAnchor>
    <xdr:from>
      <xdr:col>1</xdr:col>
      <xdr:colOff>863600</xdr:colOff>
      <xdr:row>143</xdr:row>
      <xdr:rowOff>0</xdr:rowOff>
    </xdr:from>
    <xdr:ext cx="139700" cy="127000"/>
    <xdr:sp macro="" textlink="">
      <xdr:nvSpPr>
        <xdr:cNvPr id="1159" name="Text 135">
          <a:extLst>
            <a:ext uri="{FF2B5EF4-FFF2-40B4-BE49-F238E27FC236}">
              <a16:creationId xmlns:a16="http://schemas.microsoft.com/office/drawing/2014/main" id="{A8E979F6-3B73-476D-7FD6-E586900F1C8D}"/>
            </a:ext>
          </a:extLst>
        </xdr:cNvPr>
        <xdr:cNvSpPr txBox="1">
          <a:spLocks noChangeArrowheads="1"/>
        </xdr:cNvSpPr>
      </xdr:nvSpPr>
      <xdr:spPr bwMode="auto">
        <a:xfrm>
          <a:off x="1092200" y="267335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4)</a:t>
          </a:r>
        </a:p>
      </xdr:txBody>
    </xdr:sp>
    <xdr:clientData/>
  </xdr:oneCellAnchor>
  <xdr:oneCellAnchor>
    <xdr:from>
      <xdr:col>1</xdr:col>
      <xdr:colOff>863600</xdr:colOff>
      <xdr:row>150</xdr:row>
      <xdr:rowOff>0</xdr:rowOff>
    </xdr:from>
    <xdr:ext cx="139700" cy="127000"/>
    <xdr:sp macro="" textlink="">
      <xdr:nvSpPr>
        <xdr:cNvPr id="1160" name="Text 136">
          <a:extLst>
            <a:ext uri="{FF2B5EF4-FFF2-40B4-BE49-F238E27FC236}">
              <a16:creationId xmlns:a16="http://schemas.microsoft.com/office/drawing/2014/main" id="{CF8350E3-289E-3B57-0569-AC3ED4A8A2CB}"/>
            </a:ext>
          </a:extLst>
        </xdr:cNvPr>
        <xdr:cNvSpPr txBox="1">
          <a:spLocks noChangeArrowheads="1"/>
        </xdr:cNvSpPr>
      </xdr:nvSpPr>
      <xdr:spPr bwMode="auto">
        <a:xfrm>
          <a:off x="1092200" y="280670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4)</a:t>
          </a:r>
        </a:p>
      </xdr:txBody>
    </xdr:sp>
    <xdr:clientData/>
  </xdr:oneCellAnchor>
  <xdr:oneCellAnchor>
    <xdr:from>
      <xdr:col>1</xdr:col>
      <xdr:colOff>381000</xdr:colOff>
      <xdr:row>87</xdr:row>
      <xdr:rowOff>0</xdr:rowOff>
    </xdr:from>
    <xdr:ext cx="139700" cy="127000"/>
    <xdr:sp macro="" textlink="">
      <xdr:nvSpPr>
        <xdr:cNvPr id="1161" name="Text 137">
          <a:extLst>
            <a:ext uri="{FF2B5EF4-FFF2-40B4-BE49-F238E27FC236}">
              <a16:creationId xmlns:a16="http://schemas.microsoft.com/office/drawing/2014/main" id="{CC4F7935-773D-35B7-6186-923E5EF5EA48}"/>
            </a:ext>
          </a:extLst>
        </xdr:cNvPr>
        <xdr:cNvSpPr txBox="1">
          <a:spLocks noChangeArrowheads="1"/>
        </xdr:cNvSpPr>
      </xdr:nvSpPr>
      <xdr:spPr bwMode="auto">
        <a:xfrm>
          <a:off x="609600" y="160655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5)</a:t>
          </a:r>
        </a:p>
      </xdr:txBody>
    </xdr:sp>
    <xdr:clientData/>
  </xdr:oneCellAnchor>
  <xdr:oneCellAnchor>
    <xdr:from>
      <xdr:col>1</xdr:col>
      <xdr:colOff>571500</xdr:colOff>
      <xdr:row>88</xdr:row>
      <xdr:rowOff>12700</xdr:rowOff>
    </xdr:from>
    <xdr:ext cx="139700" cy="127000"/>
    <xdr:sp macro="" textlink="">
      <xdr:nvSpPr>
        <xdr:cNvPr id="1162" name="Text 138">
          <a:extLst>
            <a:ext uri="{FF2B5EF4-FFF2-40B4-BE49-F238E27FC236}">
              <a16:creationId xmlns:a16="http://schemas.microsoft.com/office/drawing/2014/main" id="{06097C60-7D2B-616A-62C4-95989A0B217A}"/>
            </a:ext>
          </a:extLst>
        </xdr:cNvPr>
        <xdr:cNvSpPr txBox="1">
          <a:spLocks noChangeArrowheads="1"/>
        </xdr:cNvSpPr>
      </xdr:nvSpPr>
      <xdr:spPr bwMode="auto">
        <a:xfrm>
          <a:off x="800100" y="162687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5)</a:t>
          </a:r>
        </a:p>
      </xdr:txBody>
    </xdr:sp>
    <xdr:clientData/>
  </xdr:oneCellAnchor>
  <xdr:oneCellAnchor>
    <xdr:from>
      <xdr:col>1</xdr:col>
      <xdr:colOff>444500</xdr:colOff>
      <xdr:row>106</xdr:row>
      <xdr:rowOff>12700</xdr:rowOff>
    </xdr:from>
    <xdr:ext cx="139700" cy="127000"/>
    <xdr:sp macro="" textlink="">
      <xdr:nvSpPr>
        <xdr:cNvPr id="1163" name="Text 139">
          <a:extLst>
            <a:ext uri="{FF2B5EF4-FFF2-40B4-BE49-F238E27FC236}">
              <a16:creationId xmlns:a16="http://schemas.microsoft.com/office/drawing/2014/main" id="{20332CBA-1EAD-A4B4-8376-A6EE831CB811}"/>
            </a:ext>
          </a:extLst>
        </xdr:cNvPr>
        <xdr:cNvSpPr txBox="1">
          <a:spLocks noChangeArrowheads="1"/>
        </xdr:cNvSpPr>
      </xdr:nvSpPr>
      <xdr:spPr bwMode="auto">
        <a:xfrm>
          <a:off x="673100" y="196977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5)</a:t>
          </a:r>
        </a:p>
      </xdr:txBody>
    </xdr:sp>
    <xdr:clientData/>
  </xdr:oneCellAnchor>
  <xdr:twoCellAnchor>
    <xdr:from>
      <xdr:col>10</xdr:col>
      <xdr:colOff>0</xdr:colOff>
      <xdr:row>8</xdr:row>
      <xdr:rowOff>0</xdr:rowOff>
    </xdr:from>
    <xdr:to>
      <xdr:col>10</xdr:col>
      <xdr:colOff>495300</xdr:colOff>
      <xdr:row>12</xdr:row>
      <xdr:rowOff>0</xdr:rowOff>
    </xdr:to>
    <xdr:sp macro="" textlink="">
      <xdr:nvSpPr>
        <xdr:cNvPr id="1165" name="Text 141">
          <a:extLst>
            <a:ext uri="{FF2B5EF4-FFF2-40B4-BE49-F238E27FC236}">
              <a16:creationId xmlns:a16="http://schemas.microsoft.com/office/drawing/2014/main" id="{908E2701-BEF8-9A63-DBC5-F8BF1A4F5D98}"/>
            </a:ext>
          </a:extLst>
        </xdr:cNvPr>
        <xdr:cNvSpPr txBox="1">
          <a:spLocks noChangeArrowheads="1"/>
        </xdr:cNvSpPr>
      </xdr:nvSpPr>
      <xdr:spPr bwMode="auto">
        <a:xfrm>
          <a:off x="7048500" y="1282700"/>
          <a:ext cx="495300" cy="609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Sonstige</a:t>
          </a:r>
        </a:p>
      </xdr:txBody>
    </xdr:sp>
    <xdr:clientData/>
  </xdr:twoCellAnchor>
  <xdr:oneCellAnchor>
    <xdr:from>
      <xdr:col>10</xdr:col>
      <xdr:colOff>330200</xdr:colOff>
      <xdr:row>8</xdr:row>
      <xdr:rowOff>50800</xdr:rowOff>
    </xdr:from>
    <xdr:ext cx="127000" cy="127000"/>
    <xdr:sp macro="" textlink="">
      <xdr:nvSpPr>
        <xdr:cNvPr id="1153" name="Text 129">
          <a:extLst>
            <a:ext uri="{FF2B5EF4-FFF2-40B4-BE49-F238E27FC236}">
              <a16:creationId xmlns:a16="http://schemas.microsoft.com/office/drawing/2014/main" id="{4D9CA895-A797-EB38-89A8-1D9352593866}"/>
            </a:ext>
          </a:extLst>
        </xdr:cNvPr>
        <xdr:cNvSpPr txBox="1">
          <a:spLocks noChangeArrowheads="1"/>
        </xdr:cNvSpPr>
      </xdr:nvSpPr>
      <xdr:spPr bwMode="auto">
        <a:xfrm>
          <a:off x="7378700" y="1333500"/>
          <a:ext cx="127000" cy="127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3)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7DACA-2B6F-3044-9477-F4E0547981D0}">
  <dimension ref="A1:K177"/>
  <sheetViews>
    <sheetView tabSelected="1" topLeftCell="C1" workbookViewId="0">
      <selection activeCell="D16" sqref="D16"/>
    </sheetView>
  </sheetViews>
  <sheetFormatPr baseColWidth="10" defaultRowHeight="12" customHeight="1"/>
  <cols>
    <col min="1" max="1" width="4.5" style="1" customWidth="1"/>
    <col min="2" max="2" width="42.25" style="1" customWidth="1"/>
    <col min="3" max="3" width="15" customWidth="1"/>
    <col min="4" max="10" width="11" customWidth="1"/>
  </cols>
  <sheetData>
    <row r="1" spans="1:11" ht="17.25" customHeight="1">
      <c r="E1" s="4" t="s">
        <v>0</v>
      </c>
    </row>
    <row r="16" spans="1:11" ht="15" customHeight="1">
      <c r="A16" s="1">
        <v>111</v>
      </c>
      <c r="B16" s="1" t="s">
        <v>1</v>
      </c>
      <c r="C16" s="12">
        <v>2633</v>
      </c>
      <c r="D16" s="7">
        <v>75.5</v>
      </c>
      <c r="E16" s="7">
        <v>39</v>
      </c>
      <c r="F16" s="7">
        <v>39.200000000000003</v>
      </c>
      <c r="G16" s="7">
        <v>12.3</v>
      </c>
      <c r="H16" s="7">
        <v>1.6</v>
      </c>
      <c r="I16" s="8">
        <v>6.4</v>
      </c>
      <c r="J16" s="7">
        <v>1</v>
      </c>
      <c r="K16" s="8">
        <f>(($E16+$F16+$G16+$H16+$I16+$J16)-100)*(-1)</f>
        <v>0.5</v>
      </c>
    </row>
    <row r="17" spans="1:11" ht="15" customHeight="1">
      <c r="A17" s="1">
        <v>112</v>
      </c>
      <c r="B17" s="1" t="s">
        <v>2</v>
      </c>
      <c r="C17" s="12">
        <v>3965</v>
      </c>
      <c r="D17" s="7">
        <v>76.3</v>
      </c>
      <c r="E17" s="7">
        <v>41</v>
      </c>
      <c r="F17" s="7">
        <v>39.299999999999997</v>
      </c>
      <c r="G17" s="7">
        <v>11.1</v>
      </c>
      <c r="H17" s="7">
        <v>1.6</v>
      </c>
      <c r="I17" s="7">
        <v>5.0999999999999996</v>
      </c>
      <c r="J17" s="7">
        <v>1.3</v>
      </c>
      <c r="K17" s="8">
        <f>(($E17+$F17+$G17+$H17+$I17+$J17)-100)*(-1)</f>
        <v>0.60000000000002274</v>
      </c>
    </row>
    <row r="18" spans="1:11" ht="15" customHeight="1">
      <c r="A18" s="1">
        <v>113</v>
      </c>
      <c r="B18" s="1" t="s">
        <v>3</v>
      </c>
      <c r="C18" s="12">
        <v>5275</v>
      </c>
      <c r="D18" s="7">
        <v>71.3</v>
      </c>
      <c r="E18" s="7">
        <v>34.9</v>
      </c>
      <c r="F18" s="7">
        <v>33.299999999999997</v>
      </c>
      <c r="G18" s="7">
        <v>10.3</v>
      </c>
      <c r="H18" s="7">
        <v>5.8</v>
      </c>
      <c r="I18" s="7">
        <v>12.9</v>
      </c>
      <c r="J18" s="7">
        <v>1.8</v>
      </c>
      <c r="K18" s="7">
        <f>(($E18+$F18+$G18+$H18+$I18+$J18)-100)*(-1)</f>
        <v>1.0000000000000142</v>
      </c>
    </row>
    <row r="19" spans="1:11" ht="15" customHeight="1">
      <c r="B19" s="2" t="s">
        <v>4</v>
      </c>
      <c r="C19" s="12">
        <f>SUM(C16:C18)</f>
        <v>11873</v>
      </c>
      <c r="D19" s="7">
        <v>73.900000000000006</v>
      </c>
      <c r="E19" s="7">
        <v>37.9</v>
      </c>
      <c r="F19" s="7">
        <v>36.700000000000003</v>
      </c>
      <c r="G19" s="7">
        <v>11</v>
      </c>
      <c r="H19" s="7">
        <v>3.4</v>
      </c>
      <c r="I19" s="7">
        <v>8.6999999999999993</v>
      </c>
      <c r="J19" s="7">
        <v>1.5</v>
      </c>
      <c r="K19" s="8">
        <f>(($E19+$F19+$G19+$H19+$I19+$J19)-100)*(-1)</f>
        <v>0.79999999999999716</v>
      </c>
    </row>
    <row r="20" spans="1:11" ht="15" customHeight="1">
      <c r="C20" s="12"/>
      <c r="D20" s="7"/>
      <c r="E20" s="7"/>
      <c r="F20" s="7"/>
      <c r="G20" s="7"/>
      <c r="H20" s="7"/>
      <c r="I20" s="7"/>
      <c r="J20" s="7"/>
      <c r="K20" s="6"/>
    </row>
    <row r="21" spans="1:11" ht="15" customHeight="1">
      <c r="A21" s="1">
        <v>121</v>
      </c>
      <c r="B21" s="1" t="s">
        <v>5</v>
      </c>
      <c r="C21" s="12">
        <v>420</v>
      </c>
      <c r="D21" s="7">
        <v>76.2</v>
      </c>
      <c r="E21" s="7">
        <v>52.2</v>
      </c>
      <c r="F21" s="7">
        <v>27.4</v>
      </c>
      <c r="G21" s="7">
        <v>13.2</v>
      </c>
      <c r="H21" s="7">
        <v>1.3</v>
      </c>
      <c r="I21" s="7">
        <v>4.7</v>
      </c>
      <c r="J21" s="7">
        <v>1.2</v>
      </c>
      <c r="K21" s="6" t="s">
        <v>6</v>
      </c>
    </row>
    <row r="22" spans="1:11" ht="15" customHeight="1">
      <c r="A22" s="1">
        <v>122</v>
      </c>
      <c r="B22" s="1" t="s">
        <v>7</v>
      </c>
      <c r="C22" s="12" t="s">
        <v>6</v>
      </c>
      <c r="D22" s="6" t="s">
        <v>6</v>
      </c>
      <c r="E22" s="6" t="s">
        <v>6</v>
      </c>
      <c r="F22" s="6" t="s">
        <v>6</v>
      </c>
      <c r="G22" s="6" t="s">
        <v>6</v>
      </c>
      <c r="H22" s="6" t="s">
        <v>6</v>
      </c>
      <c r="I22" s="6" t="s">
        <v>6</v>
      </c>
      <c r="J22" s="6" t="s">
        <v>6</v>
      </c>
      <c r="K22" s="6" t="s">
        <v>6</v>
      </c>
    </row>
    <row r="23" spans="1:11" ht="15" customHeight="1">
      <c r="A23" s="1">
        <v>123</v>
      </c>
      <c r="B23" s="1" t="s">
        <v>8</v>
      </c>
      <c r="C23" s="12"/>
      <c r="D23" s="6"/>
      <c r="E23" s="6"/>
      <c r="F23" s="6"/>
      <c r="G23" s="6"/>
      <c r="H23" s="6"/>
      <c r="I23" s="6"/>
      <c r="J23" s="6"/>
      <c r="K23" s="6"/>
    </row>
    <row r="24" spans="1:11" ht="15" customHeight="1">
      <c r="B24" s="1" t="s">
        <v>9</v>
      </c>
      <c r="C24" s="12" t="s">
        <v>6</v>
      </c>
      <c r="D24" s="6" t="s">
        <v>6</v>
      </c>
      <c r="E24" s="6" t="s">
        <v>6</v>
      </c>
      <c r="F24" s="6" t="s">
        <v>6</v>
      </c>
      <c r="G24" s="6" t="s">
        <v>6</v>
      </c>
      <c r="H24" s="6" t="s">
        <v>6</v>
      </c>
      <c r="I24" s="6" t="s">
        <v>6</v>
      </c>
      <c r="J24" s="6" t="s">
        <v>6</v>
      </c>
      <c r="K24" s="6" t="s">
        <v>6</v>
      </c>
    </row>
    <row r="25" spans="1:11" ht="15" customHeight="1">
      <c r="A25" s="1">
        <v>124</v>
      </c>
      <c r="B25" s="1" t="s">
        <v>10</v>
      </c>
      <c r="C25" s="12" t="s">
        <v>6</v>
      </c>
      <c r="D25" s="6" t="s">
        <v>6</v>
      </c>
      <c r="E25" s="6" t="s">
        <v>6</v>
      </c>
      <c r="F25" s="6" t="s">
        <v>6</v>
      </c>
      <c r="G25" s="6" t="s">
        <v>6</v>
      </c>
      <c r="H25" s="6" t="s">
        <v>6</v>
      </c>
      <c r="I25" s="6" t="s">
        <v>6</v>
      </c>
      <c r="J25" s="6" t="s">
        <v>6</v>
      </c>
      <c r="K25" s="6" t="s">
        <v>6</v>
      </c>
    </row>
    <row r="26" spans="1:11" ht="15" customHeight="1">
      <c r="A26" s="1">
        <v>125</v>
      </c>
      <c r="B26" s="1" t="s">
        <v>11</v>
      </c>
      <c r="C26" s="12" t="s">
        <v>6</v>
      </c>
      <c r="D26" s="6" t="s">
        <v>6</v>
      </c>
      <c r="E26" s="6" t="s">
        <v>6</v>
      </c>
      <c r="F26" s="6" t="s">
        <v>6</v>
      </c>
      <c r="G26" s="6" t="s">
        <v>6</v>
      </c>
      <c r="H26" s="6" t="s">
        <v>6</v>
      </c>
      <c r="I26" s="6" t="s">
        <v>6</v>
      </c>
      <c r="J26" s="6" t="s">
        <v>6</v>
      </c>
      <c r="K26" s="6" t="s">
        <v>6</v>
      </c>
    </row>
    <row r="27" spans="1:11" ht="15" customHeight="1">
      <c r="B27" s="2" t="s">
        <v>12</v>
      </c>
      <c r="C27" s="12">
        <v>420</v>
      </c>
      <c r="D27" s="7">
        <v>76.2</v>
      </c>
      <c r="E27" s="7">
        <v>52.2</v>
      </c>
      <c r="F27" s="7">
        <v>27.4</v>
      </c>
      <c r="G27" s="7">
        <v>13.2</v>
      </c>
      <c r="H27" s="7">
        <v>1.3</v>
      </c>
      <c r="I27" s="7">
        <v>4.7</v>
      </c>
      <c r="J27" s="8">
        <v>1.2</v>
      </c>
      <c r="K27" s="6" t="s">
        <v>6</v>
      </c>
    </row>
    <row r="28" spans="1:11" ht="15" customHeight="1">
      <c r="C28" s="12"/>
      <c r="D28" s="7"/>
      <c r="E28" s="7"/>
      <c r="F28" s="7"/>
      <c r="G28" s="7"/>
      <c r="H28" s="7"/>
      <c r="I28" s="7"/>
      <c r="J28" s="7"/>
      <c r="K28" s="6"/>
    </row>
    <row r="29" spans="1:11" ht="15" customHeight="1">
      <c r="B29" s="2" t="s">
        <v>13</v>
      </c>
      <c r="C29" s="12">
        <v>12293</v>
      </c>
      <c r="D29" s="7">
        <v>74</v>
      </c>
      <c r="E29" s="7">
        <v>38.4</v>
      </c>
      <c r="F29" s="7">
        <v>36.4</v>
      </c>
      <c r="G29" s="7">
        <v>11.1</v>
      </c>
      <c r="H29" s="7">
        <v>3.3</v>
      </c>
      <c r="I29" s="7">
        <v>8.6</v>
      </c>
      <c r="J29" s="7">
        <v>1.4</v>
      </c>
      <c r="K29" s="8">
        <f>(($E29+$F29+$G29+$H29+$I29+$J29)-100)*(-1)</f>
        <v>0.80000000000001137</v>
      </c>
    </row>
    <row r="30" spans="1:11" ht="15" customHeight="1">
      <c r="C30" s="12"/>
      <c r="D30" s="7"/>
      <c r="E30" s="7"/>
      <c r="F30" s="7"/>
      <c r="G30" s="7"/>
      <c r="H30" s="7"/>
      <c r="I30" s="7"/>
      <c r="J30" s="7"/>
      <c r="K30" s="6"/>
    </row>
    <row r="31" spans="1:11" ht="15" customHeight="1">
      <c r="A31" s="1">
        <v>211</v>
      </c>
      <c r="B31" s="1" t="s">
        <v>14</v>
      </c>
      <c r="C31" s="12">
        <v>4299</v>
      </c>
      <c r="D31" s="7">
        <v>75.2</v>
      </c>
      <c r="E31" s="7">
        <v>45.1</v>
      </c>
      <c r="F31" s="7">
        <v>34.5</v>
      </c>
      <c r="G31" s="7">
        <v>12.4</v>
      </c>
      <c r="H31" s="7">
        <v>1.6</v>
      </c>
      <c r="I31" s="7">
        <v>4.9000000000000004</v>
      </c>
      <c r="J31" s="8">
        <v>0.9</v>
      </c>
      <c r="K31" s="8">
        <f t="shared" ref="K31:K37" si="0">(($E31+$F31+$G31+$H31+$I31+$J31)-100)*(-1)</f>
        <v>0.59999999999999432</v>
      </c>
    </row>
    <row r="32" spans="1:11" ht="15" customHeight="1">
      <c r="A32" s="1">
        <v>212</v>
      </c>
      <c r="B32" s="1" t="s">
        <v>15</v>
      </c>
      <c r="C32" s="12">
        <v>3906</v>
      </c>
      <c r="D32" s="7">
        <v>75.3</v>
      </c>
      <c r="E32" s="7">
        <v>51.4</v>
      </c>
      <c r="F32" s="7">
        <v>29</v>
      </c>
      <c r="G32" s="7">
        <v>9.1</v>
      </c>
      <c r="H32" s="7">
        <v>2.5</v>
      </c>
      <c r="I32" s="7">
        <v>5.7</v>
      </c>
      <c r="J32" s="7">
        <v>1.1000000000000001</v>
      </c>
      <c r="K32" s="8">
        <f t="shared" si="0"/>
        <v>1.2000000000000028</v>
      </c>
    </row>
    <row r="33" spans="1:11" ht="15" customHeight="1">
      <c r="A33" s="1">
        <v>213</v>
      </c>
      <c r="B33" s="1" t="s">
        <v>16</v>
      </c>
      <c r="C33" s="12">
        <v>6317</v>
      </c>
      <c r="D33" s="7">
        <v>78</v>
      </c>
      <c r="E33" s="7">
        <v>45.3</v>
      </c>
      <c r="F33" s="7">
        <v>32.6</v>
      </c>
      <c r="G33" s="7">
        <v>11.9</v>
      </c>
      <c r="H33" s="7">
        <v>2.5</v>
      </c>
      <c r="I33" s="7">
        <v>5.2</v>
      </c>
      <c r="J33" s="7">
        <v>2</v>
      </c>
      <c r="K33" s="8">
        <f t="shared" si="0"/>
        <v>0.49999999999998579</v>
      </c>
    </row>
    <row r="34" spans="1:11" ht="15" customHeight="1">
      <c r="A34" s="1">
        <v>214</v>
      </c>
      <c r="B34" s="1" t="s">
        <v>17</v>
      </c>
      <c r="C34" s="12">
        <v>4441</v>
      </c>
      <c r="D34" s="7">
        <v>76.5</v>
      </c>
      <c r="E34" s="7">
        <v>52.6</v>
      </c>
      <c r="F34" s="7">
        <v>28.4</v>
      </c>
      <c r="G34" s="7">
        <v>10.5</v>
      </c>
      <c r="H34" s="7">
        <v>1.5</v>
      </c>
      <c r="I34" s="7">
        <v>4.8</v>
      </c>
      <c r="J34" s="7">
        <v>1.5</v>
      </c>
      <c r="K34" s="8">
        <f t="shared" si="0"/>
        <v>0.70000000000000284</v>
      </c>
    </row>
    <row r="35" spans="1:11" ht="15" customHeight="1">
      <c r="A35" s="1">
        <v>215</v>
      </c>
      <c r="B35" s="1" t="s">
        <v>18</v>
      </c>
      <c r="C35" s="12">
        <v>4888</v>
      </c>
      <c r="D35" s="7">
        <v>83.9</v>
      </c>
      <c r="E35" s="7">
        <v>52.7</v>
      </c>
      <c r="F35" s="7">
        <v>30.2</v>
      </c>
      <c r="G35" s="7">
        <v>10.5</v>
      </c>
      <c r="H35" s="7">
        <v>1.1000000000000001</v>
      </c>
      <c r="I35" s="7">
        <v>4.4000000000000004</v>
      </c>
      <c r="J35" s="8">
        <v>0.9</v>
      </c>
      <c r="K35" s="8">
        <f t="shared" si="0"/>
        <v>0.19999999999998863</v>
      </c>
    </row>
    <row r="36" spans="1:11" ht="15" customHeight="1">
      <c r="A36" s="1">
        <v>216</v>
      </c>
      <c r="B36" s="1" t="s">
        <v>19</v>
      </c>
      <c r="C36" s="12">
        <v>5486</v>
      </c>
      <c r="D36" s="7">
        <v>73.8</v>
      </c>
      <c r="E36" s="7">
        <v>49.3</v>
      </c>
      <c r="F36" s="7">
        <v>29</v>
      </c>
      <c r="G36" s="7">
        <v>11</v>
      </c>
      <c r="H36" s="7">
        <v>2.4</v>
      </c>
      <c r="I36" s="7">
        <v>6.2</v>
      </c>
      <c r="J36" s="7">
        <v>1.2</v>
      </c>
      <c r="K36" s="8">
        <f t="shared" si="0"/>
        <v>0.89999999999999147</v>
      </c>
    </row>
    <row r="37" spans="1:11" ht="15" customHeight="1">
      <c r="A37" s="1">
        <v>217</v>
      </c>
      <c r="B37" s="1" t="s">
        <v>20</v>
      </c>
      <c r="C37" s="12">
        <v>6107</v>
      </c>
      <c r="D37" s="7">
        <v>77.7</v>
      </c>
      <c r="E37" s="7">
        <v>53.6</v>
      </c>
      <c r="F37" s="7">
        <v>28.8</v>
      </c>
      <c r="G37" s="7">
        <v>10.199999999999999</v>
      </c>
      <c r="H37" s="7">
        <v>1.4</v>
      </c>
      <c r="I37" s="8">
        <v>4.5999999999999996</v>
      </c>
      <c r="J37" s="8">
        <v>0.7</v>
      </c>
      <c r="K37" s="8">
        <f t="shared" si="0"/>
        <v>0.69999999999998863</v>
      </c>
    </row>
    <row r="38" spans="1:11" ht="15" customHeight="1">
      <c r="A38" s="1">
        <v>218</v>
      </c>
      <c r="B38" s="1" t="s">
        <v>21</v>
      </c>
      <c r="C38" s="12" t="s">
        <v>6</v>
      </c>
      <c r="D38" s="7" t="s">
        <v>6</v>
      </c>
      <c r="E38" s="7" t="s">
        <v>6</v>
      </c>
      <c r="F38" s="7" t="s">
        <v>6</v>
      </c>
      <c r="G38" s="7" t="s">
        <v>6</v>
      </c>
      <c r="H38" s="7" t="s">
        <v>6</v>
      </c>
      <c r="I38" s="7" t="s">
        <v>6</v>
      </c>
      <c r="J38" s="7" t="s">
        <v>6</v>
      </c>
      <c r="K38" s="6"/>
    </row>
    <row r="39" spans="1:11" ht="15" customHeight="1">
      <c r="B39" s="2" t="s">
        <v>22</v>
      </c>
      <c r="C39" s="12">
        <f>SUM(C31:C38)</f>
        <v>35444</v>
      </c>
      <c r="D39" s="7">
        <v>77.3</v>
      </c>
      <c r="E39" s="7">
        <v>50</v>
      </c>
      <c r="F39" s="7">
        <v>30.3</v>
      </c>
      <c r="G39" s="7">
        <v>10.9</v>
      </c>
      <c r="H39" s="7">
        <v>1.9</v>
      </c>
      <c r="I39" s="7">
        <v>5</v>
      </c>
      <c r="J39" s="7">
        <v>1.2</v>
      </c>
      <c r="K39" s="8">
        <f>(($E39+$F39+$G39+$H39+$I39+$J39)-100)*(-1)</f>
        <v>0.69999999999998863</v>
      </c>
    </row>
    <row r="40" spans="1:11" ht="15" customHeight="1">
      <c r="C40" s="12" t="s">
        <v>23</v>
      </c>
      <c r="D40" s="7"/>
      <c r="E40" s="7"/>
      <c r="F40" s="7"/>
      <c r="G40" s="7"/>
      <c r="H40" s="7"/>
      <c r="I40" s="7"/>
      <c r="J40" s="7"/>
      <c r="K40" s="8"/>
    </row>
    <row r="41" spans="1:11" ht="15" customHeight="1">
      <c r="A41" s="1">
        <v>231</v>
      </c>
      <c r="B41" s="1" t="s">
        <v>24</v>
      </c>
      <c r="C41" s="12">
        <v>7004</v>
      </c>
      <c r="D41" s="7">
        <v>88.1</v>
      </c>
      <c r="E41" s="7">
        <v>55.8</v>
      </c>
      <c r="F41" s="7">
        <v>27.2</v>
      </c>
      <c r="G41" s="7">
        <v>11.4</v>
      </c>
      <c r="H41" s="8">
        <v>0.6</v>
      </c>
      <c r="I41" s="8">
        <v>4.3</v>
      </c>
      <c r="J41" s="8">
        <v>0.4</v>
      </c>
      <c r="K41" s="8">
        <f>(($E41+$F41+$G41+$H41+$I41+$J41)-100)*(-1)</f>
        <v>0.29999999999999716</v>
      </c>
    </row>
    <row r="42" spans="1:11" ht="15" customHeight="1">
      <c r="A42" s="1">
        <v>232</v>
      </c>
      <c r="B42" s="1" t="s">
        <v>25</v>
      </c>
      <c r="C42" s="12" t="s">
        <v>6</v>
      </c>
      <c r="D42" s="7" t="s">
        <v>6</v>
      </c>
      <c r="E42" s="7" t="s">
        <v>6</v>
      </c>
      <c r="F42" s="7" t="s">
        <v>6</v>
      </c>
      <c r="G42" s="7" t="s">
        <v>6</v>
      </c>
      <c r="H42" s="7" t="s">
        <v>6</v>
      </c>
      <c r="I42" s="8" t="s">
        <v>6</v>
      </c>
      <c r="J42" s="7" t="s">
        <v>6</v>
      </c>
      <c r="K42" s="6"/>
    </row>
    <row r="43" spans="1:11" ht="15" customHeight="1">
      <c r="A43" s="1">
        <v>233</v>
      </c>
      <c r="B43" s="1" t="s">
        <v>26</v>
      </c>
      <c r="C43" s="12">
        <v>9457</v>
      </c>
      <c r="D43" s="7">
        <v>79.400000000000006</v>
      </c>
      <c r="E43" s="7">
        <v>58.2</v>
      </c>
      <c r="F43" s="7">
        <v>26.7</v>
      </c>
      <c r="G43" s="7">
        <v>9.1999999999999993</v>
      </c>
      <c r="H43" s="8">
        <v>0.8</v>
      </c>
      <c r="I43" s="8">
        <v>3.7</v>
      </c>
      <c r="J43" s="8">
        <v>0.9</v>
      </c>
      <c r="K43" s="8">
        <f>(($E43+$F43+$G43+$H43+$I43+$J43)-100)*(-1)</f>
        <v>0.49999999999998579</v>
      </c>
    </row>
    <row r="44" spans="1:11" ht="15" customHeight="1">
      <c r="A44" s="1">
        <v>234</v>
      </c>
      <c r="B44" s="1" t="s">
        <v>27</v>
      </c>
      <c r="C44" s="12">
        <v>4264</v>
      </c>
      <c r="D44" s="7">
        <v>83.1</v>
      </c>
      <c r="E44" s="7">
        <v>47.9</v>
      </c>
      <c r="F44" s="7">
        <v>31.7</v>
      </c>
      <c r="G44" s="7">
        <v>12.6</v>
      </c>
      <c r="H44" s="8">
        <v>0.9</v>
      </c>
      <c r="I44" s="7">
        <v>6</v>
      </c>
      <c r="J44" s="8">
        <v>0.5</v>
      </c>
      <c r="K44" s="8">
        <f>(($E44+$F44+$G44+$H44+$I44+$J44)-100)*(-1)</f>
        <v>0.40000000000000568</v>
      </c>
    </row>
    <row r="45" spans="1:11" ht="15" customHeight="1">
      <c r="B45" s="2" t="s">
        <v>28</v>
      </c>
      <c r="C45" s="12">
        <f>C41+C43+C44</f>
        <v>20725</v>
      </c>
      <c r="D45" s="7">
        <v>83.1</v>
      </c>
      <c r="E45" s="7">
        <v>55.2</v>
      </c>
      <c r="F45" s="7">
        <v>27.9</v>
      </c>
      <c r="G45" s="7">
        <v>10.7</v>
      </c>
      <c r="H45" s="8">
        <v>0.8</v>
      </c>
      <c r="I45" s="8">
        <v>4.4000000000000004</v>
      </c>
      <c r="J45" s="8">
        <v>0.6</v>
      </c>
      <c r="K45" s="8">
        <f>(($E45+$F45+$G45+$H45+$I45+$J45)-100)*(-1)</f>
        <v>0.40000000000000568</v>
      </c>
    </row>
    <row r="46" spans="1:11" ht="15" customHeight="1">
      <c r="C46" s="12" t="s">
        <v>23</v>
      </c>
      <c r="D46" s="7"/>
      <c r="E46" s="7"/>
      <c r="F46" s="7"/>
      <c r="G46" s="7"/>
      <c r="H46" s="7"/>
      <c r="I46" s="7"/>
      <c r="J46" s="7"/>
      <c r="K46" s="6"/>
    </row>
    <row r="47" spans="1:11" ht="15" customHeight="1">
      <c r="A47" s="1">
        <v>241</v>
      </c>
      <c r="B47" s="1" t="s">
        <v>29</v>
      </c>
      <c r="C47" s="12">
        <v>8321</v>
      </c>
      <c r="D47" s="7">
        <v>79.400000000000006</v>
      </c>
      <c r="E47" s="7">
        <v>53.5</v>
      </c>
      <c r="F47" s="7">
        <v>27.8</v>
      </c>
      <c r="G47" s="7">
        <v>11.7</v>
      </c>
      <c r="H47" s="7">
        <v>1</v>
      </c>
      <c r="I47" s="8">
        <v>4.7</v>
      </c>
      <c r="J47" s="8">
        <v>0.9</v>
      </c>
      <c r="K47" s="8">
        <f>(($E47+$F47+$G47+$H47+$I47+$J47)-100)*(-1)</f>
        <v>0.39999999999999147</v>
      </c>
    </row>
    <row r="48" spans="1:11" ht="15" customHeight="1">
      <c r="A48" s="1">
        <v>242</v>
      </c>
      <c r="B48" s="1" t="s">
        <v>30</v>
      </c>
      <c r="C48" s="12">
        <v>5579</v>
      </c>
      <c r="D48" s="7">
        <v>77.3</v>
      </c>
      <c r="E48" s="7">
        <v>59.1</v>
      </c>
      <c r="F48" s="7">
        <v>23.5</v>
      </c>
      <c r="G48" s="7">
        <v>10.8</v>
      </c>
      <c r="H48" s="7">
        <v>1</v>
      </c>
      <c r="I48" s="7">
        <v>4.2</v>
      </c>
      <c r="J48" s="8">
        <v>0.9</v>
      </c>
      <c r="K48" s="8">
        <f>(($E48+$F48+$G48+$H48+$I48+$J48)-100)*(-1)</f>
        <v>0.5</v>
      </c>
    </row>
    <row r="49" spans="1:11" ht="15" customHeight="1">
      <c r="A49" s="1">
        <v>243</v>
      </c>
      <c r="B49" s="1" t="s">
        <v>31</v>
      </c>
      <c r="C49" s="12">
        <v>6979</v>
      </c>
      <c r="D49" s="7">
        <v>79.5</v>
      </c>
      <c r="E49" s="7">
        <v>52.5</v>
      </c>
      <c r="F49" s="7">
        <v>30.6</v>
      </c>
      <c r="G49" s="7">
        <v>10.8</v>
      </c>
      <c r="H49" s="8">
        <v>0.9</v>
      </c>
      <c r="I49" s="7">
        <v>4</v>
      </c>
      <c r="J49" s="8">
        <v>0.6</v>
      </c>
      <c r="K49" s="8">
        <f>(($E49+$F49+$G49+$H49+$I49+$J49)-100)*(-1)</f>
        <v>0.60000000000000853</v>
      </c>
    </row>
    <row r="50" spans="1:11" ht="15" customHeight="1">
      <c r="A50" s="1">
        <v>244</v>
      </c>
      <c r="B50" s="1" t="s">
        <v>32</v>
      </c>
      <c r="C50" s="12">
        <v>3257</v>
      </c>
      <c r="D50" s="7">
        <v>87.4</v>
      </c>
      <c r="E50" s="7">
        <v>48.9</v>
      </c>
      <c r="F50" s="7">
        <v>29.6</v>
      </c>
      <c r="G50" s="7">
        <v>13.6</v>
      </c>
      <c r="H50" s="8">
        <v>0.9</v>
      </c>
      <c r="I50" s="8">
        <v>6.2</v>
      </c>
      <c r="J50" s="8">
        <v>0.5</v>
      </c>
      <c r="K50" s="8">
        <f>(($E50+$F50+$G50+$H50+$I50+$J50)-100)*(-1)</f>
        <v>0.29999999999999716</v>
      </c>
    </row>
    <row r="51" spans="1:11" ht="15" customHeight="1">
      <c r="B51" s="2" t="s">
        <v>33</v>
      </c>
      <c r="C51" s="12">
        <f>SUM(C47:C50)</f>
        <v>24136</v>
      </c>
      <c r="D51" s="7">
        <v>80.8</v>
      </c>
      <c r="E51" s="7">
        <v>53.8</v>
      </c>
      <c r="F51" s="7">
        <v>27.9</v>
      </c>
      <c r="G51" s="7">
        <v>11.5</v>
      </c>
      <c r="H51" s="8">
        <v>0.9</v>
      </c>
      <c r="I51" s="8">
        <v>4.5999999999999996</v>
      </c>
      <c r="J51" s="8">
        <v>0.8</v>
      </c>
      <c r="K51" s="8">
        <f>(($E51+$F51+$G51+$H51+$I51+$J51)-100)*(-1)</f>
        <v>0.50000000000001421</v>
      </c>
    </row>
    <row r="52" spans="1:11" ht="15" customHeight="1">
      <c r="C52" s="12" t="s">
        <v>23</v>
      </c>
      <c r="D52" s="7"/>
      <c r="E52" s="7"/>
      <c r="F52" s="7"/>
      <c r="G52" s="7"/>
      <c r="H52" s="7"/>
      <c r="I52" s="7"/>
      <c r="J52" s="7"/>
      <c r="K52" s="6"/>
    </row>
    <row r="53" spans="1:11" ht="15" customHeight="1">
      <c r="A53" s="1">
        <v>251</v>
      </c>
      <c r="B53" s="1" t="s">
        <v>34</v>
      </c>
      <c r="C53" s="12">
        <v>10185</v>
      </c>
      <c r="D53" s="7">
        <v>78.3</v>
      </c>
      <c r="E53" s="7">
        <v>63.4</v>
      </c>
      <c r="F53" s="7">
        <v>21.6</v>
      </c>
      <c r="G53" s="7">
        <v>9.1</v>
      </c>
      <c r="H53" s="8">
        <v>0.6</v>
      </c>
      <c r="I53" s="7">
        <v>3.7</v>
      </c>
      <c r="J53" s="7">
        <v>1</v>
      </c>
      <c r="K53" s="8">
        <f>(($E53+$F53+$G53+$H53+$I53+$J53)-100)*(-1)</f>
        <v>0.60000000000000853</v>
      </c>
    </row>
    <row r="54" spans="1:11" ht="15" customHeight="1">
      <c r="A54" s="1">
        <v>252</v>
      </c>
      <c r="B54" s="1" t="s">
        <v>35</v>
      </c>
      <c r="C54" s="12" t="s">
        <v>6</v>
      </c>
      <c r="D54" s="7" t="s">
        <v>6</v>
      </c>
      <c r="E54" s="7" t="s">
        <v>6</v>
      </c>
      <c r="F54" s="7" t="s">
        <v>6</v>
      </c>
      <c r="G54" s="7" t="s">
        <v>6</v>
      </c>
      <c r="H54" s="7" t="s">
        <v>6</v>
      </c>
      <c r="I54" s="7" t="s">
        <v>6</v>
      </c>
      <c r="J54" s="7" t="s">
        <v>6</v>
      </c>
      <c r="K54" s="6" t="s">
        <v>6</v>
      </c>
    </row>
    <row r="55" spans="1:11" ht="15" customHeight="1">
      <c r="B55" s="2" t="s">
        <v>36</v>
      </c>
      <c r="C55" s="12">
        <f>SUM(C53:C54)</f>
        <v>10185</v>
      </c>
      <c r="D55" s="7">
        <v>78.3</v>
      </c>
      <c r="E55" s="7">
        <v>63.4</v>
      </c>
      <c r="F55" s="7">
        <v>21.6</v>
      </c>
      <c r="G55" s="7">
        <v>9.1</v>
      </c>
      <c r="H55" s="8">
        <v>0.6</v>
      </c>
      <c r="I55" s="7">
        <v>3.7</v>
      </c>
      <c r="J55" s="7">
        <v>1</v>
      </c>
      <c r="K55" s="8">
        <f>(($E55+$F55+$G55+$H55+$I55+$J55)-100)*(-1)</f>
        <v>0.60000000000000853</v>
      </c>
    </row>
    <row r="56" spans="1:11" ht="15" customHeight="1">
      <c r="C56" s="12" t="s">
        <v>23</v>
      </c>
      <c r="D56" s="10"/>
      <c r="E56" s="10"/>
      <c r="F56" s="10"/>
      <c r="G56" s="7"/>
      <c r="H56" s="7"/>
      <c r="I56" s="7"/>
      <c r="J56" s="7"/>
      <c r="K56" s="6"/>
    </row>
    <row r="57" spans="1:11" ht="15" customHeight="1">
      <c r="A57" s="1">
        <v>261</v>
      </c>
      <c r="B57" s="1" t="s">
        <v>37</v>
      </c>
      <c r="C57" s="12">
        <v>557</v>
      </c>
      <c r="D57" s="11">
        <v>89.8</v>
      </c>
      <c r="E57" s="11">
        <v>49.7</v>
      </c>
      <c r="F57" s="11">
        <v>40.6</v>
      </c>
      <c r="G57" s="8">
        <v>5.7</v>
      </c>
      <c r="H57" s="7">
        <v>1</v>
      </c>
      <c r="I57" s="7">
        <v>2.6</v>
      </c>
      <c r="J57" s="8">
        <v>0.2</v>
      </c>
      <c r="K57" s="8">
        <f>(($E57+$F57+$G57+$H57+$I57+$J57)-100)*(-1)</f>
        <v>0.19999999999998863</v>
      </c>
    </row>
    <row r="58" spans="1:11" ht="15" customHeight="1">
      <c r="A58" s="1">
        <v>271</v>
      </c>
      <c r="B58" s="1" t="s">
        <v>38</v>
      </c>
      <c r="C58" s="12">
        <v>293</v>
      </c>
      <c r="D58" s="7">
        <v>89.8</v>
      </c>
      <c r="E58" s="7">
        <v>48.9</v>
      </c>
      <c r="F58" s="7">
        <v>37.799999999999997</v>
      </c>
      <c r="G58" s="7">
        <v>11.8</v>
      </c>
      <c r="H58" s="8">
        <v>0.4</v>
      </c>
      <c r="I58" s="8">
        <v>1.1000000000000001</v>
      </c>
      <c r="J58" s="9" t="s">
        <v>6</v>
      </c>
      <c r="K58" s="9" t="s">
        <v>6</v>
      </c>
    </row>
    <row r="59" spans="1:11" ht="15" customHeight="1">
      <c r="C59" s="12" t="s">
        <v>23</v>
      </c>
      <c r="D59" s="7"/>
      <c r="E59" s="7"/>
      <c r="F59" s="7"/>
      <c r="G59" s="7"/>
      <c r="H59" s="7"/>
      <c r="I59" s="7"/>
      <c r="J59" s="7"/>
      <c r="K59" s="6"/>
    </row>
    <row r="60" spans="1:11" ht="15" customHeight="1">
      <c r="B60" s="2" t="s">
        <v>39</v>
      </c>
      <c r="C60" s="12">
        <v>91340</v>
      </c>
      <c r="D60" s="7">
        <v>79.599999999999994</v>
      </c>
      <c r="E60" s="7">
        <v>53.7</v>
      </c>
      <c r="F60" s="7">
        <v>28.3</v>
      </c>
      <c r="G60" s="7">
        <v>10.8</v>
      </c>
      <c r="H60" s="7">
        <v>1.2</v>
      </c>
      <c r="I60" s="7">
        <v>4.5999999999999996</v>
      </c>
      <c r="J60" s="8">
        <v>0.9</v>
      </c>
      <c r="K60" s="6">
        <v>0.5</v>
      </c>
    </row>
    <row r="61" spans="1:11" ht="15" customHeight="1">
      <c r="C61" s="12" t="s">
        <v>23</v>
      </c>
      <c r="D61" s="7"/>
      <c r="E61" s="7"/>
      <c r="F61" s="7"/>
      <c r="G61" s="7"/>
      <c r="H61" s="7"/>
      <c r="I61" s="7"/>
      <c r="J61" s="7"/>
      <c r="K61" s="6"/>
    </row>
    <row r="62" spans="1:11" ht="15" customHeight="1">
      <c r="A62" s="1">
        <v>311</v>
      </c>
      <c r="B62" s="1" t="s">
        <v>40</v>
      </c>
      <c r="C62" s="12">
        <v>5801</v>
      </c>
      <c r="D62" s="7">
        <v>73.5</v>
      </c>
      <c r="E62" s="7">
        <v>40.299999999999997</v>
      </c>
      <c r="F62" s="7">
        <v>30.1</v>
      </c>
      <c r="G62" s="7">
        <v>10.199999999999999</v>
      </c>
      <c r="H62" s="7">
        <v>5.6</v>
      </c>
      <c r="I62" s="7">
        <v>10.199999999999999</v>
      </c>
      <c r="J62" s="7">
        <v>2.2999999999999998</v>
      </c>
      <c r="K62" s="8">
        <f>(($E62+$F62+$G62+$H62+$I62+$J62)-100)*(-1)</f>
        <v>1.2999999999999972</v>
      </c>
    </row>
    <row r="63" spans="1:11" ht="15" customHeight="1">
      <c r="A63" s="1">
        <v>312</v>
      </c>
      <c r="B63" s="1" t="s">
        <v>41</v>
      </c>
      <c r="C63" s="12">
        <v>5439</v>
      </c>
      <c r="D63" s="7">
        <v>75.099999999999994</v>
      </c>
      <c r="E63" s="7">
        <v>34.5</v>
      </c>
      <c r="F63" s="7">
        <v>35.1</v>
      </c>
      <c r="G63" s="7">
        <v>11.9</v>
      </c>
      <c r="H63" s="7">
        <v>4.5</v>
      </c>
      <c r="I63" s="7">
        <v>11.2</v>
      </c>
      <c r="J63" s="7">
        <v>2</v>
      </c>
      <c r="K63" s="8">
        <f>(($E63+$F63+$G63+$H63+$I63+$J63)-100)*(-1)</f>
        <v>0.79999999999999716</v>
      </c>
    </row>
    <row r="64" spans="1:11" ht="15" customHeight="1">
      <c r="A64" s="1">
        <v>313</v>
      </c>
      <c r="B64" s="1" t="s">
        <v>42</v>
      </c>
      <c r="C64" s="12">
        <v>8665</v>
      </c>
      <c r="D64" s="7">
        <v>79.7</v>
      </c>
      <c r="E64" s="7">
        <v>36.700000000000003</v>
      </c>
      <c r="F64" s="7">
        <v>36.6</v>
      </c>
      <c r="G64" s="7">
        <v>13.7</v>
      </c>
      <c r="H64" s="7">
        <v>2.8</v>
      </c>
      <c r="I64" s="7">
        <v>8</v>
      </c>
      <c r="J64" s="7">
        <v>1.2</v>
      </c>
      <c r="K64" s="7">
        <f>(($E64+$F64+$G64+$H64+$I64+$J64)-100)*(-1)</f>
        <v>0.99999999999998579</v>
      </c>
    </row>
    <row r="65" spans="1:11" ht="15" customHeight="1">
      <c r="A65" s="1">
        <v>314</v>
      </c>
      <c r="B65" s="1" t="s">
        <v>43</v>
      </c>
      <c r="C65" s="12">
        <v>4288</v>
      </c>
      <c r="D65" s="7">
        <v>79.099999999999994</v>
      </c>
      <c r="E65" s="7">
        <v>46.4</v>
      </c>
      <c r="F65" s="7">
        <v>33</v>
      </c>
      <c r="G65" s="7">
        <v>11.7</v>
      </c>
      <c r="H65" s="7">
        <v>1.7</v>
      </c>
      <c r="I65" s="7">
        <v>5.3</v>
      </c>
      <c r="J65" s="7">
        <v>1.3</v>
      </c>
      <c r="K65" s="8">
        <f>(($E65+$F65+$G65+$H65+$I65+$J65)-100)*(-1)</f>
        <v>0.59999999999999432</v>
      </c>
    </row>
    <row r="66" spans="1:11" ht="15" customHeight="1">
      <c r="B66" s="2" t="s">
        <v>44</v>
      </c>
      <c r="C66" s="12">
        <f>SUM(C62:C65)</f>
        <v>24193</v>
      </c>
      <c r="D66" s="7">
        <v>77.099999999999994</v>
      </c>
      <c r="E66" s="7">
        <v>38.799999999999997</v>
      </c>
      <c r="F66" s="7">
        <v>34.1</v>
      </c>
      <c r="G66" s="7">
        <v>12.2</v>
      </c>
      <c r="H66" s="7">
        <v>3.6</v>
      </c>
      <c r="I66" s="7">
        <v>8.6999999999999993</v>
      </c>
      <c r="J66" s="7">
        <v>1.6</v>
      </c>
      <c r="K66" s="7">
        <f>(($E66+$F66+$G66+$H66+$I66+$J66)-100)*(-1)</f>
        <v>1</v>
      </c>
    </row>
    <row r="67" spans="1:11" ht="15" customHeight="1">
      <c r="C67" s="12" t="s">
        <v>23</v>
      </c>
      <c r="D67" s="7"/>
      <c r="E67" s="7"/>
      <c r="F67" s="7"/>
      <c r="G67" s="7"/>
      <c r="H67" s="7"/>
      <c r="I67" s="7"/>
      <c r="J67" s="7"/>
      <c r="K67" s="6"/>
    </row>
    <row r="68" spans="1:11" ht="15" customHeight="1">
      <c r="A68" s="1">
        <v>321</v>
      </c>
      <c r="B68" s="1" t="s">
        <v>45</v>
      </c>
      <c r="C68" s="12">
        <v>5324</v>
      </c>
      <c r="D68" s="7">
        <v>85.4</v>
      </c>
      <c r="E68" s="7">
        <v>31</v>
      </c>
      <c r="F68" s="7">
        <v>45.6</v>
      </c>
      <c r="G68" s="7">
        <v>15.3</v>
      </c>
      <c r="H68" s="7">
        <v>1.2</v>
      </c>
      <c r="I68" s="7">
        <v>5.8</v>
      </c>
      <c r="J68" s="8">
        <v>0.6</v>
      </c>
      <c r="K68" s="8">
        <f t="shared" ref="K68:K75" si="1">(($E68+$F68+$G68+$H68+$I68+$J68)-100)*(-1)</f>
        <v>0.50000000000001421</v>
      </c>
    </row>
    <row r="69" spans="1:11" ht="15" customHeight="1">
      <c r="A69" s="1">
        <v>322</v>
      </c>
      <c r="B69" s="1" t="s">
        <v>46</v>
      </c>
      <c r="C69" s="12">
        <v>3932</v>
      </c>
      <c r="D69" s="7">
        <v>81.7</v>
      </c>
      <c r="E69" s="7">
        <v>18.8</v>
      </c>
      <c r="F69" s="7">
        <v>49.9</v>
      </c>
      <c r="G69" s="7">
        <v>19.3</v>
      </c>
      <c r="H69" s="7">
        <v>2.4</v>
      </c>
      <c r="I69" s="8">
        <v>7.8</v>
      </c>
      <c r="J69" s="7">
        <v>1.1000000000000001</v>
      </c>
      <c r="K69" s="8">
        <f t="shared" si="1"/>
        <v>0.70000000000000284</v>
      </c>
    </row>
    <row r="70" spans="1:11" ht="15" customHeight="1">
      <c r="A70" s="1">
        <v>323</v>
      </c>
      <c r="B70" s="1" t="s">
        <v>47</v>
      </c>
      <c r="C70" s="12">
        <v>2266</v>
      </c>
      <c r="D70" s="7">
        <v>80.5</v>
      </c>
      <c r="E70" s="7">
        <v>27</v>
      </c>
      <c r="F70" s="7">
        <v>42.1</v>
      </c>
      <c r="G70" s="7">
        <v>15.4</v>
      </c>
      <c r="H70" s="7">
        <v>2.9</v>
      </c>
      <c r="I70" s="8">
        <v>10.5</v>
      </c>
      <c r="J70" s="7">
        <v>1.8</v>
      </c>
      <c r="K70" s="8">
        <f t="shared" si="1"/>
        <v>0.29999999999999716</v>
      </c>
    </row>
    <row r="71" spans="1:11" ht="15" customHeight="1">
      <c r="A71" s="1">
        <v>324</v>
      </c>
      <c r="B71" s="1" t="s">
        <v>48</v>
      </c>
      <c r="C71" s="12">
        <v>5810</v>
      </c>
      <c r="D71" s="7">
        <v>85.7</v>
      </c>
      <c r="E71" s="7">
        <v>26.6</v>
      </c>
      <c r="F71" s="7">
        <v>48.2</v>
      </c>
      <c r="G71" s="7">
        <v>17.100000000000001</v>
      </c>
      <c r="H71" s="7">
        <v>1.2</v>
      </c>
      <c r="I71" s="7">
        <v>6.1</v>
      </c>
      <c r="J71" s="8">
        <v>0.5</v>
      </c>
      <c r="K71" s="8">
        <f t="shared" si="1"/>
        <v>0.29999999999999716</v>
      </c>
    </row>
    <row r="72" spans="1:11" ht="15" customHeight="1">
      <c r="A72" s="1">
        <v>325</v>
      </c>
      <c r="B72" s="1" t="s">
        <v>49</v>
      </c>
      <c r="C72" s="12">
        <v>5404</v>
      </c>
      <c r="D72" s="7">
        <v>83.1</v>
      </c>
      <c r="E72" s="7">
        <v>24.8</v>
      </c>
      <c r="F72" s="7">
        <v>50.8</v>
      </c>
      <c r="G72" s="7">
        <v>16.2</v>
      </c>
      <c r="H72" s="7">
        <v>1.5</v>
      </c>
      <c r="I72" s="7">
        <v>6.1</v>
      </c>
      <c r="J72" s="8">
        <v>0.3</v>
      </c>
      <c r="K72" s="8">
        <f t="shared" si="1"/>
        <v>0.30000000000001137</v>
      </c>
    </row>
    <row r="73" spans="1:11" ht="15" customHeight="1">
      <c r="A73" s="1">
        <v>326</v>
      </c>
      <c r="B73" s="1" t="s">
        <v>50</v>
      </c>
      <c r="C73" s="12">
        <v>3076</v>
      </c>
      <c r="D73" s="7">
        <v>82</v>
      </c>
      <c r="E73" s="7">
        <v>19.2</v>
      </c>
      <c r="F73" s="7">
        <v>50.3</v>
      </c>
      <c r="G73" s="7">
        <v>17</v>
      </c>
      <c r="H73" s="7">
        <v>2.2000000000000002</v>
      </c>
      <c r="I73" s="8">
        <v>9.9</v>
      </c>
      <c r="J73" s="8">
        <v>0.8</v>
      </c>
      <c r="K73" s="8">
        <f t="shared" si="1"/>
        <v>0.59999999999999432</v>
      </c>
    </row>
    <row r="74" spans="1:11" ht="15" customHeight="1">
      <c r="A74" s="1">
        <v>327</v>
      </c>
      <c r="B74" s="1" t="s">
        <v>51</v>
      </c>
      <c r="C74" s="12">
        <v>6594</v>
      </c>
      <c r="D74" s="7">
        <v>83.2</v>
      </c>
      <c r="E74" s="7">
        <v>22.3</v>
      </c>
      <c r="F74" s="7">
        <v>48.2</v>
      </c>
      <c r="G74" s="7">
        <v>17.8</v>
      </c>
      <c r="H74" s="7">
        <v>2.6</v>
      </c>
      <c r="I74" s="8">
        <v>7.9</v>
      </c>
      <c r="J74" s="7">
        <v>1</v>
      </c>
      <c r="K74" s="8">
        <f t="shared" si="1"/>
        <v>0.20000000000000284</v>
      </c>
    </row>
    <row r="75" spans="1:11" ht="15" customHeight="1">
      <c r="B75" s="2" t="s">
        <v>52</v>
      </c>
      <c r="C75" s="12">
        <f>SUM(C68:C74)</f>
        <v>32406</v>
      </c>
      <c r="D75" s="7">
        <v>83.5</v>
      </c>
      <c r="E75" s="7">
        <v>24.6</v>
      </c>
      <c r="F75" s="7">
        <v>48.2</v>
      </c>
      <c r="G75" s="7">
        <v>16.899999999999999</v>
      </c>
      <c r="H75" s="7">
        <v>1.9</v>
      </c>
      <c r="I75" s="8">
        <v>7.3</v>
      </c>
      <c r="J75" s="8">
        <v>0.8</v>
      </c>
      <c r="K75" s="8">
        <f t="shared" si="1"/>
        <v>0.29999999999998295</v>
      </c>
    </row>
    <row r="76" spans="1:11" ht="15" customHeight="1">
      <c r="C76" s="12" t="s">
        <v>23</v>
      </c>
      <c r="D76" s="7"/>
      <c r="E76" s="7"/>
      <c r="F76" s="7"/>
      <c r="G76" s="7"/>
      <c r="H76" s="7"/>
      <c r="I76" s="7"/>
      <c r="J76" s="7"/>
      <c r="K76" s="6"/>
    </row>
    <row r="77" spans="1:11" ht="15" customHeight="1">
      <c r="A77" s="1">
        <v>331</v>
      </c>
      <c r="B77" s="1" t="s">
        <v>53</v>
      </c>
      <c r="C77" s="12">
        <v>7119</v>
      </c>
      <c r="D77" s="7">
        <v>83.7</v>
      </c>
      <c r="E77" s="7">
        <v>44.2</v>
      </c>
      <c r="F77" s="7">
        <v>35.799999999999997</v>
      </c>
      <c r="G77" s="7">
        <v>12.8</v>
      </c>
      <c r="H77" s="7">
        <v>1.2</v>
      </c>
      <c r="I77" s="8">
        <v>5.0999999999999996</v>
      </c>
      <c r="J77" s="8">
        <v>0.5</v>
      </c>
      <c r="K77" s="8">
        <f>(($E77+$F77+$G77+$H77+$I77+$J77)-100)*(-1)</f>
        <v>0.40000000000000568</v>
      </c>
    </row>
    <row r="78" spans="1:11" ht="15" customHeight="1">
      <c r="A78" s="1">
        <v>332</v>
      </c>
      <c r="B78" s="1" t="s">
        <v>54</v>
      </c>
      <c r="C78" s="12">
        <v>6982</v>
      </c>
      <c r="D78" s="7">
        <v>80.900000000000006</v>
      </c>
      <c r="E78" s="7">
        <v>57.1</v>
      </c>
      <c r="F78" s="7">
        <v>26.6</v>
      </c>
      <c r="G78" s="7">
        <v>8.9</v>
      </c>
      <c r="H78" s="7">
        <v>1.4</v>
      </c>
      <c r="I78" s="7">
        <v>4.5999999999999996</v>
      </c>
      <c r="J78" s="8">
        <v>0.6</v>
      </c>
      <c r="K78" s="8">
        <f>(($E78+$F78+$G78+$H78+$I78+$J78)-100)*(-1)</f>
        <v>0.79999999999999716</v>
      </c>
    </row>
    <row r="79" spans="1:11" ht="15" customHeight="1">
      <c r="A79" s="1">
        <v>334</v>
      </c>
      <c r="B79" s="1" t="s">
        <v>55</v>
      </c>
      <c r="C79" s="12">
        <v>3654</v>
      </c>
      <c r="D79" s="7">
        <v>79.400000000000006</v>
      </c>
      <c r="E79" s="7">
        <v>55.7</v>
      </c>
      <c r="F79" s="7">
        <v>27.9</v>
      </c>
      <c r="G79" s="7">
        <v>8.5</v>
      </c>
      <c r="H79" s="7">
        <v>1.5</v>
      </c>
      <c r="I79" s="7">
        <v>4.8</v>
      </c>
      <c r="J79" s="8">
        <v>0.7</v>
      </c>
      <c r="K79" s="8">
        <f>(($E79+$F79+$G79+$H79+$I79+$J79)-100)*(-1)</f>
        <v>0.90000000000000568</v>
      </c>
    </row>
    <row r="80" spans="1:11" ht="15" customHeight="1">
      <c r="A80" s="1">
        <v>335</v>
      </c>
      <c r="B80" s="1" t="s">
        <v>56</v>
      </c>
      <c r="C80" s="12">
        <v>6590</v>
      </c>
      <c r="D80" s="7">
        <v>82</v>
      </c>
      <c r="E80" s="7">
        <v>56.2</v>
      </c>
      <c r="F80" s="7">
        <v>27.6</v>
      </c>
      <c r="G80" s="7">
        <v>9.6999999999999993</v>
      </c>
      <c r="H80" s="8">
        <v>0.9</v>
      </c>
      <c r="I80" s="7">
        <v>4.2</v>
      </c>
      <c r="J80" s="8">
        <v>0.9</v>
      </c>
      <c r="K80" s="8">
        <f>(($E80+$F80+$G80+$H80+$I80+$J80)-100)*(-1)</f>
        <v>0.49999999999997158</v>
      </c>
    </row>
    <row r="81" spans="1:11" ht="15" customHeight="1">
      <c r="B81" s="2" t="s">
        <v>57</v>
      </c>
      <c r="C81" s="12">
        <f>SUM(C77:C80)</f>
        <v>24345</v>
      </c>
      <c r="D81" s="7">
        <v>81.8</v>
      </c>
      <c r="E81" s="7">
        <v>52.8</v>
      </c>
      <c r="F81" s="7">
        <v>29.8</v>
      </c>
      <c r="G81" s="7">
        <v>10.199999999999999</v>
      </c>
      <c r="H81" s="7">
        <v>1.2</v>
      </c>
      <c r="I81" s="7">
        <v>4.7</v>
      </c>
      <c r="J81" s="8">
        <v>0.7</v>
      </c>
      <c r="K81" s="8">
        <f>(($E81+$F81+$G81+$H81+$I81+$J81)-100)*(-1)</f>
        <v>0.59999999999999432</v>
      </c>
    </row>
    <row r="82" spans="1:11" ht="15" customHeight="1">
      <c r="C82" s="12"/>
      <c r="D82" s="7"/>
      <c r="E82" s="7"/>
      <c r="F82" s="7"/>
      <c r="G82" s="7"/>
      <c r="H82" s="7"/>
      <c r="I82" s="7"/>
      <c r="J82" s="7"/>
      <c r="K82" s="6"/>
    </row>
    <row r="83" spans="1:11" ht="15" customHeight="1">
      <c r="A83" s="1">
        <v>341</v>
      </c>
      <c r="B83" s="1" t="s">
        <v>58</v>
      </c>
      <c r="C83" s="12">
        <v>2618</v>
      </c>
      <c r="D83" s="7">
        <v>83.5</v>
      </c>
      <c r="E83" s="7">
        <v>30.7</v>
      </c>
      <c r="F83" s="7">
        <v>46.2</v>
      </c>
      <c r="G83" s="7">
        <v>15.7</v>
      </c>
      <c r="H83" s="7">
        <v>1.7</v>
      </c>
      <c r="I83" s="8">
        <v>5.2</v>
      </c>
      <c r="J83" s="8">
        <v>0.4</v>
      </c>
      <c r="K83" s="8">
        <f>(($E83+$F83+$G83+$H83+$I83+$J83)-100)*(-1)</f>
        <v>9.9999999999980105E-2</v>
      </c>
    </row>
    <row r="84" spans="1:11" ht="15" customHeight="1">
      <c r="A84" s="1">
        <v>342</v>
      </c>
      <c r="B84" s="1" t="s">
        <v>59</v>
      </c>
      <c r="C84" s="12">
        <v>4603</v>
      </c>
      <c r="D84" s="7">
        <v>82.3</v>
      </c>
      <c r="E84" s="7">
        <v>32.1</v>
      </c>
      <c r="F84" s="7">
        <v>41.4</v>
      </c>
      <c r="G84" s="7">
        <v>15.4</v>
      </c>
      <c r="H84" s="7">
        <v>2.2000000000000002</v>
      </c>
      <c r="I84" s="8">
        <v>7.5</v>
      </c>
      <c r="J84" s="7">
        <v>1.1000000000000001</v>
      </c>
      <c r="K84" s="8">
        <f>(($E84+$F84+$G84+$H84+$I84+$J84)-100)*(-1)</f>
        <v>0.29999999999999716</v>
      </c>
    </row>
    <row r="85" spans="1:11" ht="15" customHeight="1">
      <c r="A85" s="1">
        <v>343</v>
      </c>
      <c r="B85" s="1" t="s">
        <v>60</v>
      </c>
      <c r="C85" s="12">
        <v>8734</v>
      </c>
      <c r="D85" s="7">
        <v>84.5</v>
      </c>
      <c r="E85" s="7">
        <v>39.1</v>
      </c>
      <c r="F85" s="7">
        <v>36.4</v>
      </c>
      <c r="G85" s="7">
        <v>14.7</v>
      </c>
      <c r="H85" s="7">
        <v>1.7</v>
      </c>
      <c r="I85" s="8">
        <v>7.3</v>
      </c>
      <c r="J85" s="8">
        <v>0.6</v>
      </c>
      <c r="K85" s="8">
        <f>(($E85+$F85+$G85+$H85+$I85+$J85)-100)*(-1)</f>
        <v>0.20000000000000284</v>
      </c>
    </row>
    <row r="86" spans="1:11" ht="15" customHeight="1">
      <c r="B86" s="2" t="s">
        <v>61</v>
      </c>
      <c r="C86" s="12">
        <f>SUM(C83:C85)</f>
        <v>15955</v>
      </c>
      <c r="D86" s="7">
        <v>83.7</v>
      </c>
      <c r="E86" s="7">
        <v>35.700000000000003</v>
      </c>
      <c r="F86" s="7">
        <v>39.4</v>
      </c>
      <c r="G86" s="7">
        <v>15.1</v>
      </c>
      <c r="H86" s="7">
        <v>1.8</v>
      </c>
      <c r="I86" s="7">
        <v>7</v>
      </c>
      <c r="J86" s="8">
        <v>0.7</v>
      </c>
      <c r="K86" s="8">
        <f>(($E86+$F86+$G86+$H86+$I86+$J86)-100)*(-1)</f>
        <v>0.30000000000001137</v>
      </c>
    </row>
    <row r="87" spans="1:11" ht="15" customHeight="1">
      <c r="C87" s="12" t="s">
        <v>23</v>
      </c>
      <c r="D87" s="7"/>
      <c r="E87" s="7"/>
      <c r="F87" s="7"/>
      <c r="G87" s="7"/>
      <c r="H87" s="7"/>
      <c r="I87" s="7"/>
      <c r="J87" s="7"/>
      <c r="K87" s="6"/>
    </row>
    <row r="88" spans="1:11" ht="15" customHeight="1">
      <c r="A88">
        <v>351</v>
      </c>
      <c r="B88" s="3" t="s">
        <v>62</v>
      </c>
      <c r="C88" s="12">
        <v>3328</v>
      </c>
      <c r="D88" s="7">
        <v>85.4</v>
      </c>
      <c r="E88" s="7">
        <v>38.200000000000003</v>
      </c>
      <c r="F88" s="7">
        <v>43.6</v>
      </c>
      <c r="G88" s="7">
        <v>12.2</v>
      </c>
      <c r="H88" s="8">
        <v>1.1000000000000001</v>
      </c>
      <c r="I88" s="8">
        <v>4.3</v>
      </c>
      <c r="J88" s="8">
        <v>0.3</v>
      </c>
      <c r="K88" s="8">
        <f>(($E88+$F88+$G88+$H88+$I88+$J88)-100)*(-1)</f>
        <v>0.29999999999999716</v>
      </c>
    </row>
    <row r="89" spans="1:11" ht="15" customHeight="1">
      <c r="A89">
        <v>361</v>
      </c>
      <c r="B89" s="3" t="s">
        <v>63</v>
      </c>
      <c r="C89" s="12">
        <v>7099</v>
      </c>
      <c r="D89" s="7">
        <v>86.2</v>
      </c>
      <c r="E89" s="7">
        <v>25.2</v>
      </c>
      <c r="F89" s="7">
        <v>51.6</v>
      </c>
      <c r="G89" s="7">
        <v>17.3</v>
      </c>
      <c r="H89" s="7">
        <v>1</v>
      </c>
      <c r="I89" s="8">
        <v>4.4000000000000004</v>
      </c>
      <c r="J89" s="8">
        <v>0.3</v>
      </c>
      <c r="K89" s="8">
        <f>(($E89+$F89+$G89+$H89+$I89+$J89)-100)*(-1)</f>
        <v>0.20000000000000284</v>
      </c>
    </row>
    <row r="90" spans="1:11" ht="15" customHeight="1">
      <c r="A90"/>
      <c r="B90"/>
      <c r="C90" s="12" t="s">
        <v>23</v>
      </c>
      <c r="D90" s="7"/>
      <c r="E90" s="7"/>
      <c r="F90" s="7"/>
      <c r="G90" s="7"/>
      <c r="H90" s="7"/>
      <c r="I90" s="7"/>
      <c r="J90" s="7"/>
      <c r="K90" s="6"/>
    </row>
    <row r="91" spans="1:11" ht="15" customHeight="1">
      <c r="A91" s="1">
        <v>371</v>
      </c>
      <c r="B91" s="1" t="s">
        <v>64</v>
      </c>
      <c r="C91" s="12">
        <v>12719</v>
      </c>
      <c r="D91" s="7">
        <v>80.2</v>
      </c>
      <c r="E91" s="7">
        <v>52.5</v>
      </c>
      <c r="F91" s="7">
        <v>28.4</v>
      </c>
      <c r="G91" s="7">
        <v>11.6</v>
      </c>
      <c r="H91" s="7">
        <v>1.1000000000000001</v>
      </c>
      <c r="I91" s="7">
        <v>5.2</v>
      </c>
      <c r="J91" s="8">
        <v>0.7</v>
      </c>
      <c r="K91" s="8">
        <f>(($E91+$F91+$G91+$H91+$I91+$J91)-100)*(-1)</f>
        <v>0.5</v>
      </c>
    </row>
    <row r="92" spans="1:11" ht="15" customHeight="1">
      <c r="A92" s="1">
        <v>372</v>
      </c>
      <c r="B92" s="1" t="s">
        <v>65</v>
      </c>
      <c r="C92" s="12" t="s">
        <v>23</v>
      </c>
      <c r="D92" s="7"/>
      <c r="E92" s="7"/>
      <c r="F92" s="7"/>
      <c r="G92" s="7"/>
      <c r="H92" s="7"/>
      <c r="I92" s="7"/>
      <c r="J92" s="7"/>
      <c r="K92" s="6"/>
    </row>
    <row r="93" spans="1:11" ht="15" customHeight="1">
      <c r="A93" s="1">
        <v>373</v>
      </c>
      <c r="B93" s="1" t="s">
        <v>66</v>
      </c>
      <c r="C93" s="12">
        <v>7572</v>
      </c>
      <c r="D93" s="7">
        <v>73.599999999999994</v>
      </c>
      <c r="E93" s="7">
        <v>57</v>
      </c>
      <c r="F93" s="7">
        <v>25.7</v>
      </c>
      <c r="G93" s="7">
        <v>10.9</v>
      </c>
      <c r="H93" s="8">
        <v>0.9</v>
      </c>
      <c r="I93" s="8">
        <v>4.4000000000000004</v>
      </c>
      <c r="J93" s="8">
        <v>0.4</v>
      </c>
      <c r="K93" s="8">
        <f>(($E93+$F93+$G93+$H93+$I93+$J93)-100)*(-1)</f>
        <v>0.69999999999997442</v>
      </c>
    </row>
    <row r="94" spans="1:11" ht="15" customHeight="1">
      <c r="A94" s="1">
        <v>374</v>
      </c>
      <c r="B94" s="1" t="s">
        <v>67</v>
      </c>
      <c r="C94" s="12">
        <v>3106</v>
      </c>
      <c r="D94" s="7">
        <v>84.2</v>
      </c>
      <c r="E94" s="7">
        <v>52.3</v>
      </c>
      <c r="F94" s="7">
        <v>28.8</v>
      </c>
      <c r="G94" s="7">
        <v>10</v>
      </c>
      <c r="H94" s="7">
        <v>1.2</v>
      </c>
      <c r="I94" s="8">
        <v>6.7</v>
      </c>
      <c r="J94" s="8">
        <v>0.5</v>
      </c>
      <c r="K94" s="8">
        <f>(($E94+$F94+$G94+$H94+$I94+$J94)-100)*(-1)</f>
        <v>0.5</v>
      </c>
    </row>
    <row r="95" spans="1:11" ht="15" customHeight="1">
      <c r="A95" s="1">
        <v>375</v>
      </c>
      <c r="B95" s="1" t="s">
        <v>68</v>
      </c>
      <c r="C95" s="12">
        <v>5109</v>
      </c>
      <c r="D95" s="7">
        <v>78.5</v>
      </c>
      <c r="E95" s="7">
        <v>56.4</v>
      </c>
      <c r="F95" s="7">
        <v>25.7</v>
      </c>
      <c r="G95" s="7">
        <v>11.4</v>
      </c>
      <c r="H95" s="7">
        <v>1.1000000000000001</v>
      </c>
      <c r="I95" s="8">
        <v>4.5</v>
      </c>
      <c r="J95" s="8">
        <v>0.5</v>
      </c>
      <c r="K95" s="8">
        <f>(($E95+$F95+$G95+$H95+$I95+$J95)-100)*(-1)</f>
        <v>0.40000000000000568</v>
      </c>
    </row>
    <row r="96" spans="1:11" ht="15" customHeight="1">
      <c r="B96" s="2" t="s">
        <v>69</v>
      </c>
      <c r="C96" s="12">
        <f>C91+C93+C94+C95</f>
        <v>28506</v>
      </c>
      <c r="D96" s="7">
        <v>78.599999999999994</v>
      </c>
      <c r="E96" s="7">
        <v>54.3</v>
      </c>
      <c r="F96" s="7">
        <v>27.3</v>
      </c>
      <c r="G96" s="7">
        <v>11.2</v>
      </c>
      <c r="H96" s="7">
        <v>1</v>
      </c>
      <c r="I96" s="8">
        <v>5.0999999999999996</v>
      </c>
      <c r="J96" s="8">
        <v>0.6</v>
      </c>
      <c r="K96" s="8">
        <f>(($E96+$F96+$G96+$H96+$I96+$J96)-100)*(-1)</f>
        <v>0.50000000000001421</v>
      </c>
    </row>
    <row r="97" spans="1:11" ht="15" customHeight="1">
      <c r="C97" s="12" t="s">
        <v>23</v>
      </c>
      <c r="D97" s="7"/>
      <c r="E97" s="7"/>
      <c r="F97" s="7"/>
      <c r="G97" s="7"/>
      <c r="H97" s="7"/>
      <c r="I97" s="7"/>
      <c r="J97" s="7"/>
      <c r="K97" s="6"/>
    </row>
    <row r="98" spans="1:11" ht="15" customHeight="1">
      <c r="A98" s="1">
        <v>381</v>
      </c>
      <c r="B98" s="1" t="s">
        <v>70</v>
      </c>
      <c r="C98" s="12">
        <v>7959</v>
      </c>
      <c r="D98" s="7">
        <v>81.900000000000006</v>
      </c>
      <c r="E98" s="7">
        <v>50.2</v>
      </c>
      <c r="F98" s="7">
        <v>29.2</v>
      </c>
      <c r="G98" s="7">
        <v>10.5</v>
      </c>
      <c r="H98" s="7">
        <v>1.3</v>
      </c>
      <c r="I98" s="7">
        <v>7.2</v>
      </c>
      <c r="J98" s="7">
        <v>1.1000000000000001</v>
      </c>
      <c r="K98" s="8">
        <f>(($E98+$F98+$G98+$H98+$I98+$J98)-100)*(-1)</f>
        <v>0.5</v>
      </c>
    </row>
    <row r="99" spans="1:11" ht="15" customHeight="1">
      <c r="A99" s="1">
        <v>382</v>
      </c>
      <c r="B99" s="1" t="s">
        <v>71</v>
      </c>
      <c r="C99" s="12">
        <v>8639</v>
      </c>
      <c r="D99" s="7">
        <v>80.400000000000006</v>
      </c>
      <c r="E99" s="7">
        <v>49.6</v>
      </c>
      <c r="F99" s="7">
        <v>31.3</v>
      </c>
      <c r="G99" s="7">
        <v>10.9</v>
      </c>
      <c r="H99" s="7">
        <v>1.5</v>
      </c>
      <c r="I99" s="7">
        <v>5.3</v>
      </c>
      <c r="J99" s="8">
        <v>0.8</v>
      </c>
      <c r="K99" s="8">
        <f>(($E99+$F99+$G99+$H99+$I99+$J99)-100)*(-1)</f>
        <v>0.59999999999999432</v>
      </c>
    </row>
    <row r="100" spans="1:11" ht="15" customHeight="1">
      <c r="A100" s="1">
        <v>383</v>
      </c>
      <c r="B100" s="1" t="s">
        <v>72</v>
      </c>
      <c r="C100" s="12">
        <v>7009</v>
      </c>
      <c r="D100" s="7">
        <v>77.7</v>
      </c>
      <c r="E100" s="7">
        <v>52.9</v>
      </c>
      <c r="F100" s="7">
        <v>31</v>
      </c>
      <c r="G100" s="7">
        <v>9.6</v>
      </c>
      <c r="H100" s="7">
        <v>1</v>
      </c>
      <c r="I100" s="7">
        <v>4.3</v>
      </c>
      <c r="J100" s="8">
        <v>0.7</v>
      </c>
      <c r="K100" s="8">
        <f>(($E100+$F100+$G100+$H100+$I100+$J100)-100)*(-1)</f>
        <v>0.5</v>
      </c>
    </row>
    <row r="101" spans="1:11" ht="15" customHeight="1">
      <c r="A101" s="1">
        <v>384</v>
      </c>
      <c r="B101" s="1" t="s">
        <v>73</v>
      </c>
      <c r="C101" s="12">
        <v>7664</v>
      </c>
      <c r="D101" s="7">
        <v>84.9</v>
      </c>
      <c r="E101" s="7">
        <v>55</v>
      </c>
      <c r="F101" s="7">
        <v>27.4</v>
      </c>
      <c r="G101" s="7">
        <v>11.4</v>
      </c>
      <c r="H101" s="8">
        <v>0.5</v>
      </c>
      <c r="I101" s="8">
        <v>5.0999999999999996</v>
      </c>
      <c r="J101" s="8">
        <v>0.3</v>
      </c>
      <c r="K101" s="8">
        <f>(($E101+$F101+$G101+$H101+$I101+$J101)-100)*(-1)</f>
        <v>0.29999999999999716</v>
      </c>
    </row>
    <row r="102" spans="1:11" ht="15" customHeight="1">
      <c r="A102" s="1">
        <v>385</v>
      </c>
      <c r="B102" s="1" t="s">
        <v>74</v>
      </c>
      <c r="C102" s="12" t="s">
        <v>6</v>
      </c>
      <c r="D102" s="7" t="s">
        <v>6</v>
      </c>
      <c r="E102" s="7" t="s">
        <v>6</v>
      </c>
      <c r="F102" s="7" t="s">
        <v>6</v>
      </c>
      <c r="G102" s="7" t="s">
        <v>6</v>
      </c>
      <c r="H102" s="7" t="s">
        <v>6</v>
      </c>
      <c r="I102" s="8" t="s">
        <v>6</v>
      </c>
      <c r="J102" s="8" t="s">
        <v>6</v>
      </c>
      <c r="K102" s="6"/>
    </row>
    <row r="103" spans="1:11" ht="15" customHeight="1">
      <c r="B103" s="2" t="s">
        <v>75</v>
      </c>
      <c r="C103" s="12">
        <f>SUM(C98:C102)</f>
        <v>31271</v>
      </c>
      <c r="D103" s="7">
        <v>81.3</v>
      </c>
      <c r="E103" s="7">
        <v>51.8</v>
      </c>
      <c r="F103" s="7">
        <v>29.7</v>
      </c>
      <c r="G103" s="7">
        <v>10.6</v>
      </c>
      <c r="H103" s="7">
        <v>1.1000000000000001</v>
      </c>
      <c r="I103" s="7">
        <v>5.5</v>
      </c>
      <c r="J103" s="8">
        <v>0.7</v>
      </c>
      <c r="K103" s="8">
        <f>(($E103+$F103+$G103+$H103+$I103+$J103)-100)*(-1)</f>
        <v>0.60000000000000853</v>
      </c>
    </row>
    <row r="104" spans="1:11" ht="15" customHeight="1">
      <c r="C104" s="12" t="s">
        <v>23</v>
      </c>
      <c r="D104" s="7"/>
      <c r="E104" s="7"/>
      <c r="F104" s="7"/>
      <c r="G104" s="7"/>
      <c r="H104" s="7"/>
      <c r="I104" s="7"/>
      <c r="J104" s="7"/>
      <c r="K104" s="6"/>
    </row>
    <row r="105" spans="1:11" ht="15" customHeight="1">
      <c r="B105" s="2" t="s">
        <v>76</v>
      </c>
      <c r="C105" s="12">
        <v>167103</v>
      </c>
      <c r="D105" s="7">
        <v>81.2</v>
      </c>
      <c r="E105" s="7">
        <v>42.1</v>
      </c>
      <c r="F105" s="7">
        <v>35.799999999999997</v>
      </c>
      <c r="G105" s="7">
        <v>12.9</v>
      </c>
      <c r="H105" s="7">
        <v>1.7</v>
      </c>
      <c r="I105" s="7">
        <v>6.2</v>
      </c>
      <c r="J105" s="8">
        <v>0.8</v>
      </c>
      <c r="K105" s="6">
        <v>0.5</v>
      </c>
    </row>
    <row r="106" spans="1:11" ht="15" customHeight="1">
      <c r="C106" s="12" t="s">
        <v>23</v>
      </c>
      <c r="D106" s="7"/>
      <c r="E106" s="7"/>
      <c r="F106" s="7"/>
      <c r="G106" s="7"/>
      <c r="H106" s="7"/>
      <c r="I106" s="7"/>
      <c r="J106" s="7"/>
      <c r="K106" s="6"/>
    </row>
    <row r="107" spans="1:11" ht="15" customHeight="1">
      <c r="A107" s="1">
        <v>411</v>
      </c>
      <c r="B107" s="1" t="s">
        <v>77</v>
      </c>
      <c r="C107" s="12">
        <v>363</v>
      </c>
      <c r="D107" s="7">
        <v>88.2</v>
      </c>
      <c r="E107" s="7">
        <v>23.8</v>
      </c>
      <c r="F107" s="7">
        <v>59.4</v>
      </c>
      <c r="G107" s="7">
        <v>13.7</v>
      </c>
      <c r="H107" s="9">
        <v>0.6</v>
      </c>
      <c r="I107" s="7">
        <v>2.5</v>
      </c>
      <c r="J107" s="9" t="s">
        <v>6</v>
      </c>
      <c r="K107" s="9" t="s">
        <v>6</v>
      </c>
    </row>
    <row r="108" spans="1:11" ht="15" customHeight="1">
      <c r="C108" s="12" t="s">
        <v>23</v>
      </c>
      <c r="D108" s="7"/>
      <c r="E108" s="7"/>
      <c r="F108" s="7"/>
      <c r="G108" s="7"/>
      <c r="H108" s="7"/>
      <c r="I108" s="7"/>
      <c r="J108" s="7"/>
      <c r="K108" s="6"/>
    </row>
    <row r="109" spans="1:11" ht="15" customHeight="1">
      <c r="A109" s="1">
        <v>421</v>
      </c>
      <c r="B109" s="1" t="s">
        <v>78</v>
      </c>
      <c r="C109" s="12">
        <v>5597</v>
      </c>
      <c r="D109" s="7">
        <v>78.8</v>
      </c>
      <c r="E109" s="7">
        <v>54.2</v>
      </c>
      <c r="F109" s="7">
        <v>27.7</v>
      </c>
      <c r="G109" s="7">
        <v>10</v>
      </c>
      <c r="H109" s="7">
        <v>1.3</v>
      </c>
      <c r="I109" s="7">
        <v>5.0999999999999996</v>
      </c>
      <c r="J109" s="7">
        <v>1.3</v>
      </c>
      <c r="K109" s="8">
        <f>(($E109+$F109+$G109+$H109+$I109+$J109)-100)*(-1)</f>
        <v>0.40000000000000568</v>
      </c>
    </row>
    <row r="110" spans="1:11" ht="15" customHeight="1">
      <c r="A110" s="1">
        <v>422</v>
      </c>
      <c r="B110" s="1" t="s">
        <v>79</v>
      </c>
      <c r="C110" s="12">
        <v>5997</v>
      </c>
      <c r="D110" s="7">
        <v>79.400000000000006</v>
      </c>
      <c r="E110" s="7">
        <v>55.4</v>
      </c>
      <c r="F110" s="7">
        <v>28.1</v>
      </c>
      <c r="G110" s="7">
        <v>8.5</v>
      </c>
      <c r="H110" s="7">
        <v>1.6</v>
      </c>
      <c r="I110" s="7">
        <v>4.5</v>
      </c>
      <c r="J110" s="8">
        <v>0.8</v>
      </c>
      <c r="K110" s="8">
        <f>(($E110+$F110+$G110+$H110+$I110+$J110)-100)*(-1)</f>
        <v>1.1000000000000085</v>
      </c>
    </row>
    <row r="111" spans="1:11" ht="15" customHeight="1">
      <c r="A111" s="1">
        <v>423</v>
      </c>
      <c r="B111" s="1" t="s">
        <v>80</v>
      </c>
      <c r="C111" s="12">
        <v>8302</v>
      </c>
      <c r="D111" s="7">
        <v>83</v>
      </c>
      <c r="E111" s="7">
        <v>47.8</v>
      </c>
      <c r="F111" s="7">
        <v>32.4</v>
      </c>
      <c r="G111" s="7">
        <v>11.6</v>
      </c>
      <c r="H111" s="7">
        <v>1</v>
      </c>
      <c r="I111" s="7">
        <v>5.6</v>
      </c>
      <c r="J111" s="7">
        <v>1</v>
      </c>
      <c r="K111" s="8">
        <f>(($E111+$F111+$G111+$H111+$I111+$J111)-100)*(-1)</f>
        <v>0.60000000000002274</v>
      </c>
    </row>
    <row r="112" spans="1:11" ht="15" customHeight="1">
      <c r="A112" s="1">
        <v>424</v>
      </c>
      <c r="B112" s="1" t="s">
        <v>81</v>
      </c>
      <c r="C112" s="12" t="s">
        <v>6</v>
      </c>
      <c r="D112" s="7" t="s">
        <v>6</v>
      </c>
      <c r="E112" s="7" t="s">
        <v>6</v>
      </c>
      <c r="F112" s="7" t="s">
        <v>6</v>
      </c>
      <c r="G112" s="7" t="s">
        <v>6</v>
      </c>
      <c r="H112" s="7" t="s">
        <v>6</v>
      </c>
      <c r="I112" s="7" t="s">
        <v>6</v>
      </c>
      <c r="J112" s="7" t="s">
        <v>6</v>
      </c>
      <c r="K112" s="6"/>
    </row>
    <row r="113" spans="1:11" ht="15" customHeight="1">
      <c r="B113" s="2" t="s">
        <v>82</v>
      </c>
      <c r="C113" s="12">
        <f>SUM(C109:C112)</f>
        <v>19896</v>
      </c>
      <c r="D113" s="7">
        <v>80.7</v>
      </c>
      <c r="E113" s="7">
        <v>51.8</v>
      </c>
      <c r="F113" s="7">
        <v>29.9</v>
      </c>
      <c r="G113" s="7">
        <v>10.199999999999999</v>
      </c>
      <c r="H113" s="7">
        <v>1.2</v>
      </c>
      <c r="I113" s="7">
        <v>5.0999999999999996</v>
      </c>
      <c r="J113" s="7">
        <v>1</v>
      </c>
      <c r="K113" s="8">
        <f>(($E113+$F113+$G113+$H113+$I113+$J113)-100)*(-1)</f>
        <v>0.80000000000001137</v>
      </c>
    </row>
    <row r="114" spans="1:11" ht="15" customHeight="1">
      <c r="C114" s="12" t="s">
        <v>23</v>
      </c>
      <c r="D114" s="7"/>
      <c r="E114" s="7"/>
      <c r="F114" s="7"/>
      <c r="G114" s="7"/>
      <c r="H114" s="7"/>
      <c r="I114" s="7"/>
      <c r="J114" s="7"/>
      <c r="K114" s="6"/>
    </row>
    <row r="115" spans="1:11" ht="15" customHeight="1">
      <c r="A115" s="1">
        <v>431</v>
      </c>
      <c r="B115" s="1" t="s">
        <v>83</v>
      </c>
      <c r="C115" s="12">
        <v>2992</v>
      </c>
      <c r="D115" s="7">
        <v>83.2</v>
      </c>
      <c r="E115" s="7">
        <v>53.4</v>
      </c>
      <c r="F115" s="7">
        <v>30.1</v>
      </c>
      <c r="G115" s="7">
        <v>9.8000000000000007</v>
      </c>
      <c r="H115" s="8">
        <v>0.9</v>
      </c>
      <c r="I115" s="7">
        <v>4.0999999999999996</v>
      </c>
      <c r="J115" s="7">
        <v>1.1000000000000001</v>
      </c>
      <c r="K115" s="8">
        <f>(($E115+$F115+$G115+$H115+$I115+$J115)-100)*(-1)</f>
        <v>0.60000000000000853</v>
      </c>
    </row>
    <row r="116" spans="1:11" ht="15" customHeight="1">
      <c r="A116" s="1">
        <v>432</v>
      </c>
      <c r="B116" s="1" t="s">
        <v>84</v>
      </c>
      <c r="C116" s="12">
        <v>4217</v>
      </c>
      <c r="D116" s="7">
        <v>78.8</v>
      </c>
      <c r="E116" s="7">
        <v>60</v>
      </c>
      <c r="F116" s="7">
        <v>25.5</v>
      </c>
      <c r="G116" s="7">
        <v>8</v>
      </c>
      <c r="H116" s="8">
        <v>0.8</v>
      </c>
      <c r="I116" s="7">
        <v>3.8</v>
      </c>
      <c r="J116" s="7">
        <v>1.2</v>
      </c>
      <c r="K116" s="8">
        <f>(($E116+$F116+$G116+$H116+$I116+$J116)-100)*(-1)</f>
        <v>0.70000000000000284</v>
      </c>
    </row>
    <row r="117" spans="1:11" ht="15" customHeight="1">
      <c r="A117" s="1">
        <v>433</v>
      </c>
      <c r="B117" s="1" t="s">
        <v>85</v>
      </c>
      <c r="C117" s="12">
        <v>5546</v>
      </c>
      <c r="D117" s="7">
        <v>77.8</v>
      </c>
      <c r="E117" s="7">
        <v>57.7</v>
      </c>
      <c r="F117" s="7">
        <v>25.8</v>
      </c>
      <c r="G117" s="7">
        <v>9.6999999999999993</v>
      </c>
      <c r="H117" s="7">
        <v>1.3</v>
      </c>
      <c r="I117" s="7">
        <v>3.6</v>
      </c>
      <c r="J117" s="7">
        <v>1.3</v>
      </c>
      <c r="K117" s="8">
        <f>(($E117+$F117+$G117+$H117+$I117+$J117)-100)*(-1)</f>
        <v>0.60000000000000853</v>
      </c>
    </row>
    <row r="118" spans="1:11" ht="15" customHeight="1">
      <c r="A118" s="1">
        <v>434</v>
      </c>
      <c r="B118" s="1" t="s">
        <v>86</v>
      </c>
      <c r="C118" s="12">
        <v>6248</v>
      </c>
      <c r="D118" s="7">
        <v>79</v>
      </c>
      <c r="E118" s="7">
        <v>52.3</v>
      </c>
      <c r="F118" s="7">
        <v>30</v>
      </c>
      <c r="G118" s="7">
        <v>10.1</v>
      </c>
      <c r="H118" s="7">
        <v>1</v>
      </c>
      <c r="I118" s="7">
        <v>4.5999999999999996</v>
      </c>
      <c r="J118" s="7">
        <v>1.1000000000000001</v>
      </c>
      <c r="K118" s="8">
        <f>(($E118+$F118+$G118+$H118+$I118+$J118)-100)*(-1)</f>
        <v>0.9000000000000199</v>
      </c>
    </row>
    <row r="119" spans="1:11" ht="15" customHeight="1">
      <c r="A119" s="1">
        <v>435</v>
      </c>
      <c r="B119" s="1" t="s">
        <v>87</v>
      </c>
      <c r="C119" s="12">
        <v>6361</v>
      </c>
      <c r="D119" s="7">
        <v>77.599999999999994</v>
      </c>
      <c r="E119" s="7">
        <v>58.9</v>
      </c>
      <c r="F119" s="7">
        <v>24.1</v>
      </c>
      <c r="G119" s="7">
        <v>8.5</v>
      </c>
      <c r="H119" s="8">
        <v>0.6</v>
      </c>
      <c r="I119" s="8">
        <v>4.8</v>
      </c>
      <c r="J119" s="7">
        <v>2.2999999999999998</v>
      </c>
      <c r="K119" s="8">
        <f>(($E119+$F119+$G119+$H119+$I119+$J119)-100)*(-1)</f>
        <v>0.80000000000001137</v>
      </c>
    </row>
    <row r="120" spans="1:11" ht="15" customHeight="1">
      <c r="A120" s="1">
        <v>436</v>
      </c>
      <c r="B120" s="1" t="s">
        <v>88</v>
      </c>
      <c r="C120" s="12" t="s">
        <v>6</v>
      </c>
      <c r="D120" s="7" t="s">
        <v>6</v>
      </c>
      <c r="E120" s="7" t="s">
        <v>6</v>
      </c>
      <c r="F120" s="7" t="s">
        <v>6</v>
      </c>
      <c r="G120" s="7" t="s">
        <v>6</v>
      </c>
      <c r="H120" s="7" t="s">
        <v>6</v>
      </c>
      <c r="I120" s="7" t="s">
        <v>6</v>
      </c>
      <c r="J120" s="7" t="s">
        <v>6</v>
      </c>
      <c r="K120" s="6"/>
    </row>
    <row r="121" spans="1:11" ht="15" customHeight="1">
      <c r="B121" s="2" t="s">
        <v>89</v>
      </c>
      <c r="C121" s="12">
        <f>SUM(C115:C120)</f>
        <v>25364</v>
      </c>
      <c r="D121" s="7">
        <v>78.900000000000006</v>
      </c>
      <c r="E121" s="7">
        <v>56.5</v>
      </c>
      <c r="F121" s="7">
        <v>26.9</v>
      </c>
      <c r="G121" s="7">
        <v>9.1999999999999993</v>
      </c>
      <c r="H121" s="8">
        <v>0.9</v>
      </c>
      <c r="I121" s="7">
        <v>4.3</v>
      </c>
      <c r="J121" s="7">
        <v>1.5</v>
      </c>
      <c r="K121" s="8">
        <f>(($E121+$F121+$G121+$H121+$I121+$J121)-100)*(-1)</f>
        <v>0.69999999999998863</v>
      </c>
    </row>
    <row r="122" spans="1:11" ht="15" customHeight="1">
      <c r="C122" s="12" t="s">
        <v>23</v>
      </c>
      <c r="D122" s="7"/>
      <c r="E122" s="7"/>
      <c r="F122" s="7"/>
      <c r="G122" s="7"/>
      <c r="H122" s="7"/>
      <c r="I122" s="7"/>
      <c r="J122" s="7"/>
      <c r="K122" s="6"/>
    </row>
    <row r="123" spans="1:11" ht="15" customHeight="1">
      <c r="A123" s="1">
        <v>441</v>
      </c>
      <c r="B123" s="1" t="s">
        <v>90</v>
      </c>
      <c r="C123" s="12">
        <v>5574</v>
      </c>
      <c r="D123" s="7">
        <v>76.7</v>
      </c>
      <c r="E123" s="7">
        <v>62.7</v>
      </c>
      <c r="F123" s="7">
        <v>22.7</v>
      </c>
      <c r="G123" s="7">
        <v>7.7</v>
      </c>
      <c r="H123" s="8">
        <v>0.7</v>
      </c>
      <c r="I123" s="7">
        <v>4</v>
      </c>
      <c r="J123" s="7">
        <v>1.3</v>
      </c>
      <c r="K123" s="8">
        <f>(($E123+$F123+$G123+$H123+$I123+$J123)-100)*(-1)</f>
        <v>0.89999999999999147</v>
      </c>
    </row>
    <row r="124" spans="1:11" ht="15" customHeight="1">
      <c r="A124" s="1">
        <v>442</v>
      </c>
      <c r="B124" s="1" t="s">
        <v>91</v>
      </c>
      <c r="C124" s="12">
        <v>7054</v>
      </c>
      <c r="D124" s="7">
        <v>78.099999999999994</v>
      </c>
      <c r="E124" s="7">
        <v>62.9</v>
      </c>
      <c r="F124" s="7">
        <v>21.7</v>
      </c>
      <c r="G124" s="7">
        <v>9.5</v>
      </c>
      <c r="H124" s="8">
        <v>0.6</v>
      </c>
      <c r="I124" s="7">
        <v>3.1</v>
      </c>
      <c r="J124" s="7">
        <v>1.5</v>
      </c>
      <c r="K124" s="8">
        <f>(($E124+$F124+$G124+$H124+$I124+$J124)-100)*(-1)</f>
        <v>0.70000000000001705</v>
      </c>
    </row>
    <row r="125" spans="1:11" ht="15" customHeight="1">
      <c r="A125" s="1">
        <v>443</v>
      </c>
      <c r="B125" s="1" t="s">
        <v>92</v>
      </c>
      <c r="C125" s="12">
        <v>7129</v>
      </c>
      <c r="D125" s="7">
        <v>76.400000000000006</v>
      </c>
      <c r="E125" s="7">
        <v>67.7</v>
      </c>
      <c r="F125" s="7">
        <v>18.7</v>
      </c>
      <c r="G125" s="7">
        <v>7.7</v>
      </c>
      <c r="H125" s="8">
        <v>0.8</v>
      </c>
      <c r="I125" s="7">
        <v>3</v>
      </c>
      <c r="J125" s="7">
        <v>1.4</v>
      </c>
      <c r="K125" s="8">
        <f>(($E125+$F125+$G125+$H125+$I125+$J125)-100)*(-1)</f>
        <v>0.69999999999998863</v>
      </c>
    </row>
    <row r="126" spans="1:11" ht="15" customHeight="1">
      <c r="A126" s="1">
        <v>444</v>
      </c>
      <c r="B126" s="1" t="s">
        <v>93</v>
      </c>
      <c r="C126" s="12">
        <v>6669</v>
      </c>
      <c r="D126" s="7">
        <v>78.5</v>
      </c>
      <c r="E126" s="7">
        <v>65.099999999999994</v>
      </c>
      <c r="F126" s="7">
        <v>20.7</v>
      </c>
      <c r="G126" s="7">
        <v>7.6</v>
      </c>
      <c r="H126" s="8">
        <v>0.7</v>
      </c>
      <c r="I126" s="7">
        <v>4</v>
      </c>
      <c r="J126" s="7">
        <v>1.3</v>
      </c>
      <c r="K126" s="8">
        <f>(($E126+$F126+$G126+$H126+$I126+$J126)-100)*(-1)</f>
        <v>0.60000000000000853</v>
      </c>
    </row>
    <row r="127" spans="1:11" ht="15" customHeight="1">
      <c r="A127" s="1">
        <v>445</v>
      </c>
      <c r="B127" s="1" t="s">
        <v>94</v>
      </c>
      <c r="C127" s="12" t="s">
        <v>6</v>
      </c>
      <c r="D127" s="7" t="s">
        <v>6</v>
      </c>
      <c r="E127" s="7" t="s">
        <v>6</v>
      </c>
      <c r="F127" s="7" t="s">
        <v>6</v>
      </c>
      <c r="G127" s="7" t="s">
        <v>6</v>
      </c>
      <c r="H127" s="7" t="s">
        <v>6</v>
      </c>
      <c r="I127" s="7" t="s">
        <v>6</v>
      </c>
      <c r="J127" s="7" t="s">
        <v>6</v>
      </c>
      <c r="K127" s="6"/>
    </row>
    <row r="128" spans="1:11" ht="15" customHeight="1">
      <c r="B128" s="2" t="s">
        <v>95</v>
      </c>
      <c r="C128" s="12">
        <f>SUM(C123:C127)</f>
        <v>26426</v>
      </c>
      <c r="D128" s="7">
        <v>77.400000000000006</v>
      </c>
      <c r="E128" s="7">
        <v>64.7</v>
      </c>
      <c r="F128" s="7">
        <v>20.9</v>
      </c>
      <c r="G128" s="7">
        <v>8.1999999999999993</v>
      </c>
      <c r="H128" s="8">
        <v>0.7</v>
      </c>
      <c r="I128" s="7">
        <v>3.5</v>
      </c>
      <c r="J128" s="7">
        <v>1.4</v>
      </c>
      <c r="K128" s="8">
        <f>(($E128+$F128+$G128+$H128+$I128+$J128)-100)*(-1)</f>
        <v>0.59999999999999432</v>
      </c>
    </row>
    <row r="129" spans="1:11" ht="15" customHeight="1">
      <c r="C129" s="12" t="s">
        <v>23</v>
      </c>
      <c r="D129" s="7"/>
      <c r="E129" s="7"/>
      <c r="F129" s="7"/>
      <c r="G129" s="7"/>
      <c r="H129" s="7"/>
      <c r="I129" s="7"/>
      <c r="J129" s="7"/>
      <c r="K129" s="6"/>
    </row>
    <row r="130" spans="1:11" ht="15" customHeight="1">
      <c r="B130" s="2" t="s">
        <v>96</v>
      </c>
      <c r="C130" s="12">
        <v>72049</v>
      </c>
      <c r="D130" s="7">
        <v>78.900000000000006</v>
      </c>
      <c r="E130" s="7">
        <v>57.9</v>
      </c>
      <c r="F130" s="7">
        <v>25.7</v>
      </c>
      <c r="G130" s="7">
        <v>9.1999999999999993</v>
      </c>
      <c r="H130" s="8">
        <v>0.9</v>
      </c>
      <c r="I130" s="7">
        <v>4.2</v>
      </c>
      <c r="J130" s="7">
        <v>1.2</v>
      </c>
      <c r="K130" s="6">
        <v>0.9</v>
      </c>
    </row>
    <row r="131" spans="1:11" ht="15" customHeight="1">
      <c r="C131" s="12" t="s">
        <v>23</v>
      </c>
      <c r="D131" s="7"/>
      <c r="E131" s="7"/>
      <c r="F131" s="7"/>
      <c r="G131" s="7"/>
      <c r="H131" s="7"/>
      <c r="I131" s="7"/>
      <c r="J131" s="7"/>
      <c r="K131" s="6"/>
    </row>
    <row r="132" spans="1:11" ht="15" customHeight="1">
      <c r="A132" s="1">
        <v>511</v>
      </c>
      <c r="B132" s="1" t="s">
        <v>97</v>
      </c>
      <c r="C132" s="12">
        <v>4868</v>
      </c>
      <c r="D132" s="7">
        <v>79.099999999999994</v>
      </c>
      <c r="E132" s="7">
        <v>53.5</v>
      </c>
      <c r="F132" s="7">
        <v>29.1</v>
      </c>
      <c r="G132" s="7">
        <v>10.199999999999999</v>
      </c>
      <c r="H132" s="7">
        <v>1.2</v>
      </c>
      <c r="I132" s="7">
        <v>4.9000000000000004</v>
      </c>
      <c r="J132" s="8">
        <v>0.4</v>
      </c>
      <c r="K132" s="8">
        <f>(($E132+$F132+$G132+$H132+$I132+$J132)-100)*(-1)</f>
        <v>0.69999999999998863</v>
      </c>
    </row>
    <row r="133" spans="1:11" ht="15" customHeight="1">
      <c r="A133" s="1">
        <v>512</v>
      </c>
      <c r="B133" s="1" t="s">
        <v>98</v>
      </c>
      <c r="C133" s="12" t="s">
        <v>23</v>
      </c>
      <c r="D133" s="7"/>
      <c r="E133" s="7"/>
      <c r="F133" s="7"/>
      <c r="G133" s="7"/>
      <c r="H133" s="8"/>
      <c r="I133" s="9"/>
      <c r="J133" s="9"/>
      <c r="K133" s="6"/>
    </row>
    <row r="134" spans="1:11" ht="15" customHeight="1">
      <c r="A134" s="1">
        <v>513</v>
      </c>
      <c r="B134" s="1" t="s">
        <v>99</v>
      </c>
      <c r="C134" s="12">
        <v>8864</v>
      </c>
      <c r="D134" s="7">
        <v>78.3</v>
      </c>
      <c r="E134" s="7">
        <v>55.8</v>
      </c>
      <c r="F134" s="7">
        <v>27.8</v>
      </c>
      <c r="G134" s="7">
        <v>9.6</v>
      </c>
      <c r="H134" s="7">
        <v>1.1000000000000001</v>
      </c>
      <c r="I134" s="7">
        <v>4.7</v>
      </c>
      <c r="J134" s="8">
        <v>0.5</v>
      </c>
      <c r="K134" s="8">
        <f>(($E134+$F134+$G134+$H134+$I134+$J134)-100)*(-1)</f>
        <v>0.50000000000001421</v>
      </c>
    </row>
    <row r="135" spans="1:11" ht="15" customHeight="1">
      <c r="A135" s="1">
        <v>514</v>
      </c>
      <c r="B135" s="1" t="s">
        <v>100</v>
      </c>
      <c r="C135" s="12">
        <v>7879</v>
      </c>
      <c r="D135" s="7">
        <v>81.3</v>
      </c>
      <c r="E135" s="7">
        <v>43</v>
      </c>
      <c r="F135" s="7">
        <v>35.6</v>
      </c>
      <c r="G135" s="7">
        <v>12.8</v>
      </c>
      <c r="H135" s="7">
        <v>1.5</v>
      </c>
      <c r="I135" s="7">
        <v>5.9</v>
      </c>
      <c r="J135" s="8">
        <v>0.5</v>
      </c>
      <c r="K135" s="8">
        <f>(($E135+$F135+$G135+$H135+$I135+$J135)-100)*(-1)</f>
        <v>0.70000000000000284</v>
      </c>
    </row>
    <row r="136" spans="1:11" ht="15" customHeight="1">
      <c r="A136" s="1">
        <v>515</v>
      </c>
      <c r="B136" s="1" t="s">
        <v>101</v>
      </c>
      <c r="C136" s="12">
        <v>4446</v>
      </c>
      <c r="D136" s="7">
        <v>81.7</v>
      </c>
      <c r="E136" s="7">
        <v>32.799999999999997</v>
      </c>
      <c r="F136" s="7">
        <v>46</v>
      </c>
      <c r="G136" s="7">
        <v>12.4</v>
      </c>
      <c r="H136" s="7">
        <v>1.1000000000000001</v>
      </c>
      <c r="I136" s="8">
        <v>6.7</v>
      </c>
      <c r="J136" s="8">
        <v>0.4</v>
      </c>
      <c r="K136" s="8">
        <f>(($E136+$F136+$G136+$H136+$I136+$J136)-100)*(-1)</f>
        <v>0.59999999999999432</v>
      </c>
    </row>
    <row r="137" spans="1:11" ht="15" customHeight="1">
      <c r="B137" s="2" t="s">
        <v>102</v>
      </c>
      <c r="C137" s="12">
        <f>SUM(C134:C136)</f>
        <v>21189</v>
      </c>
      <c r="D137" s="7">
        <v>79.900000000000006</v>
      </c>
      <c r="E137" s="7">
        <v>47.2</v>
      </c>
      <c r="F137" s="7">
        <v>33.6</v>
      </c>
      <c r="G137" s="7">
        <v>11.2</v>
      </c>
      <c r="H137" s="7">
        <v>1.3</v>
      </c>
      <c r="I137" s="7">
        <v>5.5</v>
      </c>
      <c r="J137" s="8">
        <v>0.5</v>
      </c>
      <c r="K137" s="8">
        <f>(($E137+$F137+$G137+$H137+$I137+$J137)-100)*(-1)</f>
        <v>0.69999999999998863</v>
      </c>
    </row>
    <row r="138" spans="1:11" ht="15" customHeight="1">
      <c r="C138" s="12" t="s">
        <v>23</v>
      </c>
      <c r="D138" s="7"/>
      <c r="E138" s="7"/>
      <c r="F138" s="7"/>
      <c r="G138" s="7"/>
      <c r="H138" s="7"/>
      <c r="I138" s="7"/>
      <c r="J138" s="7"/>
      <c r="K138" s="6"/>
    </row>
    <row r="139" spans="1:11" ht="15" customHeight="1">
      <c r="A139" s="1">
        <v>521</v>
      </c>
      <c r="B139" s="1" t="s">
        <v>103</v>
      </c>
      <c r="C139" s="12">
        <v>4408</v>
      </c>
      <c r="D139" s="7">
        <v>79.7</v>
      </c>
      <c r="E139" s="7">
        <v>42.5</v>
      </c>
      <c r="F139" s="7">
        <v>39.299999999999997</v>
      </c>
      <c r="G139" s="7">
        <v>10.4</v>
      </c>
      <c r="H139" s="7">
        <v>1.3</v>
      </c>
      <c r="I139" s="7">
        <v>5.4</v>
      </c>
      <c r="J139" s="8">
        <v>0.2</v>
      </c>
      <c r="K139" s="8">
        <f t="shared" ref="K139:K144" si="2">(($E139+$F139+$G139+$H139+$I139+$J139)-100)*(-1)</f>
        <v>0.89999999999999147</v>
      </c>
    </row>
    <row r="140" spans="1:11" ht="15" customHeight="1">
      <c r="A140" s="1">
        <v>522</v>
      </c>
      <c r="B140" s="1" t="s">
        <v>104</v>
      </c>
      <c r="C140" s="12">
        <v>4185</v>
      </c>
      <c r="D140" s="7">
        <v>79.2</v>
      </c>
      <c r="E140" s="7">
        <v>56.6</v>
      </c>
      <c r="F140" s="7">
        <v>31</v>
      </c>
      <c r="G140" s="7">
        <v>7.9</v>
      </c>
      <c r="H140" s="8">
        <v>0.9</v>
      </c>
      <c r="I140" s="7">
        <v>2.6</v>
      </c>
      <c r="J140" s="8">
        <v>0.6</v>
      </c>
      <c r="K140" s="8">
        <f t="shared" si="2"/>
        <v>0.40000000000000568</v>
      </c>
    </row>
    <row r="141" spans="1:11" ht="15" customHeight="1">
      <c r="A141" s="1">
        <v>523</v>
      </c>
      <c r="B141" s="1" t="s">
        <v>105</v>
      </c>
      <c r="C141" s="12">
        <v>4512</v>
      </c>
      <c r="D141" s="7">
        <v>82.1</v>
      </c>
      <c r="E141" s="7">
        <v>42.3</v>
      </c>
      <c r="F141" s="7">
        <v>35.4</v>
      </c>
      <c r="G141" s="7">
        <v>13.5</v>
      </c>
      <c r="H141" s="7">
        <v>1.5</v>
      </c>
      <c r="I141" s="7">
        <v>6.7</v>
      </c>
      <c r="J141" s="8">
        <v>0.4</v>
      </c>
      <c r="K141" s="8">
        <f t="shared" si="2"/>
        <v>0.20000000000000284</v>
      </c>
    </row>
    <row r="142" spans="1:11" ht="15" customHeight="1">
      <c r="A142" s="1">
        <v>524</v>
      </c>
      <c r="B142" s="1" t="s">
        <v>106</v>
      </c>
      <c r="C142" s="12">
        <v>6336</v>
      </c>
      <c r="D142" s="7">
        <v>79.8</v>
      </c>
      <c r="E142" s="7">
        <v>57.9</v>
      </c>
      <c r="F142" s="7">
        <v>27</v>
      </c>
      <c r="G142" s="7">
        <v>7.6</v>
      </c>
      <c r="H142" s="8">
        <v>0.8</v>
      </c>
      <c r="I142" s="7">
        <v>5</v>
      </c>
      <c r="J142" s="8">
        <v>0.7</v>
      </c>
      <c r="K142" s="7">
        <f t="shared" si="2"/>
        <v>1</v>
      </c>
    </row>
    <row r="143" spans="1:11" ht="15" customHeight="1">
      <c r="A143" s="1">
        <v>525</v>
      </c>
      <c r="B143" s="1" t="s">
        <v>107</v>
      </c>
      <c r="C143" s="12">
        <v>7104</v>
      </c>
      <c r="D143" s="7">
        <v>81.5</v>
      </c>
      <c r="E143" s="7">
        <v>54.9</v>
      </c>
      <c r="F143" s="7">
        <v>31</v>
      </c>
      <c r="G143" s="7">
        <v>7.4</v>
      </c>
      <c r="H143" s="8">
        <v>0.9</v>
      </c>
      <c r="I143" s="7">
        <v>4.4000000000000004</v>
      </c>
      <c r="J143" s="8">
        <v>0.6</v>
      </c>
      <c r="K143" s="8">
        <f t="shared" si="2"/>
        <v>0.79999999999998295</v>
      </c>
    </row>
    <row r="144" spans="1:11" ht="15" customHeight="1">
      <c r="B144" s="2" t="s">
        <v>108</v>
      </c>
      <c r="C144" s="12">
        <f>SUM(C139:C143)</f>
        <v>26545</v>
      </c>
      <c r="D144" s="7">
        <v>80.5</v>
      </c>
      <c r="E144" s="7">
        <v>51.6</v>
      </c>
      <c r="F144" s="7">
        <v>32.200000000000003</v>
      </c>
      <c r="G144" s="7">
        <v>9.1</v>
      </c>
      <c r="H144" s="7">
        <v>1.1000000000000001</v>
      </c>
      <c r="I144" s="7">
        <v>4.8</v>
      </c>
      <c r="J144" s="8">
        <v>0.5</v>
      </c>
      <c r="K144" s="8">
        <f t="shared" si="2"/>
        <v>0.70000000000000284</v>
      </c>
    </row>
    <row r="145" spans="1:11" ht="15" customHeight="1">
      <c r="C145" s="12" t="s">
        <v>23</v>
      </c>
      <c r="D145" s="7"/>
      <c r="E145" s="7"/>
      <c r="F145" s="7"/>
      <c r="G145" s="7"/>
      <c r="H145" s="7"/>
      <c r="I145" s="7"/>
      <c r="J145" s="7"/>
      <c r="K145" s="6"/>
    </row>
    <row r="146" spans="1:11" ht="15" customHeight="1">
      <c r="A146" s="1">
        <v>531</v>
      </c>
      <c r="B146" s="1" t="s">
        <v>109</v>
      </c>
      <c r="C146" s="12">
        <v>7205</v>
      </c>
      <c r="D146" s="7">
        <v>79.099999999999994</v>
      </c>
      <c r="E146" s="7">
        <v>46.3</v>
      </c>
      <c r="F146" s="7">
        <v>40</v>
      </c>
      <c r="G146" s="7">
        <v>7.9</v>
      </c>
      <c r="H146" s="8">
        <v>0.6</v>
      </c>
      <c r="I146" s="7">
        <v>4</v>
      </c>
      <c r="J146" s="8">
        <v>0.6</v>
      </c>
      <c r="K146" s="8">
        <f>(($E146+$F146+$G146+$H146+$I146+$J146)-100)*(-1)</f>
        <v>0.60000000000000853</v>
      </c>
    </row>
    <row r="147" spans="1:11" ht="15" customHeight="1">
      <c r="A147" s="1">
        <v>532</v>
      </c>
      <c r="B147" s="1" t="s">
        <v>110</v>
      </c>
      <c r="C147" s="12">
        <v>3606</v>
      </c>
      <c r="D147" s="7">
        <v>80</v>
      </c>
      <c r="E147" s="7">
        <v>50</v>
      </c>
      <c r="F147" s="7">
        <v>34.4</v>
      </c>
      <c r="G147" s="7">
        <v>8.4</v>
      </c>
      <c r="H147" s="8">
        <v>0.8</v>
      </c>
      <c r="I147" s="7">
        <v>5.4</v>
      </c>
      <c r="J147" s="8">
        <v>0.5</v>
      </c>
      <c r="K147" s="8">
        <f>(($E147+$F147+$G147+$H147+$I147+$J147)-100)*(-1)</f>
        <v>0.49999999999998579</v>
      </c>
    </row>
    <row r="148" spans="1:11" ht="15" customHeight="1">
      <c r="A148" s="1">
        <v>533</v>
      </c>
      <c r="B148" s="1" t="s">
        <v>111</v>
      </c>
      <c r="C148" s="12">
        <v>10133</v>
      </c>
      <c r="D148" s="7">
        <v>75.900000000000006</v>
      </c>
      <c r="E148" s="7">
        <v>58.5</v>
      </c>
      <c r="F148" s="7">
        <v>28.7</v>
      </c>
      <c r="G148" s="7">
        <v>6.3</v>
      </c>
      <c r="H148" s="8">
        <v>0.7</v>
      </c>
      <c r="I148" s="7">
        <v>4.5999999999999996</v>
      </c>
      <c r="J148" s="8">
        <v>0.6</v>
      </c>
      <c r="K148" s="8">
        <f>(($E148+$F148+$G148+$H148+$I148+$J148)-100)*(-1)</f>
        <v>0.60000000000000853</v>
      </c>
    </row>
    <row r="149" spans="1:11" ht="15" customHeight="1">
      <c r="A149" s="1">
        <v>534</v>
      </c>
      <c r="B149" s="1" t="s">
        <v>112</v>
      </c>
      <c r="C149" s="12">
        <v>4221</v>
      </c>
      <c r="D149" s="7">
        <v>80.599999999999994</v>
      </c>
      <c r="E149" s="7">
        <v>50</v>
      </c>
      <c r="F149" s="7">
        <v>33.799999999999997</v>
      </c>
      <c r="G149" s="7">
        <v>8.9</v>
      </c>
      <c r="H149" s="8">
        <v>0.4</v>
      </c>
      <c r="I149" s="7">
        <v>5.8</v>
      </c>
      <c r="J149" s="8">
        <v>0.5</v>
      </c>
      <c r="K149" s="8">
        <f>(($E149+$F149+$G149+$H149+$I149+$J149)-100)*(-1)</f>
        <v>0.59999999999999432</v>
      </c>
    </row>
    <row r="150" spans="1:11" ht="15" customHeight="1">
      <c r="A150" s="1">
        <v>535</v>
      </c>
      <c r="B150" s="1" t="s">
        <v>113</v>
      </c>
      <c r="C150" s="12" t="s">
        <v>6</v>
      </c>
      <c r="D150" s="7" t="s">
        <v>6</v>
      </c>
      <c r="E150" s="7" t="s">
        <v>6</v>
      </c>
      <c r="F150" s="7" t="s">
        <v>6</v>
      </c>
      <c r="G150" s="7" t="s">
        <v>6</v>
      </c>
      <c r="H150" s="7" t="s">
        <v>6</v>
      </c>
      <c r="I150" s="7" t="s">
        <v>6</v>
      </c>
      <c r="J150" s="8" t="s">
        <v>6</v>
      </c>
      <c r="K150" s="6"/>
    </row>
    <row r="151" spans="1:11" ht="15" customHeight="1">
      <c r="B151" s="2" t="s">
        <v>114</v>
      </c>
      <c r="C151" s="12">
        <f>SUM(C146:C150)</f>
        <v>25165</v>
      </c>
      <c r="D151" s="7">
        <v>78.2</v>
      </c>
      <c r="E151" s="7">
        <v>52.2</v>
      </c>
      <c r="F151" s="7">
        <v>33.700000000000003</v>
      </c>
      <c r="G151" s="7">
        <v>7.5</v>
      </c>
      <c r="H151" s="8">
        <v>0.6</v>
      </c>
      <c r="I151" s="7">
        <v>4.7</v>
      </c>
      <c r="J151" s="8">
        <v>0.6</v>
      </c>
      <c r="K151" s="8">
        <f>(($E151+$F151+$G151+$H151+$I151+$J151)-100)*(-1)</f>
        <v>0.70000000000000284</v>
      </c>
    </row>
    <row r="152" spans="1:11" ht="15" customHeight="1">
      <c r="C152" s="12"/>
      <c r="D152" s="7"/>
      <c r="E152" s="7"/>
      <c r="F152" s="7"/>
      <c r="G152" s="7"/>
      <c r="H152" s="7"/>
      <c r="I152" s="7"/>
      <c r="J152" s="7"/>
      <c r="K152" s="6"/>
    </row>
    <row r="153" spans="1:11" ht="15" customHeight="1">
      <c r="B153" s="2" t="s">
        <v>115</v>
      </c>
      <c r="C153" s="12">
        <v>77767</v>
      </c>
      <c r="D153" s="7">
        <v>79.599999999999994</v>
      </c>
      <c r="E153" s="7">
        <v>50.4</v>
      </c>
      <c r="F153" s="7">
        <v>33.200000000000003</v>
      </c>
      <c r="G153" s="7">
        <v>9.3000000000000007</v>
      </c>
      <c r="H153" s="7">
        <v>1</v>
      </c>
      <c r="I153" s="7">
        <v>5</v>
      </c>
      <c r="J153" s="8">
        <v>0.5</v>
      </c>
      <c r="K153" s="6">
        <v>0.6</v>
      </c>
    </row>
    <row r="154" spans="1:11" ht="15" customHeight="1">
      <c r="C154" s="12"/>
      <c r="D154" s="7"/>
      <c r="E154" s="7"/>
      <c r="F154" s="7"/>
      <c r="G154" s="7"/>
      <c r="H154" s="7"/>
      <c r="I154" s="7"/>
      <c r="J154" s="7"/>
      <c r="K154" s="6"/>
    </row>
    <row r="155" spans="1:11" ht="15" customHeight="1">
      <c r="B155" s="2" t="s">
        <v>116</v>
      </c>
      <c r="C155" s="12">
        <v>420552</v>
      </c>
      <c r="D155" s="7">
        <v>80</v>
      </c>
      <c r="E155" s="7">
        <v>48.7</v>
      </c>
      <c r="F155" s="7">
        <v>32</v>
      </c>
      <c r="G155" s="7">
        <v>11.1</v>
      </c>
      <c r="H155" s="7">
        <v>1.4</v>
      </c>
      <c r="I155" s="7">
        <v>5.4</v>
      </c>
      <c r="J155" s="8">
        <v>0.9</v>
      </c>
      <c r="K155" s="6">
        <v>0.6</v>
      </c>
    </row>
    <row r="156" spans="1:11" ht="15" customHeight="1">
      <c r="B156" s="1" t="s">
        <v>117</v>
      </c>
      <c r="C156" s="12"/>
      <c r="D156" s="7"/>
      <c r="E156" s="7"/>
      <c r="F156" s="7"/>
      <c r="G156" s="7"/>
      <c r="H156" s="7"/>
      <c r="I156" s="7"/>
      <c r="J156" s="7"/>
      <c r="K156" s="6"/>
    </row>
    <row r="157" spans="1:11" ht="15" customHeight="1">
      <c r="B157" s="1" t="s">
        <v>118</v>
      </c>
      <c r="C157" s="12">
        <v>37109</v>
      </c>
      <c r="D157" s="7">
        <v>89.3</v>
      </c>
      <c r="E157" s="7">
        <v>39.200000000000003</v>
      </c>
      <c r="F157" s="7">
        <v>39.700000000000003</v>
      </c>
      <c r="G157" s="7">
        <v>12.3</v>
      </c>
      <c r="H157" s="7">
        <v>2.1</v>
      </c>
      <c r="I157" s="8">
        <v>5.4</v>
      </c>
      <c r="J157" s="8">
        <v>0.8</v>
      </c>
      <c r="K157" s="6">
        <v>0.5</v>
      </c>
    </row>
    <row r="158" spans="1:11" ht="15" customHeight="1">
      <c r="C158" s="12"/>
      <c r="D158" s="7"/>
      <c r="E158" s="7"/>
      <c r="F158" s="7"/>
      <c r="G158" s="7"/>
      <c r="H158" s="7"/>
      <c r="I158" s="7"/>
      <c r="J158" s="7"/>
      <c r="K158" s="6"/>
    </row>
    <row r="159" spans="1:11" ht="15" customHeight="1">
      <c r="B159" s="2" t="s">
        <v>119</v>
      </c>
      <c r="C159" s="12">
        <v>100864</v>
      </c>
      <c r="D159" s="7">
        <v>72.3</v>
      </c>
      <c r="E159" s="7">
        <v>52.8</v>
      </c>
      <c r="F159" s="7">
        <v>31.6</v>
      </c>
      <c r="G159" s="7">
        <v>9.1</v>
      </c>
      <c r="H159" s="7">
        <v>1.3</v>
      </c>
      <c r="I159" s="7">
        <v>4.2</v>
      </c>
      <c r="J159" s="8">
        <v>0.6</v>
      </c>
      <c r="K159" s="6">
        <v>0.4</v>
      </c>
    </row>
    <row r="160" spans="1:11" ht="15" customHeight="1">
      <c r="C160" s="12"/>
      <c r="D160" s="7"/>
      <c r="E160" s="7"/>
      <c r="F160" s="7"/>
      <c r="G160" s="7"/>
      <c r="H160" s="7"/>
      <c r="I160" s="7"/>
      <c r="J160" s="7"/>
      <c r="K160" s="6"/>
    </row>
    <row r="161" spans="1:11" ht="15" customHeight="1">
      <c r="B161" s="13" t="s">
        <v>120</v>
      </c>
      <c r="C161" s="12">
        <v>521416</v>
      </c>
      <c r="D161" s="7">
        <v>78.5</v>
      </c>
      <c r="E161" s="7">
        <v>49.4</v>
      </c>
      <c r="F161" s="7">
        <v>31.9</v>
      </c>
      <c r="G161" s="7">
        <v>10.8</v>
      </c>
      <c r="H161" s="7">
        <v>1.4</v>
      </c>
      <c r="I161" s="7">
        <v>5.0999999999999996</v>
      </c>
      <c r="J161" s="8">
        <v>0.8</v>
      </c>
      <c r="K161" s="6">
        <v>0.6</v>
      </c>
    </row>
    <row r="162" spans="1:11" ht="15" customHeight="1">
      <c r="C162" t="s">
        <v>23</v>
      </c>
    </row>
    <row r="163" spans="1:11" ht="15" customHeight="1">
      <c r="A163" s="5" t="s">
        <v>121</v>
      </c>
      <c r="B163" s="5"/>
    </row>
    <row r="164" spans="1:11" ht="15" customHeight="1">
      <c r="A164" s="3" t="s">
        <v>122</v>
      </c>
    </row>
    <row r="165" spans="1:11" ht="15" customHeight="1">
      <c r="A165" s="1" t="s">
        <v>123</v>
      </c>
    </row>
    <row r="166" spans="1:11" ht="15" customHeight="1">
      <c r="A166" s="3" t="s">
        <v>124</v>
      </c>
    </row>
    <row r="167" spans="1:11" ht="15" customHeight="1">
      <c r="A167" s="3" t="s">
        <v>125</v>
      </c>
    </row>
    <row r="168" spans="1:11" ht="15" customHeight="1">
      <c r="A168" s="1" t="s">
        <v>126</v>
      </c>
    </row>
    <row r="169" spans="1:11" ht="15" customHeight="1"/>
    <row r="170" spans="1:11" ht="15" customHeight="1"/>
    <row r="171" spans="1:11" ht="15" customHeight="1"/>
    <row r="172" spans="1:11" ht="15" customHeight="1"/>
    <row r="173" spans="1:11" ht="15" customHeight="1"/>
    <row r="174" spans="1:11" ht="15" customHeight="1"/>
    <row r="175" spans="1:11" ht="15" customHeight="1"/>
    <row r="176" spans="1:11" ht="15" customHeight="1"/>
    <row r="177" ht="15" customHeight="1"/>
  </sheetData>
  <printOptions horizontalCentered="1"/>
  <pageMargins left="0.39370078740157483" right="0.31496062992125984" top="0.39370078740157483" bottom="0.62992125984251968" header="0.4921259845" footer="0.4921259845"/>
  <pageSetup paperSize="9" orientation="landscape" horizontalDpi="0" verticalDpi="0"/>
  <headerFooter alignWithMargins="0">
    <oddHeader xml:space="preserve">&amp;C 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Bremen_Bürgerschaft_1979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Heddesheimer</dc:creator>
  <cp:lastModifiedBy>Vincent Heddesheimer</cp:lastModifiedBy>
  <dcterms:created xsi:type="dcterms:W3CDTF">2026-03-20T20:13:53Z</dcterms:created>
  <dcterms:modified xsi:type="dcterms:W3CDTF">2026-03-20T20:13:53Z</dcterms:modified>
</cp:coreProperties>
</file>