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R11\S111\05_Auskunftsdienst\Anfragen\Tabellen und Dokumente\2025\"/>
    </mc:Choice>
  </mc:AlternateContent>
  <xr:revisionPtr revIDLastSave="0" documentId="13_ncr:1_{36E47815-F73D-4B24-912C-2114A83E6A86}" xr6:coauthVersionLast="47" xr6:coauthVersionMax="47" xr10:uidLastSave="{00000000-0000-0000-0000-000000000000}"/>
  <bookViews>
    <workbookView xWindow="3075" yWindow="3075" windowWidth="21600" windowHeight="11295" activeTab="3" xr2:uid="{00000000-000D-0000-FFFF-FFFF00000000}"/>
  </bookViews>
  <sheets>
    <sheet name="Landräte" sheetId="55" r:id="rId1"/>
    <sheet name="Oberbürgermeister Krfr.Städte" sheetId="58" r:id="rId2"/>
    <sheet name="Bürgermeister Verbandsgemeinden" sheetId="56" r:id="rId3"/>
    <sheet name="Bürgermeister Vfr.Gemeinden" sheetId="57" r:id="rId4"/>
  </sheets>
  <externalReferences>
    <externalReference r:id="rId5"/>
  </externalReferences>
  <definedNames>
    <definedName name="_xlnm._FilterDatabase" localSheetId="2" hidden="1">'Bürgermeister Verbandsgemeinden'!$S$1:$S$2160</definedName>
    <definedName name="_xlnm._FilterDatabase" localSheetId="3" hidden="1">'Bürgermeister Vfr.Gemeinden'!$C$1:$D$450</definedName>
    <definedName name="_xlnm._FilterDatabase" localSheetId="0" hidden="1">Landräte!$C$1:$C$235</definedName>
    <definedName name="_xlnm._FilterDatabase" localSheetId="1" hidden="1">'Oberbürgermeister Krfr.Städte'!$D$1:$D$180</definedName>
    <definedName name="_xlnm.Print_Titles" localSheetId="2">'Bürgermeister Verbandsgemeinden'!$1:$5</definedName>
    <definedName name="_xlnm.Print_Titles" localSheetId="3">'Bürgermeister Vfr.Gemeinden'!$1:$5</definedName>
    <definedName name="_xlnm.Print_Titles" localSheetId="0">Landräte!$1:$5</definedName>
    <definedName name="_xlnm.Print_Titles" localSheetId="1">'Oberbürgermeister Krfr.Städte'!#REF!</definedName>
    <definedName name="Wahltag" localSheetId="2">'Bürgermeister Verbandsgemeinden'!#REF!</definedName>
    <definedName name="Wahltag" localSheetId="1">'Oberbürgermeister Krfr.Städte'!#REF!</definedName>
    <definedName name="Wahltag">'Bürgermeister Vfr.Gemeinden'!#REF!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39" i="57" l="1"/>
  <c r="R434" i="57"/>
  <c r="R430" i="57"/>
  <c r="R424" i="57"/>
  <c r="R421" i="57"/>
  <c r="R416" i="57"/>
  <c r="R414" i="57"/>
  <c r="R410" i="57"/>
  <c r="R406" i="57"/>
  <c r="R400" i="57"/>
  <c r="R396" i="57"/>
  <c r="R393" i="57"/>
  <c r="R388" i="57"/>
  <c r="R379" i="57"/>
  <c r="R376" i="57"/>
  <c r="R371" i="57"/>
  <c r="R369" i="57"/>
  <c r="R365" i="57"/>
  <c r="R363" i="57"/>
  <c r="R355" i="57"/>
  <c r="R352" i="57"/>
  <c r="R347" i="57"/>
  <c r="R342" i="57"/>
  <c r="R339" i="57"/>
  <c r="R335" i="57"/>
  <c r="R324" i="57"/>
  <c r="R320" i="57"/>
  <c r="R318" i="57"/>
  <c r="R312" i="57"/>
  <c r="R308" i="57"/>
  <c r="R303" i="57"/>
  <c r="R296" i="57"/>
  <c r="R293" i="57"/>
  <c r="R290" i="57"/>
  <c r="R286" i="57"/>
  <c r="R282" i="57"/>
  <c r="R280" i="57"/>
  <c r="R276" i="57"/>
  <c r="R272" i="57"/>
  <c r="R269" i="57"/>
  <c r="R265" i="57"/>
  <c r="R255" i="57"/>
  <c r="R247" i="57"/>
  <c r="R244" i="57"/>
  <c r="R241" i="57"/>
  <c r="R238" i="57"/>
  <c r="R236" i="57"/>
  <c r="R233" i="57"/>
  <c r="R229" i="57"/>
  <c r="R225" i="57"/>
  <c r="R222" i="57"/>
  <c r="R214" i="57"/>
  <c r="R208" i="57"/>
  <c r="R203" i="57"/>
  <c r="R198" i="57"/>
  <c r="R195" i="57"/>
  <c r="R190" i="57"/>
  <c r="R187" i="57"/>
  <c r="R179" i="57"/>
  <c r="R175" i="57"/>
  <c r="R172" i="57"/>
  <c r="R169" i="57"/>
  <c r="R166" i="57"/>
  <c r="N1327" i="56"/>
  <c r="N1325" i="56"/>
  <c r="N1321" i="56"/>
  <c r="N1319" i="56"/>
  <c r="N1315" i="56"/>
  <c r="N1312" i="56"/>
  <c r="N1304" i="56"/>
  <c r="N1302" i="56"/>
  <c r="N1299" i="56"/>
  <c r="N1296" i="56"/>
  <c r="N1293" i="56"/>
  <c r="N1288" i="56"/>
  <c r="N1280" i="56"/>
  <c r="N1277" i="56"/>
  <c r="N1271" i="56"/>
  <c r="N1269" i="56"/>
  <c r="N1265" i="56"/>
  <c r="N1258" i="56"/>
  <c r="N1254" i="56"/>
  <c r="N1250" i="56"/>
  <c r="N1246" i="56"/>
  <c r="N1243" i="56"/>
  <c r="N1241" i="56"/>
  <c r="N1238" i="56"/>
  <c r="N1234" i="56"/>
  <c r="N1223" i="56"/>
  <c r="N1221" i="56"/>
  <c r="N1217" i="56"/>
  <c r="N1211" i="56"/>
  <c r="N1196" i="56"/>
  <c r="N1190" i="56"/>
  <c r="N1183" i="56"/>
  <c r="N1178" i="56"/>
  <c r="N1176" i="56"/>
  <c r="N1165" i="56"/>
  <c r="N1162" i="56"/>
  <c r="N1157" i="56"/>
  <c r="N1146" i="56"/>
  <c r="N1143" i="56"/>
  <c r="N1137" i="56"/>
  <c r="N1135" i="56"/>
  <c r="N1132" i="56"/>
  <c r="N1123" i="56"/>
  <c r="N1119" i="56"/>
  <c r="N1110" i="56"/>
  <c r="N1106" i="56"/>
  <c r="N1102" i="56"/>
  <c r="N1098" i="56"/>
  <c r="N1080" i="56"/>
  <c r="N1076" i="56"/>
  <c r="N1073" i="56"/>
  <c r="N1071" i="56"/>
  <c r="N1069" i="56"/>
  <c r="N1064" i="56"/>
  <c r="N1061" i="56"/>
  <c r="N1059" i="56"/>
  <c r="N1055" i="56"/>
  <c r="N1052" i="56"/>
  <c r="N1046" i="56"/>
  <c r="N1043" i="56"/>
  <c r="N1041" i="56"/>
  <c r="N1039" i="56"/>
  <c r="N1036" i="56"/>
  <c r="N1032" i="56"/>
  <c r="N1029" i="56"/>
  <c r="N1026" i="56"/>
  <c r="N1020" i="56"/>
  <c r="N1017" i="56"/>
  <c r="N1015" i="56"/>
  <c r="N1008" i="56"/>
  <c r="N1003" i="56"/>
  <c r="N997" i="56"/>
  <c r="N995" i="56"/>
  <c r="N993" i="56"/>
  <c r="N987" i="56"/>
  <c r="N984" i="56"/>
  <c r="N980" i="56"/>
  <c r="N977" i="56"/>
  <c r="N973" i="56"/>
  <c r="N967" i="56"/>
  <c r="N961" i="56"/>
  <c r="N955" i="56"/>
  <c r="N947" i="56"/>
  <c r="N943" i="56"/>
  <c r="N938" i="56"/>
  <c r="N935" i="56"/>
  <c r="N930" i="56"/>
  <c r="N927" i="56"/>
  <c r="N910" i="56"/>
  <c r="N908" i="56"/>
  <c r="N903" i="56"/>
  <c r="N900" i="56"/>
  <c r="N897" i="56"/>
  <c r="N894" i="56"/>
  <c r="N892" i="56"/>
  <c r="N887" i="56"/>
  <c r="N882" i="56"/>
  <c r="N876" i="56"/>
  <c r="N870" i="56"/>
  <c r="N858" i="56"/>
  <c r="N855" i="56"/>
  <c r="N845" i="56"/>
  <c r="N843" i="56"/>
  <c r="N840" i="56"/>
  <c r="N832" i="56"/>
  <c r="N829" i="56"/>
  <c r="N827" i="56"/>
  <c r="L198" i="55" l="1"/>
  <c r="L193" i="55"/>
  <c r="L186" i="55"/>
  <c r="L6" i="55"/>
  <c r="L10" i="55"/>
  <c r="L13" i="55"/>
  <c r="L18" i="55"/>
  <c r="L22" i="55"/>
  <c r="L29" i="55"/>
  <c r="L32" i="55"/>
  <c r="L39" i="55"/>
  <c r="L42" i="55"/>
  <c r="L56" i="55"/>
  <c r="L61" i="55"/>
  <c r="L65" i="55"/>
  <c r="L68" i="55"/>
  <c r="L72" i="55"/>
  <c r="L76" i="55"/>
  <c r="L80" i="55"/>
  <c r="L83" i="55"/>
  <c r="L89" i="55"/>
  <c r="L92" i="55"/>
  <c r="L96" i="55"/>
  <c r="L99" i="55"/>
  <c r="L105" i="55"/>
  <c r="L109" i="55"/>
  <c r="L112" i="55"/>
  <c r="L116" i="55"/>
  <c r="L118" i="55"/>
  <c r="L127" i="55"/>
  <c r="L130" i="55"/>
  <c r="L134" i="55"/>
  <c r="L137" i="55"/>
  <c r="L140" i="55"/>
  <c r="L146" i="55"/>
  <c r="L153" i="55"/>
  <c r="L157" i="55"/>
  <c r="L160" i="55"/>
  <c r="L165" i="55"/>
  <c r="L168" i="55"/>
  <c r="L177" i="55"/>
  <c r="L179" i="55"/>
</calcChain>
</file>

<file path=xl/sharedStrings.xml><?xml version="1.0" encoding="utf-8"?>
<sst xmlns="http://schemas.openxmlformats.org/spreadsheetml/2006/main" count="13147" uniqueCount="2779">
  <si>
    <t>Schartz, Günther</t>
  </si>
  <si>
    <t>Dr. Barley, Katarina</t>
  </si>
  <si>
    <t xml:space="preserve">GRÜNE </t>
  </si>
  <si>
    <t>Dr. Tauscher, Ludwig</t>
  </si>
  <si>
    <t>Görisch, Ernst Walter</t>
  </si>
  <si>
    <t>Kolb-Noack, Elisabeth</t>
  </si>
  <si>
    <t>Dr. Lange, Thorsten</t>
  </si>
  <si>
    <t>Busch, Wilfried</t>
  </si>
  <si>
    <t>Flach, Gabriele</t>
  </si>
  <si>
    <t>Riedmaier, Theresia  Maria</t>
  </si>
  <si>
    <t>Siener, Ulrike</t>
  </si>
  <si>
    <t>Lieber, Michael</t>
  </si>
  <si>
    <t>Hasselbach, Frank</t>
  </si>
  <si>
    <t>Emmert, Elisabeth</t>
  </si>
  <si>
    <t>Kern, Günter</t>
  </si>
  <si>
    <t>Labonte, Peter</t>
  </si>
  <si>
    <t>Redmer, Axel</t>
  </si>
  <si>
    <t>Grüner, Dirk</t>
  </si>
  <si>
    <t>Wild, Thomas</t>
  </si>
  <si>
    <t>CDU</t>
  </si>
  <si>
    <t>Dr. Scheid, Heinz-Jürgen</t>
  </si>
  <si>
    <t>SPD</t>
  </si>
  <si>
    <t>Kaul, Rainer</t>
  </si>
  <si>
    <t>Berg-Winters, Albert</t>
  </si>
  <si>
    <t>Dr. Jung, Rüdiger</t>
  </si>
  <si>
    <t>Läsch-Weber, Beate</t>
  </si>
  <si>
    <t>Einzelbewerber</t>
  </si>
  <si>
    <t>Weidemann, Heide</t>
  </si>
  <si>
    <t>Dr. Hanke, Gerhard</t>
  </si>
  <si>
    <t>Schick, Claus</t>
  </si>
  <si>
    <t>Graef, Roger</t>
  </si>
  <si>
    <t>Fuchs, Elfriede</t>
  </si>
  <si>
    <t>Junker, Paul</t>
  </si>
  <si>
    <t>Künne, Rolf</t>
  </si>
  <si>
    <t>GRÜNE</t>
  </si>
  <si>
    <t>Elster, Michael</t>
  </si>
  <si>
    <t>Schröter, Werner</t>
  </si>
  <si>
    <t>Altvater, Walter</t>
  </si>
  <si>
    <t>FDP</t>
  </si>
  <si>
    <t>Freunscht, Erhard</t>
  </si>
  <si>
    <t>Röhl, Sabine</t>
  </si>
  <si>
    <t>Schrank, Edwin</t>
  </si>
  <si>
    <t>Dr. Brechtel, Fritz</t>
  </si>
  <si>
    <t>Dr. Seibert, Kurt</t>
  </si>
  <si>
    <t>Dr. Wildberg, Heiko</t>
  </si>
  <si>
    <t>Dr. Hirschberger, Winfried</t>
  </si>
  <si>
    <t>Weis, Lothar</t>
  </si>
  <si>
    <t>Link, Wolfgang</t>
  </si>
  <si>
    <t>Weinert, Peter Paul</t>
  </si>
  <si>
    <t>Knoche, Klaus</t>
  </si>
  <si>
    <t>Schmidt, Kurt</t>
  </si>
  <si>
    <t>Fritsche, Erika</t>
  </si>
  <si>
    <t>Duppré, Hans Jörg</t>
  </si>
  <si>
    <t>Seibel, Manfred</t>
  </si>
  <si>
    <t>Hügel, Ernst Ewald</t>
  </si>
  <si>
    <t>FWG</t>
  </si>
  <si>
    <t>Werner, Winfried</t>
  </si>
  <si>
    <t>Leverkus, Hans</t>
  </si>
  <si>
    <t>Dr. Hofmeister, Wolfgang</t>
  </si>
  <si>
    <t>Hartelt, Doris</t>
  </si>
  <si>
    <t>Kehl, Rolf</t>
  </si>
  <si>
    <t>Velten, Karl-Otto</t>
  </si>
  <si>
    <t>Nuphaus, Ludger</t>
  </si>
  <si>
    <t>Dr. Pföhler, Jürgen</t>
  </si>
  <si>
    <t>Elsner, Petra</t>
  </si>
  <si>
    <t>Huwer, Eckhard</t>
  </si>
  <si>
    <t>Raab, Heike</t>
  </si>
  <si>
    <t>Minnebeck, Peter</t>
  </si>
  <si>
    <t>Schneiders, Herbert</t>
  </si>
  <si>
    <t>Onnertz, Heinz</t>
  </si>
  <si>
    <t>Fleck, Bertram</t>
  </si>
  <si>
    <t>Neuser, Norbert</t>
  </si>
  <si>
    <t>Harth, Peter</t>
  </si>
  <si>
    <t>Dr. Beth, Alfred</t>
  </si>
  <si>
    <t>Haardt, Ottmar</t>
  </si>
  <si>
    <t>Dittmann, Gerd</t>
  </si>
  <si>
    <t>Piske, Udo</t>
  </si>
  <si>
    <t>Einzelbewerberin</t>
  </si>
  <si>
    <t>Einzelbewerber 1</t>
  </si>
  <si>
    <t>Einzelbewerber 2</t>
  </si>
  <si>
    <t>Hey, Wolfgang</t>
  </si>
  <si>
    <t>Machwirth, Hans Jürgen</t>
  </si>
  <si>
    <t>Henke, Michael</t>
  </si>
  <si>
    <t>Wählergruppe</t>
  </si>
  <si>
    <t>Gouasé, Olaf</t>
  </si>
  <si>
    <t>Riedmaier, Theresia Maria</t>
  </si>
  <si>
    <t>Schrader, Hansjochem</t>
  </si>
  <si>
    <t>Becker, Klaus</t>
  </si>
  <si>
    <t>Dr. Groß, Richard</t>
  </si>
  <si>
    <t>Nägler, Werner</t>
  </si>
  <si>
    <t>Dr. Schneider, Matthias</t>
  </si>
  <si>
    <t>Petry, Thomas</t>
  </si>
  <si>
    <t>Hallerbach, Achim</t>
  </si>
  <si>
    <t>Dr. Machalet, Tanja</t>
  </si>
  <si>
    <t>Schwickert, Achim</t>
  </si>
  <si>
    <t>VBB</t>
  </si>
  <si>
    <t>Knippschild, Holger</t>
  </si>
  <si>
    <t>Dr. Glauben, Paul Josef</t>
  </si>
  <si>
    <t>DIE LINKE</t>
  </si>
  <si>
    <t>Ferner, Wolfgang</t>
  </si>
  <si>
    <t>STREIT</t>
  </si>
  <si>
    <t>Dr. Streit, Joachim</t>
  </si>
  <si>
    <t>Hoffmann, Theo</t>
  </si>
  <si>
    <t>Hoffmann, Sven</t>
  </si>
  <si>
    <t>Springborn</t>
  </si>
  <si>
    <t>Springborn, Peter Reinhard</t>
  </si>
  <si>
    <t>Strunk, Rainer</t>
  </si>
  <si>
    <t>Decker, Karin</t>
  </si>
  <si>
    <t>Kocak, Hüseyin</t>
  </si>
  <si>
    <t>Wagner</t>
  </si>
  <si>
    <t>Wagner, Ingrid</t>
  </si>
  <si>
    <t>Hartenfels, Andreas</t>
  </si>
  <si>
    <t>Emrich, Gordon</t>
  </si>
  <si>
    <t>Körner, Clemens</t>
  </si>
  <si>
    <t>Reichert, Konrad</t>
  </si>
  <si>
    <t>Schneider, Heinz-Peter</t>
  </si>
  <si>
    <t>Schäfer, Dorothea</t>
  </si>
  <si>
    <t>Schick</t>
  </si>
  <si>
    <t>Stumpf</t>
  </si>
  <si>
    <t>Stumpf, Reinhold</t>
  </si>
  <si>
    <t>Diel, Franz-Josef</t>
  </si>
  <si>
    <t>Nies, Hans-Dirk</t>
  </si>
  <si>
    <t>Dr. Saftig, Alexander</t>
  </si>
  <si>
    <t>Hütten, Achim</t>
  </si>
  <si>
    <t>W.Gruppe 1</t>
  </si>
  <si>
    <t>Stange, Jürgen</t>
  </si>
  <si>
    <t>Dr. Meyer, Ferdinand Joseph</t>
  </si>
  <si>
    <t>Schnur, Manfred</t>
  </si>
  <si>
    <t>Dr. Köbberling, Anna</t>
  </si>
  <si>
    <t>Auler, Thomas</t>
  </si>
  <si>
    <t>Müller, Matthias</t>
  </si>
  <si>
    <t>Hartge, Christine</t>
  </si>
  <si>
    <t>Schnieder, Gordon</t>
  </si>
  <si>
    <t>Wahl der Landräte</t>
  </si>
  <si>
    <t>Bewerber</t>
  </si>
  <si>
    <t>Beginn</t>
  </si>
  <si>
    <t>Ende</t>
  </si>
  <si>
    <t>Wahltag</t>
  </si>
  <si>
    <t>Amtszeit</t>
  </si>
  <si>
    <t>Birkenfeld</t>
  </si>
  <si>
    <t>Südliche Weinstraße</t>
  </si>
  <si>
    <t>Rhein-Hunsrück-Kreis</t>
  </si>
  <si>
    <t>Daun</t>
  </si>
  <si>
    <t>Cochem-Zell</t>
  </si>
  <si>
    <t>Ahrweiler</t>
  </si>
  <si>
    <t>Bad Kreuznach</t>
  </si>
  <si>
    <t>Rhein-Lahn-Kreis</t>
  </si>
  <si>
    <t>Westerwaldkreis</t>
  </si>
  <si>
    <t>Bitburg-Prüm</t>
  </si>
  <si>
    <t>Trier-Saarburg</t>
  </si>
  <si>
    <t>Alzey-Worms</t>
  </si>
  <si>
    <t>Bad Dürkheim</t>
  </si>
  <si>
    <t>Donnersbergkreis</t>
  </si>
  <si>
    <t>Germersheim</t>
  </si>
  <si>
    <t>Kaiserslautern</t>
  </si>
  <si>
    <t>Kusel</t>
  </si>
  <si>
    <t>Ludwigshafen</t>
  </si>
  <si>
    <t>Südwestpfalz</t>
  </si>
  <si>
    <t>Mainz-Bingen</t>
  </si>
  <si>
    <t>Bernkastel-Wittlich</t>
  </si>
  <si>
    <t>Mayen-Koblenz</t>
  </si>
  <si>
    <t>Neuwied</t>
  </si>
  <si>
    <t>Vulkaneifel</t>
  </si>
  <si>
    <t>Eifelkreis Bitburg-Prüm</t>
  </si>
  <si>
    <t>Rhein-Pfalz-Kreis</t>
  </si>
  <si>
    <t>etwaiger Stichwahl-tag</t>
  </si>
  <si>
    <t>Schlüssel-nummer</t>
  </si>
  <si>
    <t>Stadt / Gemeinde</t>
  </si>
  <si>
    <t>Ergebnis in %</t>
  </si>
  <si>
    <t>Wahlbeteiligung in %</t>
  </si>
  <si>
    <t>vorheriger Amtsinhaber</t>
  </si>
  <si>
    <t>Wahlvorschlags-träger</t>
  </si>
  <si>
    <t>Name</t>
  </si>
  <si>
    <t>Hauptwahl</t>
  </si>
  <si>
    <t>Stichwahl</t>
  </si>
  <si>
    <t>Maaß, Michael Pekka</t>
  </si>
  <si>
    <t>Spindler, Bernd</t>
  </si>
  <si>
    <t>Eibes, Gregor</t>
  </si>
  <si>
    <t>Schmitt-Schäfer, Thomas</t>
  </si>
  <si>
    <t>Kanwischer, Frank</t>
  </si>
  <si>
    <t>Henkel</t>
  </si>
  <si>
    <t>Henkel, Stephan</t>
  </si>
  <si>
    <t>Niedersberg</t>
  </si>
  <si>
    <t>Niedersberg, Reinhard</t>
  </si>
  <si>
    <t>Görisch, Ernst-Walter</t>
  </si>
  <si>
    <t>Dr. Bachen, Markus</t>
  </si>
  <si>
    <t>Racky, Christoph</t>
  </si>
  <si>
    <t>Schappert, Michael</t>
  </si>
  <si>
    <t>Bender, Frank</t>
  </si>
  <si>
    <t>Thiel</t>
  </si>
  <si>
    <t>Thiel, Heinz-Peter</t>
  </si>
  <si>
    <t>Niederhöfer, Reinhold</t>
  </si>
  <si>
    <t>Ihlenfeld, Hans-Ulrich</t>
  </si>
  <si>
    <t>Rung-Braun, Heike</t>
  </si>
  <si>
    <t>Schenk, Johann-Nicolai</t>
  </si>
  <si>
    <t>Palmarini, Nikolas Sylvio Frank</t>
  </si>
  <si>
    <t>PIRATEN</t>
  </si>
  <si>
    <t>Ries, Carsten</t>
  </si>
  <si>
    <t>Neises, Thomas</t>
  </si>
  <si>
    <t>Quijano Burchardt, Sabina</t>
  </si>
  <si>
    <t>Dr. Henseler, Darja</t>
  </si>
  <si>
    <t>Altenkirchen (Ww.)</t>
  </si>
  <si>
    <t>Lieber, Michael Wilhelm</t>
  </si>
  <si>
    <t>Puchtler, Frank</t>
  </si>
  <si>
    <t>Groß, Günter</t>
  </si>
  <si>
    <t>Maurer, Michael</t>
  </si>
  <si>
    <t>Dr. Bröhr, Marlon</t>
  </si>
  <si>
    <t>Ritter</t>
  </si>
  <si>
    <t>Dr. Ritter, Axel</t>
  </si>
  <si>
    <t>Weinacht, Elias</t>
  </si>
  <si>
    <t>AfD</t>
  </si>
  <si>
    <t>Bachert, German</t>
  </si>
  <si>
    <t>Dickes, Bettina</t>
  </si>
  <si>
    <t>Schumann</t>
  </si>
  <si>
    <t>Schumann, Anke</t>
  </si>
  <si>
    <t>Die PARTEI</t>
  </si>
  <si>
    <t>Sietrich, Philipp</t>
  </si>
  <si>
    <t>CDU / FWG</t>
  </si>
  <si>
    <t>Guth, Rainer</t>
  </si>
  <si>
    <t>Cullmann, Michael</t>
  </si>
  <si>
    <t>Bayer</t>
  </si>
  <si>
    <t>Bayer, Joachim</t>
  </si>
  <si>
    <t>Ganster, Susanne</t>
  </si>
  <si>
    <t>Spitzer, Peter</t>
  </si>
  <si>
    <t>Zor, Nicole</t>
  </si>
  <si>
    <t>Blank, Torsten</t>
  </si>
  <si>
    <t>Seefeldt, Dietmar</t>
  </si>
  <si>
    <t>Conrad, Bärbel</t>
  </si>
  <si>
    <t>Rubly, Otto</t>
  </si>
  <si>
    <t>Nagel, Ulrike</t>
  </si>
  <si>
    <t>Schwab, Helge Olaf</t>
  </si>
  <si>
    <t>Leixner</t>
  </si>
  <si>
    <t>Leixner, Harald</t>
  </si>
  <si>
    <t>Urban</t>
  </si>
  <si>
    <t>Urban, Heribert</t>
  </si>
  <si>
    <t>Prof. Dr. Barbaro, Salvatore</t>
  </si>
  <si>
    <t>Alt, Irene</t>
  </si>
  <si>
    <t>Mergen, Moritz</t>
  </si>
  <si>
    <t>Mahlert, Michael</t>
  </si>
  <si>
    <t>Streit</t>
  </si>
  <si>
    <t>Leßmeister, Ralf</t>
  </si>
  <si>
    <t>Müller, Martin</t>
  </si>
  <si>
    <t>Zinßmeister, Ero</t>
  </si>
  <si>
    <t>Petry, Jörg</t>
  </si>
  <si>
    <t>FLKB</t>
  </si>
  <si>
    <t>Grandmaire, Michel</t>
  </si>
  <si>
    <t>Kaucher</t>
  </si>
  <si>
    <t>Kaucher, Werner</t>
  </si>
  <si>
    <t>Altenkirchen</t>
  </si>
  <si>
    <t>Enders, Peter</t>
  </si>
  <si>
    <t>Hundhausen, Andreas</t>
  </si>
  <si>
    <t>Sippel, Heiko</t>
  </si>
  <si>
    <t>Conrad, Markus</t>
  </si>
  <si>
    <t>Rahner, Thoams</t>
  </si>
  <si>
    <t>Jordan, Timo</t>
  </si>
  <si>
    <t>Gieseking, Julia</t>
  </si>
  <si>
    <t>Kruppert</t>
  </si>
  <si>
    <t>Kruppert, Andreas</t>
  </si>
  <si>
    <t>Köster, Julia</t>
  </si>
  <si>
    <t>Metzdorf, Stefan</t>
  </si>
  <si>
    <t>Wehrheim, Martina</t>
  </si>
  <si>
    <t>Klein</t>
  </si>
  <si>
    <t>Klein, Guido</t>
  </si>
  <si>
    <t>Kohley, Tim</t>
  </si>
  <si>
    <t>Kohley</t>
  </si>
  <si>
    <t>Rhein-Hunsrück</t>
  </si>
  <si>
    <t>Boch</t>
  </si>
  <si>
    <t>Boch, Volker</t>
  </si>
  <si>
    <t>Klein, Christian</t>
  </si>
  <si>
    <t>Lanius-Heck</t>
  </si>
  <si>
    <t>Lanius-Heck, Rita</t>
  </si>
  <si>
    <t>Mellmenn, Roger</t>
  </si>
  <si>
    <t>xx.09.2021</t>
  </si>
  <si>
    <t>Weigand</t>
  </si>
  <si>
    <t>Weigand, Cornelia</t>
  </si>
  <si>
    <t>Gies, Horst</t>
  </si>
  <si>
    <t>Schmitt</t>
  </si>
  <si>
    <t>Schmitt, Christoph</t>
  </si>
  <si>
    <t>Dr. Ritter</t>
  </si>
  <si>
    <t>Rhein-Lahn</t>
  </si>
  <si>
    <t>Dennighoff, Jörg</t>
  </si>
  <si>
    <t>CDU/FW</t>
  </si>
  <si>
    <t>Rau, Udo</t>
  </si>
  <si>
    <t>Beilstein, Anke</t>
  </si>
  <si>
    <t>FWG/GRÜNE/SPD</t>
  </si>
  <si>
    <t>Bräuer, Sonja</t>
  </si>
  <si>
    <t>Kowalski, Miroslaw</t>
  </si>
  <si>
    <t>Pehlke, Caroline</t>
  </si>
  <si>
    <t>Keidel, Matthias</t>
  </si>
  <si>
    <t>FREIE WÄHLER</t>
  </si>
  <si>
    <t>Hebel, Rouven</t>
  </si>
  <si>
    <t>Petry</t>
  </si>
  <si>
    <t>Petry, Manuela</t>
  </si>
  <si>
    <t>Schwarz</t>
  </si>
  <si>
    <t>Schwarz, Katrin</t>
  </si>
  <si>
    <t>Worst, Stefan</t>
  </si>
  <si>
    <t>Worst</t>
  </si>
  <si>
    <t>DIE PARTEI</t>
  </si>
  <si>
    <t>Geßner, Jeanette</t>
  </si>
  <si>
    <t>Boos, Marko</t>
  </si>
  <si>
    <t>CDU/Grüne</t>
  </si>
  <si>
    <t>Badziong, Pascal</t>
  </si>
  <si>
    <t>Altmaier, Christian</t>
  </si>
  <si>
    <t>Hackethal, Andreas</t>
  </si>
  <si>
    <t>28,02.2025</t>
  </si>
  <si>
    <t>Brandl, Martin</t>
  </si>
  <si>
    <t>Yüksel, Ziya</t>
  </si>
  <si>
    <t>Merz, Barbara Christina</t>
  </si>
  <si>
    <t>Schattner, Bernd</t>
  </si>
  <si>
    <t>FWG Landkreis Germersheim</t>
  </si>
  <si>
    <t>Hardardt, Volker</t>
  </si>
  <si>
    <t>Schwarz, Nicolas</t>
  </si>
  <si>
    <t>Dr. Dahm, Katharina</t>
  </si>
  <si>
    <t>CDU/FWG</t>
  </si>
  <si>
    <t>Rauschkolb, Jaqueline</t>
  </si>
  <si>
    <t>Raab</t>
  </si>
  <si>
    <t>Raab, Alexander</t>
  </si>
  <si>
    <t>Huber, Johannes</t>
  </si>
  <si>
    <t>Conrad, Jürgen</t>
  </si>
  <si>
    <t>Monzon, Alejandra Catalina</t>
  </si>
  <si>
    <t>VOTUM für den Kreis Kusel e.V.</t>
  </si>
  <si>
    <t>Danneck, Thomas</t>
  </si>
  <si>
    <t>Schwab, Helge</t>
  </si>
  <si>
    <t>Bendel, Anna Maria</t>
  </si>
  <si>
    <t>Ziegler, Eugen Alexander</t>
  </si>
  <si>
    <t>Knörr, Volker</t>
  </si>
  <si>
    <t>Staßen, Bianca</t>
  </si>
  <si>
    <t>Paul, Joachim</t>
  </si>
  <si>
    <t>Kuhn, Maurice</t>
  </si>
  <si>
    <t>Marohn, Ralf</t>
  </si>
  <si>
    <t>Barth, Thomas</t>
  </si>
  <si>
    <t>Wolf, Steffen</t>
  </si>
  <si>
    <t>Müller-Bohn, Andrea</t>
  </si>
  <si>
    <t>Jungbluth, Alexander</t>
  </si>
  <si>
    <t>Volt</t>
  </si>
  <si>
    <t>Nessel, Torsten</t>
  </si>
  <si>
    <t>Merklein, Christoph</t>
  </si>
  <si>
    <t>Dr. Ganster, Susanne</t>
  </si>
  <si>
    <t>Hallerbach</t>
  </si>
  <si>
    <t>Haferanke, Thorsten</t>
  </si>
  <si>
    <t>Wahl der Bürgermeister der Verbandsgemeinden 1994 - 2024</t>
  </si>
  <si>
    <t>Ende der Amtszeit angepasst</t>
  </si>
  <si>
    <t>Verbandsgemeinde</t>
  </si>
  <si>
    <r>
      <t xml:space="preserve">Wahlvorschlags-träger </t>
    </r>
    <r>
      <rPr>
        <b/>
        <vertAlign val="superscript"/>
        <sz val="9"/>
        <rFont val="Arial"/>
        <family val="2"/>
      </rPr>
      <t>1)</t>
    </r>
  </si>
  <si>
    <t>Vorname</t>
  </si>
  <si>
    <t>Geschlecht</t>
  </si>
  <si>
    <t>Daaden</t>
  </si>
  <si>
    <t>Schneider</t>
  </si>
  <si>
    <t>Wolfgang</t>
  </si>
  <si>
    <t>m</t>
  </si>
  <si>
    <t>WG/SPD</t>
  </si>
  <si>
    <t>Rühmann</t>
  </si>
  <si>
    <t>Reiner</t>
  </si>
  <si>
    <t/>
  </si>
  <si>
    <t>Gebhardshain</t>
  </si>
  <si>
    <t>Günter</t>
  </si>
  <si>
    <t>Meisenheim</t>
  </si>
  <si>
    <t>Schmell</t>
  </si>
  <si>
    <t>Klaus</t>
  </si>
  <si>
    <t>Heinisch</t>
  </si>
  <si>
    <t>Manfred</t>
  </si>
  <si>
    <t>Alfons</t>
  </si>
  <si>
    <t>Kröv-Bausendorf</t>
  </si>
  <si>
    <t>Bastgen</t>
  </si>
  <si>
    <t>Otto Maria</t>
  </si>
  <si>
    <t>Rohland</t>
  </si>
  <si>
    <t>Edgar</t>
  </si>
  <si>
    <t>Klöckner</t>
  </si>
  <si>
    <t>Werner</t>
  </si>
  <si>
    <t>Jenssen</t>
  </si>
  <si>
    <t>Meyer</t>
  </si>
  <si>
    <t>Ulrich</t>
  </si>
  <si>
    <t>Kelberg</t>
  </si>
  <si>
    <t>Häfner</t>
  </si>
  <si>
    <t>Karl</t>
  </si>
  <si>
    <t>Jax</t>
  </si>
  <si>
    <t>Franz-Josef</t>
  </si>
  <si>
    <t>Saarburg</t>
  </si>
  <si>
    <t>Schartz</t>
  </si>
  <si>
    <t>Günther</t>
  </si>
  <si>
    <t>Steuer</t>
  </si>
  <si>
    <t>Hans</t>
  </si>
  <si>
    <t>Braunshausen</t>
  </si>
  <si>
    <t>Michael</t>
  </si>
  <si>
    <t>Alzey-Land</t>
  </si>
  <si>
    <t>Görisch</t>
  </si>
  <si>
    <t>Ernst Walter</t>
  </si>
  <si>
    <t>Westhofen</t>
  </si>
  <si>
    <t>Nauth</t>
  </si>
  <si>
    <t>Peter</t>
  </si>
  <si>
    <t>Deidesheim</t>
  </si>
  <si>
    <t>Gillich</t>
  </si>
  <si>
    <t>Stefan</t>
  </si>
  <si>
    <t>Braun</t>
  </si>
  <si>
    <t>Eugen</t>
  </si>
  <si>
    <t>Ramstein-Miesenbach</t>
  </si>
  <si>
    <t>Divivier</t>
  </si>
  <si>
    <t>Julius</t>
  </si>
  <si>
    <t>Schiffmann</t>
  </si>
  <si>
    <t>Wolfstein</t>
  </si>
  <si>
    <t>Heß</t>
  </si>
  <si>
    <t>Kirch</t>
  </si>
  <si>
    <t>Edenkoben</t>
  </si>
  <si>
    <t>Gouasé</t>
  </si>
  <si>
    <t>Olaf</t>
  </si>
  <si>
    <t>Steigelmann</t>
  </si>
  <si>
    <t>Wagenführer</t>
  </si>
  <si>
    <t>Kurt</t>
  </si>
  <si>
    <t>Offenbach an der Queich</t>
  </si>
  <si>
    <t>Seefeldt</t>
  </si>
  <si>
    <t>Traub</t>
  </si>
  <si>
    <t>Novak</t>
  </si>
  <si>
    <t>Dannstadt-Schauernheim</t>
  </si>
  <si>
    <t>Ziegler</t>
  </si>
  <si>
    <t>Heinz Werner</t>
  </si>
  <si>
    <t>Hammes</t>
  </si>
  <si>
    <t>Karl-Heinz</t>
  </si>
  <si>
    <t>Hohl</t>
  </si>
  <si>
    <t>Ilse</t>
  </si>
  <si>
    <t>w</t>
  </si>
  <si>
    <t>Hetterich</t>
  </si>
  <si>
    <t>Bodenheim</t>
  </si>
  <si>
    <t>Krämer</t>
  </si>
  <si>
    <t>Gerhard</t>
  </si>
  <si>
    <t>Sierig</t>
  </si>
  <si>
    <t>Nieder-Olm</t>
  </si>
  <si>
    <t>Spiegler</t>
  </si>
  <si>
    <t>Ralph</t>
  </si>
  <si>
    <t>Schäfer</t>
  </si>
  <si>
    <t>Malkmus</t>
  </si>
  <si>
    <t>Seltenreich</t>
  </si>
  <si>
    <t>Nierstein-Oppenheim</t>
  </si>
  <si>
    <t>Penzer</t>
  </si>
  <si>
    <t>Reinhard</t>
  </si>
  <si>
    <t>Sprendlingen-Gensingen</t>
  </si>
  <si>
    <t>Bess</t>
  </si>
  <si>
    <t>Friedel</t>
  </si>
  <si>
    <t>Feser</t>
  </si>
  <si>
    <t>Pirmasens-Land</t>
  </si>
  <si>
    <t>Dr. Matheis</t>
  </si>
  <si>
    <t>Bernhard</t>
  </si>
  <si>
    <t>Freyer</t>
  </si>
  <si>
    <t>Ernst</t>
  </si>
  <si>
    <t>Sommer</t>
  </si>
  <si>
    <t>Bernd</t>
  </si>
  <si>
    <t>Pellenz</t>
  </si>
  <si>
    <t>Kohns</t>
  </si>
  <si>
    <t>Paul-Werner</t>
  </si>
  <si>
    <t>Thelen</t>
  </si>
  <si>
    <t>Hedi</t>
  </si>
  <si>
    <t>Loch</t>
  </si>
  <si>
    <t>Hans Günter</t>
  </si>
  <si>
    <t>Rheinböllen</t>
  </si>
  <si>
    <t>Lauer</t>
  </si>
  <si>
    <t>Herrmann</t>
  </si>
  <si>
    <t>Siegfried</t>
  </si>
  <si>
    <t>Menger</t>
  </si>
  <si>
    <t>Erich</t>
  </si>
  <si>
    <t>Wörrstadt</t>
  </si>
  <si>
    <t>Seebald</t>
  </si>
  <si>
    <t>Schnabel</t>
  </si>
  <si>
    <t>Heinz-Hermann</t>
  </si>
  <si>
    <t>Altenahr</t>
  </si>
  <si>
    <t>Haag</t>
  </si>
  <si>
    <t>Achim</t>
  </si>
  <si>
    <t>Barz</t>
  </si>
  <si>
    <t>Hermann-Josef</t>
  </si>
  <si>
    <t>UBM</t>
  </si>
  <si>
    <t>Kriechel</t>
  </si>
  <si>
    <t>Matthias</t>
  </si>
  <si>
    <t>Herrstein</t>
  </si>
  <si>
    <t>Beck</t>
  </si>
  <si>
    <t>Hillesheim</t>
  </si>
  <si>
    <t>Pitzen</t>
  </si>
  <si>
    <t>Alfred</t>
  </si>
  <si>
    <t>Lingenfeld</t>
  </si>
  <si>
    <t>Thomas</t>
  </si>
  <si>
    <t>Jürgen</t>
  </si>
  <si>
    <t>Gob</t>
  </si>
  <si>
    <t>Cochem-Land</t>
  </si>
  <si>
    <t>Escher</t>
  </si>
  <si>
    <t>Heinz</t>
  </si>
  <si>
    <t>Kaisersesch</t>
  </si>
  <si>
    <t>FPuW</t>
  </si>
  <si>
    <t>Mattes</t>
  </si>
  <si>
    <t>Ewald</t>
  </si>
  <si>
    <t>Darscheid</t>
  </si>
  <si>
    <t>Josef</t>
  </si>
  <si>
    <t>Grötsch</t>
  </si>
  <si>
    <t>Raskop</t>
  </si>
  <si>
    <t>Erich-Matthias</t>
  </si>
  <si>
    <t>Treis-Karden</t>
  </si>
  <si>
    <t>Schnur</t>
  </si>
  <si>
    <t>Oster</t>
  </si>
  <si>
    <t>Holz</t>
  </si>
  <si>
    <t>Karsten</t>
  </si>
  <si>
    <t>Adenau</t>
  </si>
  <si>
    <t>Labonte</t>
  </si>
  <si>
    <t>Rhein-Nahe</t>
  </si>
  <si>
    <t>Fels</t>
  </si>
  <si>
    <t>Egon</t>
  </si>
  <si>
    <t>Franceux</t>
  </si>
  <si>
    <t>Hans-Willi</t>
  </si>
  <si>
    <t>Schweich a. d. Röm. Weinstraße</t>
  </si>
  <si>
    <t>Biwer</t>
  </si>
  <si>
    <t>Berthold</t>
  </si>
  <si>
    <t>Reinehr</t>
  </si>
  <si>
    <t>Unkel</t>
  </si>
  <si>
    <t>Ruwer</t>
  </si>
  <si>
    <t>Busch</t>
  </si>
  <si>
    <t>Longen</t>
  </si>
  <si>
    <t>Striethorst</t>
  </si>
  <si>
    <t>Helmut</t>
  </si>
  <si>
    <t>Schwarzmeier</t>
  </si>
  <si>
    <t>Friedemann</t>
  </si>
  <si>
    <t>Wiedemann</t>
  </si>
  <si>
    <t>Dieter</t>
  </si>
  <si>
    <t>Kyllburg</t>
  </si>
  <si>
    <t>Spindler</t>
  </si>
  <si>
    <t>Berscheid</t>
  </si>
  <si>
    <t>Klinnert</t>
  </si>
  <si>
    <t>Wallhalben</t>
  </si>
  <si>
    <t>Metzger</t>
  </si>
  <si>
    <t>Holzer</t>
  </si>
  <si>
    <t>Bad Breisig</t>
  </si>
  <si>
    <t>Hubert</t>
  </si>
  <si>
    <t>Marx</t>
  </si>
  <si>
    <t>Hans-Josef</t>
  </si>
  <si>
    <t>Wissen</t>
  </si>
  <si>
    <t>Wagener</t>
  </si>
  <si>
    <t>Kinsinger</t>
  </si>
  <si>
    <t>Rhaunen</t>
  </si>
  <si>
    <t>SPD/WG/LUB/FDP</t>
  </si>
  <si>
    <t>Becker</t>
  </si>
  <si>
    <t>Hepp</t>
  </si>
  <si>
    <t>Klaus-Peter</t>
  </si>
  <si>
    <t>Dierdorf</t>
  </si>
  <si>
    <t>Benner</t>
  </si>
  <si>
    <t>Radermacher</t>
  </si>
  <si>
    <t>Puderbach</t>
  </si>
  <si>
    <t>Kunz</t>
  </si>
  <si>
    <t>Hoffmann</t>
  </si>
  <si>
    <t>Grünstadt-Land</t>
  </si>
  <si>
    <t>Ackermann</t>
  </si>
  <si>
    <t>Mauntz</t>
  </si>
  <si>
    <t>Gottfried</t>
  </si>
  <si>
    <t>Dr. Koch</t>
  </si>
  <si>
    <t>Ralf</t>
  </si>
  <si>
    <t>Eisenberg (Pfalz)</t>
  </si>
  <si>
    <t>Brauer</t>
  </si>
  <si>
    <t>Walter</t>
  </si>
  <si>
    <t>Groß</t>
  </si>
  <si>
    <t>Altenglan</t>
  </si>
  <si>
    <t>Drumm</t>
  </si>
  <si>
    <t>Lambrecht (Pfalz)</t>
  </si>
  <si>
    <t>Bertram</t>
  </si>
  <si>
    <t>Herbert</t>
  </si>
  <si>
    <t>Seiberth</t>
  </si>
  <si>
    <t>Ertel</t>
  </si>
  <si>
    <t>Mayen-Land</t>
  </si>
  <si>
    <t>Dr. Saftig</t>
  </si>
  <si>
    <t>Alexander</t>
  </si>
  <si>
    <t>Rolf</t>
  </si>
  <si>
    <t>Hagenbach</t>
  </si>
  <si>
    <t>Brand</t>
  </si>
  <si>
    <t>Dietmar</t>
  </si>
  <si>
    <t>Maxdorf</t>
  </si>
  <si>
    <t>Leyser</t>
  </si>
  <si>
    <t>Eckhard</t>
  </si>
  <si>
    <t>Reiß</t>
  </si>
  <si>
    <t>Rainer</t>
  </si>
  <si>
    <t>Weidemann</t>
  </si>
  <si>
    <t>Emmelshausen</t>
  </si>
  <si>
    <t>Thielen</t>
  </si>
  <si>
    <t>Kirn-Land</t>
  </si>
  <si>
    <t>Schwenk</t>
  </si>
  <si>
    <t>Öhler</t>
  </si>
  <si>
    <t>Elisabeth</t>
  </si>
  <si>
    <t>Helfenstein</t>
  </si>
  <si>
    <t>Wieland</t>
  </si>
  <si>
    <t>Jung</t>
  </si>
  <si>
    <t>Gisbert</t>
  </si>
  <si>
    <t>Landstuhl</t>
  </si>
  <si>
    <t>Grumer</t>
  </si>
  <si>
    <t>Fuchs</t>
  </si>
  <si>
    <t>Hans-Werner</t>
  </si>
  <si>
    <t>Niemeyer</t>
  </si>
  <si>
    <t>Otto</t>
  </si>
  <si>
    <t>Pfaff</t>
  </si>
  <si>
    <t>Katzenelnbogen</t>
  </si>
  <si>
    <t>Gemmer</t>
  </si>
  <si>
    <t>Harald</t>
  </si>
  <si>
    <t>Scherer</t>
  </si>
  <si>
    <t>Theo</t>
  </si>
  <si>
    <t>Bücher</t>
  </si>
  <si>
    <t>Friedrich Bernhard</t>
  </si>
  <si>
    <t>Schmittel</t>
  </si>
  <si>
    <t>Trier-Land</t>
  </si>
  <si>
    <t>Kaster</t>
  </si>
  <si>
    <t>Scharr</t>
  </si>
  <si>
    <t>Pause</t>
  </si>
  <si>
    <t>Christof</t>
  </si>
  <si>
    <t>Thaleischweiler-Fröschen</t>
  </si>
  <si>
    <t>Grimm</t>
  </si>
  <si>
    <t>Hartmut</t>
  </si>
  <si>
    <t>Utzinger</t>
  </si>
  <si>
    <t>Oskar</t>
  </si>
  <si>
    <t>Lorenz</t>
  </si>
  <si>
    <t>Weißenthurm</t>
  </si>
  <si>
    <t>Weinbach</t>
  </si>
  <si>
    <t>Bahl</t>
  </si>
  <si>
    <t>Norbert</t>
  </si>
  <si>
    <t>Kirchheimbolanden</t>
  </si>
  <si>
    <t>WG/CDU</t>
  </si>
  <si>
    <t>Haas</t>
  </si>
  <si>
    <t>Axel</t>
  </si>
  <si>
    <t>Hauck</t>
  </si>
  <si>
    <t>Schlosser</t>
  </si>
  <si>
    <t>Wirges</t>
  </si>
  <si>
    <t>Ortseifen</t>
  </si>
  <si>
    <t>Wüst</t>
  </si>
  <si>
    <t>Henkes</t>
  </si>
  <si>
    <t>Karl-Rudolf</t>
  </si>
  <si>
    <t>Bialk</t>
  </si>
  <si>
    <t>Egbert-Hagen</t>
  </si>
  <si>
    <t>Simmern/Hunsrück</t>
  </si>
  <si>
    <t>Faust</t>
  </si>
  <si>
    <t>Bungenstab</t>
  </si>
  <si>
    <t>Lay</t>
  </si>
  <si>
    <t>Johannes</t>
  </si>
  <si>
    <t>Landau-Land</t>
  </si>
  <si>
    <t>Stalter</t>
  </si>
  <si>
    <t>Dr. Rieth</t>
  </si>
  <si>
    <t>Baldur</t>
  </si>
  <si>
    <t>Racké</t>
  </si>
  <si>
    <t>Heidemarie</t>
  </si>
  <si>
    <t>Weilerbach</t>
  </si>
  <si>
    <t>Anton</t>
  </si>
  <si>
    <t>Eberhard</t>
  </si>
  <si>
    <t>Haßdenteufel</t>
  </si>
  <si>
    <t>Magin</t>
  </si>
  <si>
    <t>Marion</t>
  </si>
  <si>
    <t>Kähs</t>
  </si>
  <si>
    <t>Siegrist</t>
  </si>
  <si>
    <t>Hildrun</t>
  </si>
  <si>
    <t>Langenlonsheim</t>
  </si>
  <si>
    <t>Zimmer</t>
  </si>
  <si>
    <t>Spietz</t>
  </si>
  <si>
    <t>Noll-Eichholz</t>
  </si>
  <si>
    <t>Trautlinde</t>
  </si>
  <si>
    <t>Hölz</t>
  </si>
  <si>
    <t>Marlene</t>
  </si>
  <si>
    <t>Lauterecken</t>
  </si>
  <si>
    <t>Habermann</t>
  </si>
  <si>
    <t>Steinhauer</t>
  </si>
  <si>
    <t>Heinrich</t>
  </si>
  <si>
    <t>Rengsdorf</t>
  </si>
  <si>
    <t>Dillenberger</t>
  </si>
  <si>
    <t>Zolk</t>
  </si>
  <si>
    <t>Josef Johann</t>
  </si>
  <si>
    <t>Dr. Kleinmann</t>
  </si>
  <si>
    <t>Horst Adolf</t>
  </si>
  <si>
    <t>Romes</t>
  </si>
  <si>
    <t>Hermann Josef</t>
  </si>
  <si>
    <t>Hermeskeil</t>
  </si>
  <si>
    <t>Sander</t>
  </si>
  <si>
    <t>Winfried</t>
  </si>
  <si>
    <t>SPD/GRÜNE</t>
  </si>
  <si>
    <t>Baumann</t>
  </si>
  <si>
    <t>Ludwig</t>
  </si>
  <si>
    <t>Stromberg</t>
  </si>
  <si>
    <t>Schöffel</t>
  </si>
  <si>
    <t>Denker</t>
  </si>
  <si>
    <t>Anke</t>
  </si>
  <si>
    <t>Scheffer</t>
  </si>
  <si>
    <t>STATT PARTEI</t>
  </si>
  <si>
    <t>Moselewski</t>
  </si>
  <si>
    <t>Friedbert</t>
  </si>
  <si>
    <t>Kell am See</t>
  </si>
  <si>
    <t>Angsten</t>
  </si>
  <si>
    <t>Rommelfanger</t>
  </si>
  <si>
    <t>Nastätten</t>
  </si>
  <si>
    <t>Friesenhahn</t>
  </si>
  <si>
    <t>Raimund</t>
  </si>
  <si>
    <t>Bindczeck</t>
  </si>
  <si>
    <t>Lothar Paul</t>
  </si>
  <si>
    <t>Hartmann</t>
  </si>
  <si>
    <t>Ransbach-Baumbach</t>
  </si>
  <si>
    <t>Dahm</t>
  </si>
  <si>
    <t>Betzdorf</t>
  </si>
  <si>
    <t>Lieber</t>
  </si>
  <si>
    <t>Zöllner</t>
  </si>
  <si>
    <t>Ernst-Helmut</t>
  </si>
  <si>
    <t>Frey</t>
  </si>
  <si>
    <t>Schöffling</t>
  </si>
  <si>
    <t>Volker</t>
  </si>
  <si>
    <t>Kaul</t>
  </si>
  <si>
    <t>Willi</t>
  </si>
  <si>
    <t>Vallendar</t>
  </si>
  <si>
    <t>Pretz</t>
  </si>
  <si>
    <t>Fred</t>
  </si>
  <si>
    <t>Bachmann</t>
  </si>
  <si>
    <t>Udo</t>
  </si>
  <si>
    <t>Linz am Rhein</t>
  </si>
  <si>
    <t>Hannuschke</t>
  </si>
  <si>
    <t>Buchwald</t>
  </si>
  <si>
    <t>Adi</t>
  </si>
  <si>
    <t>Kastellaun</t>
  </si>
  <si>
    <t>Fritz</t>
  </si>
  <si>
    <t>Diez</t>
  </si>
  <si>
    <t>Franz</t>
  </si>
  <si>
    <t>Wilbert</t>
  </si>
  <si>
    <t>Klaus-Hermann</t>
  </si>
  <si>
    <t>Weuffen</t>
  </si>
  <si>
    <t>Eduard</t>
  </si>
  <si>
    <t>Selters (Westerwald)</t>
  </si>
  <si>
    <t>Müller</t>
  </si>
  <si>
    <t>Hens</t>
  </si>
  <si>
    <t>Hummel</t>
  </si>
  <si>
    <t>Arzfeld</t>
  </si>
  <si>
    <t>Schnieder</t>
  </si>
  <si>
    <t>Patrick</t>
  </si>
  <si>
    <t>Pick</t>
  </si>
  <si>
    <t>Jörg</t>
  </si>
  <si>
    <t>Wachenheim an der Weinstraße</t>
  </si>
  <si>
    <t>Huter</t>
  </si>
  <si>
    <t>Kiefer</t>
  </si>
  <si>
    <t>Kreis-Raquet</t>
  </si>
  <si>
    <t>Carola</t>
  </si>
  <si>
    <t>Hochspeyer</t>
  </si>
  <si>
    <t>Rung</t>
  </si>
  <si>
    <t>Dein</t>
  </si>
  <si>
    <t xml:space="preserve">Hauenstein </t>
  </si>
  <si>
    <t>Wieser</t>
  </si>
  <si>
    <t>Adolf</t>
  </si>
  <si>
    <t>Reichert</t>
  </si>
  <si>
    <t>Seibel</t>
  </si>
  <si>
    <t>Gappa</t>
  </si>
  <si>
    <t>Roland</t>
  </si>
  <si>
    <t>Thalfang am Erbeskopf</t>
  </si>
  <si>
    <t>Dellwo</t>
  </si>
  <si>
    <t>Hans-Dieter</t>
  </si>
  <si>
    <t>Heßheim</t>
  </si>
  <si>
    <t>Fritsche</t>
  </si>
  <si>
    <t>Bauer</t>
  </si>
  <si>
    <t>Heribert</t>
  </si>
  <si>
    <t>Schütz</t>
  </si>
  <si>
    <t>Kollay</t>
  </si>
  <si>
    <t>Kipp</t>
  </si>
  <si>
    <t>Anne</t>
  </si>
  <si>
    <t>Adam J.</t>
  </si>
  <si>
    <t>Brandstetter</t>
  </si>
  <si>
    <t>Brohltal</t>
  </si>
  <si>
    <t>Höfer</t>
  </si>
  <si>
    <t>Hermann</t>
  </si>
  <si>
    <t>Schoor</t>
  </si>
  <si>
    <t>Flammersfeld</t>
  </si>
  <si>
    <t>Alois</t>
  </si>
  <si>
    <t>Wesselmann</t>
  </si>
  <si>
    <t>Gondorf</t>
  </si>
  <si>
    <t>Bad Münster a. Stein Ebernburg</t>
  </si>
  <si>
    <t>Schoon</t>
  </si>
  <si>
    <t>Diel</t>
  </si>
  <si>
    <t>Bad Hönningen</t>
  </si>
  <si>
    <t>Mahlert</t>
  </si>
  <si>
    <t>Claus-W.</t>
  </si>
  <si>
    <t>Schmitz</t>
  </si>
  <si>
    <t>Kirchberg (Hunsrück)</t>
  </si>
  <si>
    <t>Koppke</t>
  </si>
  <si>
    <t>Carsten</t>
  </si>
  <si>
    <t>29.02.2007</t>
  </si>
  <si>
    <t>Bungert</t>
  </si>
  <si>
    <t>Klockner</t>
  </si>
  <si>
    <t>Hahnstätten</t>
  </si>
  <si>
    <t>Satony</t>
  </si>
  <si>
    <t>Puchtler</t>
  </si>
  <si>
    <t>Frank</t>
  </si>
  <si>
    <t>Jüngst</t>
  </si>
  <si>
    <t>Karl Werner</t>
  </si>
  <si>
    <t>Göllheim</t>
  </si>
  <si>
    <t>WG Appel/CDU</t>
  </si>
  <si>
    <t>Magsig</t>
  </si>
  <si>
    <t>Klaus-Dieter</t>
  </si>
  <si>
    <t>Krauß</t>
  </si>
  <si>
    <t>Bruchmühlbach-Miesau</t>
  </si>
  <si>
    <t>Biehl</t>
  </si>
  <si>
    <t>Jean-Pierre</t>
  </si>
  <si>
    <t>Kaiserslautern-Süd</t>
  </si>
  <si>
    <t>Unnold</t>
  </si>
  <si>
    <t>Uwe</t>
  </si>
  <si>
    <t>Leibfried</t>
  </si>
  <si>
    <t>Mannweiler</t>
  </si>
  <si>
    <t>Reinhold</t>
  </si>
  <si>
    <t>Layes</t>
  </si>
  <si>
    <t>Ott</t>
  </si>
  <si>
    <t>Glan-Münchweiler</t>
  </si>
  <si>
    <t>Keller</t>
  </si>
  <si>
    <t>Elmar</t>
  </si>
  <si>
    <t>WG Mohrbach</t>
  </si>
  <si>
    <t>Mohrbach</t>
  </si>
  <si>
    <t>Bad Bergzabern</t>
  </si>
  <si>
    <t>Bohrer</t>
  </si>
  <si>
    <t>Leonhard</t>
  </si>
  <si>
    <t>Zimmermann</t>
  </si>
  <si>
    <t>Waldfischbach-Burgalben</t>
  </si>
  <si>
    <t>Schmalenberger</t>
  </si>
  <si>
    <t>Waldmohr</t>
  </si>
  <si>
    <t>Link</t>
  </si>
  <si>
    <t>Westerburg</t>
  </si>
  <si>
    <t>Schönberger</t>
  </si>
  <si>
    <t>Hachenburg</t>
  </si>
  <si>
    <t>Laub</t>
  </si>
  <si>
    <t>Hoch</t>
  </si>
  <si>
    <t>Bernkastel-Kues</t>
  </si>
  <si>
    <t>Hangert</t>
  </si>
  <si>
    <t>Ulf</t>
  </si>
  <si>
    <t>Lamberty</t>
  </si>
  <si>
    <t>Heidelind</t>
  </si>
  <si>
    <t>Schönenberg-Kübelberg</t>
  </si>
  <si>
    <t>Marchetti</t>
  </si>
  <si>
    <t>Oberprieler</t>
  </si>
  <si>
    <t>Edwin</t>
  </si>
  <si>
    <t>Goehl</t>
  </si>
  <si>
    <t>Hettenleidelheim</t>
  </si>
  <si>
    <t>Rüttger</t>
  </si>
  <si>
    <t>Dormann</t>
  </si>
  <si>
    <t>Jakob</t>
  </si>
  <si>
    <t>Meister</t>
  </si>
  <si>
    <t>Zell (Mosel)</t>
  </si>
  <si>
    <t>Simon</t>
  </si>
  <si>
    <t>Fischer</t>
  </si>
  <si>
    <t>Karl-Josef</t>
  </si>
  <si>
    <t>Dr. Schulschenk</t>
  </si>
  <si>
    <t>Fritz Adolf</t>
  </si>
  <si>
    <t>Eich</t>
  </si>
  <si>
    <t>Dr. Oswald</t>
  </si>
  <si>
    <t>Baumholder</t>
  </si>
  <si>
    <t>Pees</t>
  </si>
  <si>
    <t>Volkmar</t>
  </si>
  <si>
    <t>Schweiß</t>
  </si>
  <si>
    <t>Rausch</t>
  </si>
  <si>
    <t>Fickeisen</t>
  </si>
  <si>
    <t>Dreier</t>
  </si>
  <si>
    <t>Werle</t>
  </si>
  <si>
    <t>Heidesheim am Rhein</t>
  </si>
  <si>
    <t>Rump</t>
  </si>
  <si>
    <t>Karl-Werner</t>
  </si>
  <si>
    <t>Hofmann</t>
  </si>
  <si>
    <t>Burkhard</t>
  </si>
  <si>
    <t>Bock</t>
  </si>
  <si>
    <t>Hans-Jürgen</t>
  </si>
  <si>
    <t>Berg</t>
  </si>
  <si>
    <t>Untermosel</t>
  </si>
  <si>
    <t>Seibeld</t>
  </si>
  <si>
    <t>Bruno</t>
  </si>
  <si>
    <t>Steffens</t>
  </si>
  <si>
    <t>St. Goar-Oberwesel</t>
  </si>
  <si>
    <t>SPD/FWVG</t>
  </si>
  <si>
    <t>Tuldi</t>
  </si>
  <si>
    <t>Rhens</t>
  </si>
  <si>
    <t>Brunnhübner</t>
  </si>
  <si>
    <t>Horst</t>
  </si>
  <si>
    <t>Meckel</t>
  </si>
  <si>
    <t>Kandel</t>
  </si>
  <si>
    <t>Tielebörger</t>
  </si>
  <si>
    <t>Dr. Gebhardt</t>
  </si>
  <si>
    <t>Dr. Esser</t>
  </si>
  <si>
    <t>Wegmann</t>
  </si>
  <si>
    <t>Jutta</t>
  </si>
  <si>
    <t>Alsenz-Obermoschel</t>
  </si>
  <si>
    <t>Mohr</t>
  </si>
  <si>
    <t>Arno</t>
  </si>
  <si>
    <t>Schweitzer</t>
  </si>
  <si>
    <t>Neumagen-Dhron</t>
  </si>
  <si>
    <t>Eifel</t>
  </si>
  <si>
    <t>Haart</t>
  </si>
  <si>
    <t>Leyendecker</t>
  </si>
  <si>
    <t>Aloys</t>
  </si>
  <si>
    <t>Dahner Felsenland</t>
  </si>
  <si>
    <t>Bambey</t>
  </si>
  <si>
    <t>Dudenhofen</t>
  </si>
  <si>
    <t>Körner</t>
  </si>
  <si>
    <t>Clemens</t>
  </si>
  <si>
    <t>Ebli</t>
  </si>
  <si>
    <t>Friederike</t>
  </si>
  <si>
    <t>Rüdesheim</t>
  </si>
  <si>
    <t>Ginz</t>
  </si>
  <si>
    <t>Mecking</t>
  </si>
  <si>
    <t>Schuhmacher</t>
  </si>
  <si>
    <t>Tobias</t>
  </si>
  <si>
    <t>Bad Sobernheim</t>
  </si>
  <si>
    <t>Janneck</t>
  </si>
  <si>
    <t>Hans-Georg</t>
  </si>
  <si>
    <t>Kiltz</t>
  </si>
  <si>
    <t>Elke</t>
  </si>
  <si>
    <t>Maifeld</t>
  </si>
  <si>
    <t>Berressem (Moesta)</t>
  </si>
  <si>
    <t>Anette</t>
  </si>
  <si>
    <t>Schnitzler</t>
  </si>
  <si>
    <t>Christoph</t>
  </si>
  <si>
    <t>Waldbreitbach</t>
  </si>
  <si>
    <t>Marmann</t>
  </si>
  <si>
    <t>Loreley</t>
  </si>
  <si>
    <t>Kern</t>
  </si>
  <si>
    <t>Höhr-Grenzhausen</t>
  </si>
  <si>
    <t>Johannsen</t>
  </si>
  <si>
    <t>Prüm</t>
  </si>
  <si>
    <t>Söhngen</t>
  </si>
  <si>
    <t>Aloysius</t>
  </si>
  <si>
    <t>Rülzheim</t>
  </si>
  <si>
    <t>Schwindhammer</t>
  </si>
  <si>
    <t>Hör</t>
  </si>
  <si>
    <t>Dr. Spitzer</t>
  </si>
  <si>
    <t>Heyd</t>
  </si>
  <si>
    <t>Pfeiffer</t>
  </si>
  <si>
    <t>Martin</t>
  </si>
  <si>
    <t>Bellheim</t>
  </si>
  <si>
    <t>FWG Adam</t>
  </si>
  <si>
    <t>Adam</t>
  </si>
  <si>
    <t>Gadinger</t>
  </si>
  <si>
    <t>Gau-Algesheim</t>
  </si>
  <si>
    <t>Linck</t>
  </si>
  <si>
    <t>Gerster</t>
  </si>
  <si>
    <t>Henger</t>
  </si>
  <si>
    <t>Richard B.</t>
  </si>
  <si>
    <t>Guntersblum</t>
  </si>
  <si>
    <t>Kunnen</t>
  </si>
  <si>
    <t>Robert</t>
  </si>
  <si>
    <t>Kohlmann</t>
  </si>
  <si>
    <t>Zimber</t>
  </si>
  <si>
    <t>Braubach</t>
  </si>
  <si>
    <t>Kalkofen</t>
  </si>
  <si>
    <t>Scholl</t>
  </si>
  <si>
    <t>Manderscheid</t>
  </si>
  <si>
    <t>Fricke</t>
  </si>
  <si>
    <t>Oliver</t>
  </si>
  <si>
    <t>Wirtz</t>
  </si>
  <si>
    <t>Traben-Trarbach</t>
  </si>
  <si>
    <t>Weisgerber</t>
  </si>
  <si>
    <t>Holzschneider</t>
  </si>
  <si>
    <t>Klaus-Josef</t>
  </si>
  <si>
    <t>Wittlich-Land</t>
  </si>
  <si>
    <t>Holkenbrink</t>
  </si>
  <si>
    <t>Freis</t>
  </si>
  <si>
    <t>Freinsheim</t>
  </si>
  <si>
    <t>Quante</t>
  </si>
  <si>
    <t>Blaul</t>
  </si>
  <si>
    <t>Georg</t>
  </si>
  <si>
    <t>Rodalben</t>
  </si>
  <si>
    <t>Ankner</t>
  </si>
  <si>
    <t xml:space="preserve">FWG </t>
  </si>
  <si>
    <t>Pfundstein</t>
  </si>
  <si>
    <t>Schönthaler</t>
  </si>
  <si>
    <t>Zweibrücken-Land</t>
  </si>
  <si>
    <t>Pirmann</t>
  </si>
  <si>
    <t>Schmidt</t>
  </si>
  <si>
    <t>Waldsee</t>
  </si>
  <si>
    <t>Reiland</t>
  </si>
  <si>
    <t>Rudolf</t>
  </si>
  <si>
    <t>Altenkirchen (Westerwald)</t>
  </si>
  <si>
    <t>Heinz-Joachim</t>
  </si>
  <si>
    <t>Hamm (Sieg)</t>
  </si>
  <si>
    <t>Buttstedt</t>
  </si>
  <si>
    <t>Kolb</t>
  </si>
  <si>
    <t>Schröder</t>
  </si>
  <si>
    <t>Heiko</t>
  </si>
  <si>
    <t>Kirchen (Sieg)</t>
  </si>
  <si>
    <t>Kühn</t>
  </si>
  <si>
    <t>Gerald</t>
  </si>
  <si>
    <t>Deichmann</t>
  </si>
  <si>
    <t>Wingendorf</t>
  </si>
  <si>
    <t>Mathias</t>
  </si>
  <si>
    <t>Mendig</t>
  </si>
  <si>
    <t>Lempertz</t>
  </si>
  <si>
    <t>Rösner</t>
  </si>
  <si>
    <t>Asbach</t>
  </si>
  <si>
    <t>Schmied</t>
  </si>
  <si>
    <t>Bad Ems</t>
  </si>
  <si>
    <t>Hand</t>
  </si>
  <si>
    <t>Peter Dieter</t>
  </si>
  <si>
    <t>Willi Karl</t>
  </si>
  <si>
    <t>Stempin</t>
  </si>
  <si>
    <t>Bad Marienberg (Westerwald)</t>
  </si>
  <si>
    <t>Montabaur</t>
  </si>
  <si>
    <t>Schaaf</t>
  </si>
  <si>
    <t>Edmund</t>
  </si>
  <si>
    <t>Rennerod</t>
  </si>
  <si>
    <t>Daum</t>
  </si>
  <si>
    <t>Wallmerod</t>
  </si>
  <si>
    <t>Paulus</t>
  </si>
  <si>
    <t>Bitburg-Land</t>
  </si>
  <si>
    <t>Backes</t>
  </si>
  <si>
    <t>Zillien</t>
  </si>
  <si>
    <t>Gerd</t>
  </si>
  <si>
    <t>Kollig</t>
  </si>
  <si>
    <t>Irene</t>
  </si>
  <si>
    <t>Schnarrbach</t>
  </si>
  <si>
    <t>Haller</t>
  </si>
  <si>
    <t>Wilfried</t>
  </si>
  <si>
    <t>Irrel</t>
  </si>
  <si>
    <t>Bröhl</t>
  </si>
  <si>
    <t>Hans-Michael</t>
  </si>
  <si>
    <t>Neuerburg</t>
  </si>
  <si>
    <t>Hager</t>
  </si>
  <si>
    <t>Kandels</t>
  </si>
  <si>
    <t>Joachim</t>
  </si>
  <si>
    <t>Mans</t>
  </si>
  <si>
    <t>Colling</t>
  </si>
  <si>
    <t>Speicher</t>
  </si>
  <si>
    <t>SPD/UBL/JLS</t>
  </si>
  <si>
    <t>Fritzen</t>
  </si>
  <si>
    <t>Grün</t>
  </si>
  <si>
    <t>Hans Klaus</t>
  </si>
  <si>
    <t>Monsheim</t>
  </si>
  <si>
    <t>Kissel</t>
  </si>
  <si>
    <t>Herok</t>
  </si>
  <si>
    <t>Mirja</t>
  </si>
  <si>
    <t>Wöllstein</t>
  </si>
  <si>
    <t>Lenges</t>
  </si>
  <si>
    <t>Augustin</t>
  </si>
  <si>
    <t>Hans-Hartwig</t>
  </si>
  <si>
    <t>Espenschied</t>
  </si>
  <si>
    <t>Armin</t>
  </si>
  <si>
    <t>Rockenhausen</t>
  </si>
  <si>
    <t>Rhein</t>
  </si>
  <si>
    <t>Gunther</t>
  </si>
  <si>
    <t>Winnweiler</t>
  </si>
  <si>
    <t>Schulz</t>
  </si>
  <si>
    <t>Jacob</t>
  </si>
  <si>
    <t>Knobloch</t>
  </si>
  <si>
    <t>Wolf</t>
  </si>
  <si>
    <t>Burgdörfer</t>
  </si>
  <si>
    <t>Fellhauer</t>
  </si>
  <si>
    <t>Jockgrim</t>
  </si>
  <si>
    <t>Schwind</t>
  </si>
  <si>
    <t>Riedel</t>
  </si>
  <si>
    <t>Enkenbach-Alsenborn</t>
  </si>
  <si>
    <t>Metz</t>
  </si>
  <si>
    <t>Wenzel</t>
  </si>
  <si>
    <t>WG Gaul</t>
  </si>
  <si>
    <t>Dirk</t>
  </si>
  <si>
    <t>Penner</t>
  </si>
  <si>
    <t>Otterbach</t>
  </si>
  <si>
    <t>Christmann</t>
  </si>
  <si>
    <t>Steidel</t>
  </si>
  <si>
    <t>Otterberg</t>
  </si>
  <si>
    <t>Wasser</t>
  </si>
  <si>
    <t>Annweiler am Trifels</t>
  </si>
  <si>
    <t>Lehnberger</t>
  </si>
  <si>
    <t>Sobiesinsky</t>
  </si>
  <si>
    <t>Hans-Erich</t>
  </si>
  <si>
    <t>Herxheim</t>
  </si>
  <si>
    <t>Weiller</t>
  </si>
  <si>
    <t>Lind</t>
  </si>
  <si>
    <t>Rüdiger</t>
  </si>
  <si>
    <t>Weindel</t>
  </si>
  <si>
    <t>Maikammer</t>
  </si>
  <si>
    <t>Probst</t>
  </si>
  <si>
    <t>Eingliederung der verbandsfreien Gemeinde Cochem in die VG Cochem-Land und gleichzeitig Umbenennung in VG Cochem zum 07.06.2009</t>
  </si>
  <si>
    <t>Krötz</t>
  </si>
  <si>
    <t>Ulmen</t>
  </si>
  <si>
    <t>Ehrlich</t>
  </si>
  <si>
    <t>Gerolstein</t>
  </si>
  <si>
    <t>Pauly</t>
  </si>
  <si>
    <t>Linnerth</t>
  </si>
  <si>
    <t>Jansen</t>
  </si>
  <si>
    <t>Obere Kyll</t>
  </si>
  <si>
    <t>Arenz</t>
  </si>
  <si>
    <t>Nikolaus</t>
  </si>
  <si>
    <t>Rohde</t>
  </si>
  <si>
    <t>Elk</t>
  </si>
  <si>
    <t>Konz</t>
  </si>
  <si>
    <t>Manns</t>
  </si>
  <si>
    <t>Maximini</t>
  </si>
  <si>
    <t>Nassau</t>
  </si>
  <si>
    <t>Rau</t>
  </si>
  <si>
    <t>Baum</t>
  </si>
  <si>
    <t>Pammer</t>
  </si>
  <si>
    <t>Schwan</t>
  </si>
  <si>
    <t>Konrad</t>
  </si>
  <si>
    <t>Mockenhaupt</t>
  </si>
  <si>
    <t>Thönig</t>
  </si>
  <si>
    <t>Paul</t>
  </si>
  <si>
    <t>Boßmann</t>
  </si>
  <si>
    <t>Heinz-Günter</t>
  </si>
  <si>
    <t>Straus</t>
  </si>
  <si>
    <t>Erno</t>
  </si>
  <si>
    <t>Balz</t>
  </si>
  <si>
    <t>Stallmann</t>
  </si>
  <si>
    <t>Claudia</t>
  </si>
  <si>
    <t>Schnell</t>
  </si>
  <si>
    <t>Ursula</t>
  </si>
  <si>
    <t>Dr. Dahmen</t>
  </si>
  <si>
    <t>Beckstein</t>
  </si>
  <si>
    <t>Fußer</t>
  </si>
  <si>
    <t>Heimann</t>
  </si>
  <si>
    <t>Roos</t>
  </si>
  <si>
    <t>Borm</t>
  </si>
  <si>
    <t>Wassyl</t>
  </si>
  <si>
    <t>Doppler</t>
  </si>
  <si>
    <t>Laible</t>
  </si>
  <si>
    <t>Achatz</t>
  </si>
  <si>
    <t>Eveline</t>
  </si>
  <si>
    <t>Hülpes</t>
  </si>
  <si>
    <t>Rossmann</t>
  </si>
  <si>
    <t>Kolter</t>
  </si>
  <si>
    <t>Welker</t>
  </si>
  <si>
    <t>Birk</t>
  </si>
  <si>
    <t>Korpus</t>
  </si>
  <si>
    <t>Jost</t>
  </si>
  <si>
    <t>Bell</t>
  </si>
  <si>
    <t>Weingarth</t>
  </si>
  <si>
    <t>Hahn</t>
  </si>
  <si>
    <t>Gewehr</t>
  </si>
  <si>
    <t>von Schütz</t>
  </si>
  <si>
    <t>Heide</t>
  </si>
  <si>
    <t>Conrad</t>
  </si>
  <si>
    <t>Markus</t>
  </si>
  <si>
    <t>Goldschmidt</t>
  </si>
  <si>
    <t>Bohn</t>
  </si>
  <si>
    <t>Heike</t>
  </si>
  <si>
    <t>Jüngling</t>
  </si>
  <si>
    <t>Annen</t>
  </si>
  <si>
    <t>Breiling</t>
  </si>
  <si>
    <t>Bothe</t>
  </si>
  <si>
    <t>Röhrenbeck</t>
  </si>
  <si>
    <t>Kämper</t>
  </si>
  <si>
    <t>Ottersbach</t>
  </si>
  <si>
    <t>Mauntz Kurt</t>
  </si>
  <si>
    <t>Guido</t>
  </si>
  <si>
    <t>Kiupel</t>
  </si>
  <si>
    <t>Clasen</t>
  </si>
  <si>
    <t>Amtszeit verlängert gem. § 4 Abs. 5 KomVwRGrG; Fusion der VGen Braubach und Loreley zur neuen VG Braubach-Loreley zum 01.07.2012</t>
  </si>
  <si>
    <t>Helmut Peter</t>
  </si>
  <si>
    <t>Poersch</t>
  </si>
  <si>
    <t>Ekkehard</t>
  </si>
  <si>
    <t>Krätz-Klein</t>
  </si>
  <si>
    <t>Weidenbach</t>
  </si>
  <si>
    <t>Lang</t>
  </si>
  <si>
    <t>Beuscher</t>
  </si>
  <si>
    <t>SPD/WG/FDP</t>
  </si>
  <si>
    <t>Vordereifel</t>
  </si>
  <si>
    <t>Wolters</t>
  </si>
  <si>
    <t>Frauke</t>
  </si>
  <si>
    <t>W.Gruppe</t>
  </si>
  <si>
    <t>Bleh</t>
  </si>
  <si>
    <t>Arnold</t>
  </si>
  <si>
    <t>Brauer Walter</t>
  </si>
  <si>
    <t>Klaus Dieter</t>
  </si>
  <si>
    <t>Wansch</t>
  </si>
  <si>
    <t>Unger</t>
  </si>
  <si>
    <t>Steffen</t>
  </si>
  <si>
    <t>Trautwein</t>
  </si>
  <si>
    <t>Dexheimer</t>
  </si>
  <si>
    <t>Scherrer</t>
  </si>
  <si>
    <t>Buchlaub</t>
  </si>
  <si>
    <t>Hippert</t>
  </si>
  <si>
    <t>Peifer</t>
  </si>
  <si>
    <t>Amtszeit verlängert gem. § 4 Abs. 5 KomVwRGrG; Auflösung der VGen Thaleischweiler-Fröschen und Wallhalben; Neubildung der VG Thaleischweiler-Fröschen-Wallhalben aus den bisherigen OGs zum 01.07.2014</t>
  </si>
  <si>
    <t>CDU / WG</t>
  </si>
  <si>
    <t>Ruther</t>
  </si>
  <si>
    <t>Mayer</t>
  </si>
  <si>
    <t>Lorsbach</t>
  </si>
  <si>
    <t>Loos</t>
  </si>
  <si>
    <t>Anja</t>
  </si>
  <si>
    <t>Linn</t>
  </si>
  <si>
    <t>Knecht</t>
  </si>
  <si>
    <t>Leo</t>
  </si>
  <si>
    <t>Zehren</t>
  </si>
  <si>
    <t>Kruchten</t>
  </si>
  <si>
    <t>Christian</t>
  </si>
  <si>
    <t>Egbert</t>
  </si>
  <si>
    <t>Fusion der VGen Lauterecken und Wolfstein zur neuen VG Lauterecken-Wolfstein zum 01.07.2014</t>
  </si>
  <si>
    <t>Kreischer</t>
  </si>
  <si>
    <t>Stein</t>
  </si>
  <si>
    <t>Bruckner</t>
  </si>
  <si>
    <t>Hans-Günter</t>
  </si>
  <si>
    <t>Selters (Ww)</t>
  </si>
  <si>
    <t>Weigel</t>
  </si>
  <si>
    <t>Franck</t>
  </si>
  <si>
    <t>Henric</t>
  </si>
  <si>
    <t>Weber</t>
  </si>
  <si>
    <t>Schreiber</t>
  </si>
  <si>
    <t>Fusion der VGen Rhens und Untermosel zur neuen VG Rhein-Mosel zum 01.07.2014</t>
  </si>
  <si>
    <t>Merz</t>
  </si>
  <si>
    <t>Schüler</t>
  </si>
  <si>
    <t>Spieß</t>
  </si>
  <si>
    <t>Peiser</t>
  </si>
  <si>
    <t>Andreas</t>
  </si>
  <si>
    <t>Hensel</t>
  </si>
  <si>
    <t>Dr. Bröhr</t>
  </si>
  <si>
    <t>Marlon</t>
  </si>
  <si>
    <t>Auflösung der VG Treis-Karden und gleichzeitig Eingliederung der OGs Lieg, Lütz, Moselkern, Müden (Mosel), Pommern und Treis-Karden in die VG Cochem; Eingliederung der OGs Binningen, Brieden, Brohl, Dünfus, Forst (Eifel), Kail, Möntenich und Roes in die VG Kaisersesch; Eingliederung der OGs Lahr, Mörsdorf und Zilshausen in die VG Kastellaun zum 01.07.2014</t>
  </si>
  <si>
    <t>Maull</t>
  </si>
  <si>
    <t>Karl Friedrich</t>
  </si>
  <si>
    <t>Eingliederung der VG Hochspeyer in die VG Enkenbach-Alsenborn zum 01.07.2014</t>
  </si>
  <si>
    <t>Pfeifer</t>
  </si>
  <si>
    <t>gem.Wahlv.</t>
  </si>
  <si>
    <t>Dr. Stein</t>
  </si>
  <si>
    <t>Pestemer</t>
  </si>
  <si>
    <t>Richard</t>
  </si>
  <si>
    <t>Rosenbaum</t>
  </si>
  <si>
    <t>Dr. Dunger</t>
  </si>
  <si>
    <t>Christ</t>
  </si>
  <si>
    <t>Hübner</t>
  </si>
  <si>
    <t>Kittelberger</t>
  </si>
  <si>
    <t>Kley</t>
  </si>
  <si>
    <t>Dr. Scholz</t>
  </si>
  <si>
    <t>Marcus</t>
  </si>
  <si>
    <t>Berger</t>
  </si>
  <si>
    <t>Hauenstein</t>
  </si>
  <si>
    <t>Lauth</t>
  </si>
  <si>
    <t>Schenk</t>
  </si>
  <si>
    <t>Barbara</t>
  </si>
  <si>
    <t>Brandt</t>
  </si>
  <si>
    <t>Lothar</t>
  </si>
  <si>
    <t>Schoch</t>
  </si>
  <si>
    <t>Brato</t>
  </si>
  <si>
    <t>Ehlgen</t>
  </si>
  <si>
    <t>Hans-Günther</t>
  </si>
  <si>
    <t>Riediger</t>
  </si>
  <si>
    <t>Kehl</t>
  </si>
  <si>
    <t>Below</t>
  </si>
  <si>
    <t>Hall</t>
  </si>
  <si>
    <t>Ulrike</t>
  </si>
  <si>
    <t>Bredel</t>
  </si>
  <si>
    <t>Auflösung der VG Heßheim und Bildung der neuen VG Lambsheim-Heßheim aus den Ortsgemeinden der VG Heßheim und der vfr. Gemeinde Lambsheim zum 01.07.2014</t>
  </si>
  <si>
    <t>Wunder</t>
  </si>
  <si>
    <t>Jens</t>
  </si>
  <si>
    <t>Fensterer</t>
  </si>
  <si>
    <t>Hans-Helmut</t>
  </si>
  <si>
    <t>Häfflinger</t>
  </si>
  <si>
    <t>Horsch</t>
  </si>
  <si>
    <t>Christiane</t>
  </si>
  <si>
    <t>Auflösung der Verbandsgemeinde Neumagen-Dhron zum 01.01.2012; Übernahme der OGs Minheim, Piesport und Neumagen-Dhron in die VG Bernkastel-Kues, Übernahme der OG Trittenheim in die VG Schweich a. d. Röm. Weinstraße</t>
  </si>
  <si>
    <t>Kopp</t>
  </si>
  <si>
    <t>Edelhoff</t>
  </si>
  <si>
    <t>Hajo</t>
  </si>
  <si>
    <t>Dr. Gilles</t>
  </si>
  <si>
    <t>Büscher</t>
  </si>
  <si>
    <t>Bisdorff</t>
  </si>
  <si>
    <t>Carmen</t>
  </si>
  <si>
    <t>Filz</t>
  </si>
  <si>
    <t>FWG/CDU</t>
  </si>
  <si>
    <t>Runck</t>
  </si>
  <si>
    <t>Dr. Jörg</t>
  </si>
  <si>
    <t>Trauth</t>
  </si>
  <si>
    <t>Franz-Ludwig</t>
  </si>
  <si>
    <t>Eichenlaub</t>
  </si>
  <si>
    <t>Maria</t>
  </si>
  <si>
    <t>Sundheimer</t>
  </si>
  <si>
    <t>Wilhelm</t>
  </si>
  <si>
    <t>Schumacher</t>
  </si>
  <si>
    <t>Bäcker</t>
  </si>
  <si>
    <t>Weismann</t>
  </si>
  <si>
    <t>Beetz</t>
  </si>
  <si>
    <t>Kirstin</t>
  </si>
  <si>
    <t>Albert</t>
  </si>
  <si>
    <t>Langen</t>
  </si>
  <si>
    <t>Erwin</t>
  </si>
  <si>
    <t>Thönnes</t>
  </si>
  <si>
    <t>Seebach</t>
  </si>
  <si>
    <t>Silvia</t>
  </si>
  <si>
    <t>Hoffmeister</t>
  </si>
  <si>
    <t>Karl Heinz</t>
  </si>
  <si>
    <t>Dr. Alscher</t>
  </si>
  <si>
    <t>134 01</t>
  </si>
  <si>
    <t>Sauer</t>
  </si>
  <si>
    <t>Agne</t>
  </si>
  <si>
    <t>Rudi</t>
  </si>
  <si>
    <t>Scheidweiler</t>
  </si>
  <si>
    <t>Dr. Frieden</t>
  </si>
  <si>
    <t>Begoña</t>
  </si>
  <si>
    <t>Dr. Müller-Greis</t>
  </si>
  <si>
    <t>Detlef</t>
  </si>
  <si>
    <t>Quijano Burchardt</t>
  </si>
  <si>
    <t>Sabina</t>
  </si>
  <si>
    <t>Borrmann</t>
  </si>
  <si>
    <t>Stüber</t>
  </si>
  <si>
    <t>Reppel</t>
  </si>
  <si>
    <t>Poß</t>
  </si>
  <si>
    <t>Knauber</t>
  </si>
  <si>
    <t>Stork</t>
  </si>
  <si>
    <t>Eingliederung der VG Guntersblum in die VG Nierstein-Oppenheim und gleichzeitig Umbenennung in VG Rhein-Selz zum 01.07.2014</t>
  </si>
  <si>
    <t>Hippler</t>
  </si>
  <si>
    <t>Susanne</t>
  </si>
  <si>
    <t>NPD</t>
  </si>
  <si>
    <t>Sascha</t>
  </si>
  <si>
    <t>Heilmann</t>
  </si>
  <si>
    <t>Keifenheim</t>
  </si>
  <si>
    <t>Grüber</t>
  </si>
  <si>
    <t>Plag</t>
  </si>
  <si>
    <t>Engels</t>
  </si>
  <si>
    <t>Karl Willi</t>
  </si>
  <si>
    <t>Lüttger</t>
  </si>
  <si>
    <t>Heijo</t>
  </si>
  <si>
    <t>Stötzel</t>
  </si>
  <si>
    <t>Dräger</t>
  </si>
  <si>
    <t>Weyand</t>
  </si>
  <si>
    <t>Cochem</t>
  </si>
  <si>
    <t>Eingliederung der verbandsfreien Gemeinde Cochem in die VG Cochem-Land und gleichzeitig Umbenennung in VG Cochem zum 07.06.2009; Auflösung der VG Treis-Karden und gleichzeitig Eingliederung der OGs Lieg, Lütz, Moselkern, Müden (Mosel), Pommern und Treis-Karden in die VG Cochem; Eingliederung der OGs Binningen, Brieden, Brohl, Dünfus, Forst (Eifel), Kail, Möntenich und Roes in die VG Kaisersesch; Eingliederung der OGs Lahr, Mörsdorf und Zilshausen in die VG Kastellaun zum 01.07.2014</t>
  </si>
  <si>
    <t>Steimers</t>
  </si>
  <si>
    <t>Seiler</t>
  </si>
  <si>
    <t>Mumm</t>
  </si>
  <si>
    <t>Maximilian</t>
  </si>
  <si>
    <t>Moesta</t>
  </si>
  <si>
    <t>Mahncke</t>
  </si>
  <si>
    <t>Röser</t>
  </si>
  <si>
    <t>Fusion der VGen Braubach und Loreley zur neuen VG Braubach-Loreley zum 01.07.2012</t>
  </si>
  <si>
    <t>Helbach</t>
  </si>
  <si>
    <t>Becker, T.</t>
  </si>
  <si>
    <t>Thilo</t>
  </si>
  <si>
    <t>Rath</t>
  </si>
  <si>
    <t>Lütkefedder</t>
  </si>
  <si>
    <t>Peukert</t>
  </si>
  <si>
    <t>Eingliederung der VG Manderscheid in die VG Wittlich-Land zum 01.07.2014</t>
  </si>
  <si>
    <t>Auflösung der VGen Kröv-Bausendorf und Traben-Trarbach; Neubildung der VG Traben-Trarbach aus den bisherigen OGs zum 01.07.2014</t>
  </si>
  <si>
    <t>Junk</t>
  </si>
  <si>
    <t>Fusion der VGen Bitburg-Land und Kyllburg zur neuen VG Bitburger Land zum 01.07.2014</t>
  </si>
  <si>
    <t>Moritz</t>
  </si>
  <si>
    <t>Eingliederung der VG Irrel in die VG Neuerburg und gleichzeitig Umbenennung in VG Südeifel zum 01.07.2014</t>
  </si>
  <si>
    <t>Rechin</t>
  </si>
  <si>
    <t>Gliemko</t>
  </si>
  <si>
    <t>Astrid</t>
  </si>
  <si>
    <t>Diane</t>
  </si>
  <si>
    <t>Schöddert</t>
  </si>
  <si>
    <t>Rocker</t>
  </si>
  <si>
    <t>Hansjörg</t>
  </si>
  <si>
    <t>Schanzenbächer</t>
  </si>
  <si>
    <t>Glaß</t>
  </si>
  <si>
    <t>ADAM</t>
  </si>
  <si>
    <t>Rothhaas</t>
  </si>
  <si>
    <t>LUTZ</t>
  </si>
  <si>
    <t>Lutz</t>
  </si>
  <si>
    <t>Völkel</t>
  </si>
  <si>
    <t>Westrich</t>
  </si>
  <si>
    <t>Fusion der VGen Otterbach und Otterberg zur neuen VG Otterbach-Otterberg zum 01.07.2014</t>
  </si>
  <si>
    <t>CDU/FWG/FDP</t>
  </si>
  <si>
    <t>Wollenweber</t>
  </si>
  <si>
    <t>Eingliederung der VG Maikammer in die VG Edenkoben zum 01.07.2014 wurde durch Urteil des Verfassungsgerichtshofs Rheinland-Pfalz vom 08.06.2015 für nichtig erklärt; Wiederherstellung der ursprünglichen Form der VG Maikammer</t>
  </si>
  <si>
    <t>Marie-Luise</t>
  </si>
  <si>
    <t>Löffler</t>
  </si>
  <si>
    <t>Nagel</t>
  </si>
  <si>
    <t>Auflösung der alten VG Waldsee und Bildung der neuen VG Waldsee aus den OGs Otterstadt und Waldsee sowie den vfr. Gemeinden Altrip und Neuhofen zum 01.07.2014; Umbenennung in VG Rheinauen zum 01.01.2016</t>
  </si>
  <si>
    <t>Linck, Dieter</t>
  </si>
  <si>
    <t>Neuhaus</t>
  </si>
  <si>
    <t>Benno</t>
  </si>
  <si>
    <t>Spitzer</t>
  </si>
  <si>
    <t>Claussen</t>
  </si>
  <si>
    <t xml:space="preserve">Hohn </t>
  </si>
  <si>
    <t>UWG</t>
  </si>
  <si>
    <t>Veith</t>
  </si>
  <si>
    <t>Fusion der VGen Betzdorf und Gebhardshain zur neuen VG Betzdorf-Gebhardshain zum 01.01.2017</t>
  </si>
  <si>
    <t>Gerhardt</t>
  </si>
  <si>
    <t>Beenen</t>
  </si>
  <si>
    <t>Götz</t>
  </si>
  <si>
    <t>Hollmann</t>
  </si>
  <si>
    <t>Bermes</t>
  </si>
  <si>
    <t>Gluding</t>
  </si>
  <si>
    <t>BfB</t>
  </si>
  <si>
    <t>Moser</t>
  </si>
  <si>
    <t>Fusion der vfr. Gemeinde Osthofen und der VG Westhofen zur neuen VG Wonnegau zum 01.07.2014</t>
  </si>
  <si>
    <t>Merkel</t>
  </si>
  <si>
    <t>Fusion der vfr. Gemeinde Römerberg und der VG Dudenhofen zur neuen VG Römerberg-Dudenhofen zum 01.07.2014</t>
  </si>
  <si>
    <t>Hook</t>
  </si>
  <si>
    <t>Michel</t>
  </si>
  <si>
    <t>Barth</t>
  </si>
  <si>
    <t>Bieker</t>
  </si>
  <si>
    <t>Donner</t>
  </si>
  <si>
    <t>Vera</t>
  </si>
  <si>
    <t>Juchmes</t>
  </si>
  <si>
    <t>Zils</t>
  </si>
  <si>
    <t>Candels</t>
  </si>
  <si>
    <t>Veth</t>
  </si>
  <si>
    <t>Buchheit</t>
  </si>
  <si>
    <t>Gert</t>
  </si>
  <si>
    <t>Marc</t>
  </si>
  <si>
    <t>GBE</t>
  </si>
  <si>
    <t>Dr. Scheurer</t>
  </si>
  <si>
    <t>Dorbert</t>
  </si>
  <si>
    <t>Mehlinger</t>
  </si>
  <si>
    <t>Wernersbach</t>
  </si>
  <si>
    <t>Brendel</t>
  </si>
  <si>
    <t>Eingliederung der vfr. Gemeinde Herdorf in die VG Daaden und gleichzeitig Umbenennung in VG Herdorf-Daaden zum 01.07.2014</t>
  </si>
  <si>
    <t>Niederhöfer</t>
  </si>
  <si>
    <t>Janson</t>
  </si>
  <si>
    <t>Kron</t>
  </si>
  <si>
    <t>Welter</t>
  </si>
  <si>
    <t>FpuWG</t>
  </si>
  <si>
    <t>Braunschädel</t>
  </si>
  <si>
    <t>27.03.2011</t>
  </si>
  <si>
    <t>10.04.2011</t>
  </si>
  <si>
    <t>Führ</t>
  </si>
  <si>
    <t>Imig</t>
  </si>
  <si>
    <t>Baumgarten</t>
  </si>
  <si>
    <t>Dr. Baumgarten</t>
  </si>
  <si>
    <t>Baasch</t>
  </si>
  <si>
    <t>SPD/FWG</t>
  </si>
  <si>
    <t xml:space="preserve">Brauer </t>
  </si>
  <si>
    <t>Blank</t>
  </si>
  <si>
    <t>Torsten</t>
  </si>
  <si>
    <t>Huber</t>
  </si>
  <si>
    <t>Leibeck</t>
  </si>
  <si>
    <t>Maurer</t>
  </si>
  <si>
    <t>FWG Ruwer</t>
  </si>
  <si>
    <t>Michels</t>
  </si>
  <si>
    <t>Mechthild</t>
  </si>
  <si>
    <t>Hermes</t>
  </si>
  <si>
    <t>Escales</t>
  </si>
  <si>
    <t xml:space="preserve">Schlöder </t>
  </si>
  <si>
    <t>Kathrin</t>
  </si>
  <si>
    <t>Blang</t>
  </si>
  <si>
    <t>Vitus</t>
  </si>
  <si>
    <t>CDU/SPD/ GRÜNE/FDP</t>
  </si>
  <si>
    <t>Fehr</t>
  </si>
  <si>
    <t>Thomalla</t>
  </si>
  <si>
    <t>Rasbach</t>
  </si>
  <si>
    <t>Vis</t>
  </si>
  <si>
    <t>Mendel</t>
  </si>
  <si>
    <t>Weinert</t>
  </si>
  <si>
    <t>Auflösung der VGen Thaleischweiler-Fröschen und Wallhalben; Neubildung der VG Thaleischweiler-Fröschen-Wallhalben aus den bisherigen OGs zum 01.07.2014</t>
  </si>
  <si>
    <t>Sprengart</t>
  </si>
  <si>
    <t>Juner</t>
  </si>
  <si>
    <t>ödp</t>
  </si>
  <si>
    <t>Gundacker</t>
  </si>
  <si>
    <t>Sefrin</t>
  </si>
  <si>
    <t>Breithausen</t>
  </si>
  <si>
    <t>Neumann</t>
  </si>
  <si>
    <t>Lambrecht</t>
  </si>
  <si>
    <t>Kirr</t>
  </si>
  <si>
    <t>Kratz</t>
  </si>
  <si>
    <t>Thomas Ludwig</t>
  </si>
  <si>
    <t>Eric Hans-Werner</t>
  </si>
  <si>
    <t>Dietz</t>
  </si>
  <si>
    <t>Emilie</t>
  </si>
  <si>
    <t>Dr. Degenhardt</t>
  </si>
  <si>
    <t>FEHT</t>
  </si>
  <si>
    <t>Feht</t>
  </si>
  <si>
    <t>Boos</t>
  </si>
  <si>
    <t>Dr. Nikolay</t>
  </si>
  <si>
    <t>Andreas Fritz</t>
  </si>
  <si>
    <t>Auler</t>
  </si>
  <si>
    <t>Braubach-Loreley</t>
  </si>
  <si>
    <t>Göller</t>
  </si>
  <si>
    <t>FWG/FBL</t>
  </si>
  <si>
    <t>Puttkammer</t>
  </si>
  <si>
    <t>Holger</t>
  </si>
  <si>
    <t>Lins</t>
  </si>
  <si>
    <t>Ute</t>
  </si>
  <si>
    <t>Hering</t>
  </si>
  <si>
    <t>Klarin</t>
  </si>
  <si>
    <t>Wussow</t>
  </si>
  <si>
    <t>Hüllenkremer</t>
  </si>
  <si>
    <t>CDU/SPD</t>
  </si>
  <si>
    <t>Suska</t>
  </si>
  <si>
    <t>Cyfka</t>
  </si>
  <si>
    <t>stromberg</t>
  </si>
  <si>
    <t>Sutter</t>
  </si>
  <si>
    <t>Christine</t>
  </si>
  <si>
    <t>Bonhagen</t>
  </si>
  <si>
    <t>Dixius</t>
  </si>
  <si>
    <t>Wolter</t>
  </si>
  <si>
    <t>Mario</t>
  </si>
  <si>
    <t>Gerardy</t>
  </si>
  <si>
    <t>Pinnel</t>
  </si>
  <si>
    <t>131 01</t>
  </si>
  <si>
    <t>Nisius</t>
  </si>
  <si>
    <t>Guido Stefan</t>
  </si>
  <si>
    <t>Krax</t>
  </si>
  <si>
    <t>UBL</t>
  </si>
  <si>
    <t>Cullmann</t>
  </si>
  <si>
    <t>Leitsbach</t>
  </si>
  <si>
    <t>Sven</t>
  </si>
  <si>
    <t>Hyner</t>
  </si>
  <si>
    <t>Eutebach</t>
  </si>
  <si>
    <t>Ines</t>
  </si>
  <si>
    <t>Daaden-Herdorf</t>
  </si>
  <si>
    <t>Ottmar</t>
  </si>
  <si>
    <t>Greiner</t>
  </si>
  <si>
    <t>Rink</t>
  </si>
  <si>
    <t>Rhein-Mosel</t>
  </si>
  <si>
    <t>FWG U/ FWG VG R</t>
  </si>
  <si>
    <t>Stoffel</t>
  </si>
  <si>
    <t>Keimer</t>
  </si>
  <si>
    <t>Kassner</t>
  </si>
  <si>
    <t>Güllering</t>
  </si>
  <si>
    <t>1. FWG</t>
  </si>
  <si>
    <t>Zimmerschied</t>
  </si>
  <si>
    <t>Gerrit</t>
  </si>
  <si>
    <t>Heene</t>
  </si>
  <si>
    <t>Patrik</t>
  </si>
  <si>
    <t>Dennis</t>
  </si>
  <si>
    <t>FWG W.-L. e.V.</t>
  </si>
  <si>
    <t>Laux</t>
  </si>
  <si>
    <t>Rita Maria</t>
  </si>
  <si>
    <t>ÖDP</t>
  </si>
  <si>
    <t>Hüppeler-Meuer</t>
  </si>
  <si>
    <t>Gertrud</t>
  </si>
  <si>
    <t>Stephan</t>
  </si>
  <si>
    <t>Heintel</t>
  </si>
  <si>
    <t>Baltes</t>
  </si>
  <si>
    <t>Heidrun</t>
  </si>
  <si>
    <t>Südeifel</t>
  </si>
  <si>
    <t>Bitburger Land</t>
  </si>
  <si>
    <t xml:space="preserve">Rodens </t>
  </si>
  <si>
    <t xml:space="preserve">Mans </t>
  </si>
  <si>
    <t>Tillmann-Steinbuß</t>
  </si>
  <si>
    <t>Dr. Tillmann-Steinbuß</t>
  </si>
  <si>
    <t>Agnes</t>
  </si>
  <si>
    <t>Alten</t>
  </si>
  <si>
    <t>Wonnegau</t>
  </si>
  <si>
    <t>Seelig</t>
  </si>
  <si>
    <t>Hans-Hermann</t>
  </si>
  <si>
    <t>Schardt</t>
  </si>
  <si>
    <t>Aktive</t>
  </si>
  <si>
    <t>Alter</t>
  </si>
  <si>
    <t>Zierke</t>
  </si>
  <si>
    <t>Adelheid</t>
  </si>
  <si>
    <t>Otterbach-Otterberg</t>
  </si>
  <si>
    <t>Schmitt, R.</t>
  </si>
  <si>
    <t>Roger</t>
  </si>
  <si>
    <t>Schillo</t>
  </si>
  <si>
    <t>Schwab</t>
  </si>
  <si>
    <t>Helge Olaf</t>
  </si>
  <si>
    <t>Niebergall</t>
  </si>
  <si>
    <t>Sigmund</t>
  </si>
  <si>
    <t>Lauterecken-Wolfstein</t>
  </si>
  <si>
    <t>JUNG</t>
  </si>
  <si>
    <t>Lambsheim-Heßheim</t>
  </si>
  <si>
    <t>Reith</t>
  </si>
  <si>
    <t>Auflösung der alten VG Heßheim und Bildung der neuen VG Lambsheim-Heßheim aus den Ortsgemeinden der VG Heßheim und der vfr. Gemeinde Lambsheim zum 01.07.2014</t>
  </si>
  <si>
    <t>Knoll</t>
  </si>
  <si>
    <t>Hug</t>
  </si>
  <si>
    <t>Römerberg-Dudenhofen</t>
  </si>
  <si>
    <t>Scharfenberger</t>
  </si>
  <si>
    <t>Silke</t>
  </si>
  <si>
    <t>Jacob,J</t>
  </si>
  <si>
    <t>Seibert</t>
  </si>
  <si>
    <t>Rhein-Selz</t>
  </si>
  <si>
    <t>Thaleischweiler-Fröschen - Wallhalben</t>
  </si>
  <si>
    <t>Auflösung der VGen Thaleischweiler-Fröschen und Wallhalben; Neubildung der VG Thaleischweiler-Fröschen-Wallhalben aus den bisherigen OGs zum 01.07.2014; Umbenennung in VG Thaleischweiler-Wallhalben zum 01.01.2016</t>
  </si>
  <si>
    <t>Schuck</t>
  </si>
  <si>
    <t>Heino</t>
  </si>
  <si>
    <t>LELLE</t>
  </si>
  <si>
    <t>Lelle</t>
  </si>
  <si>
    <t>Gem. Wahlvor.</t>
  </si>
  <si>
    <t>Bernath</t>
  </si>
  <si>
    <t>Selters</t>
  </si>
  <si>
    <t>PRETZ</t>
  </si>
  <si>
    <t>Hilden</t>
  </si>
  <si>
    <t>Kirchberg/Hunsrück</t>
  </si>
  <si>
    <t>Kauer</t>
  </si>
  <si>
    <t>Thorn</t>
  </si>
  <si>
    <t>Kölsch</t>
  </si>
  <si>
    <t>Schnatz</t>
  </si>
  <si>
    <t>Faßbender</t>
  </si>
  <si>
    <t>Haardt</t>
  </si>
  <si>
    <t>Christian Peter</t>
  </si>
  <si>
    <t>Wachenheim a.d.Weinstraße</t>
  </si>
  <si>
    <t>nach der Wahl verstorben.</t>
  </si>
  <si>
    <t>Bechtel</t>
  </si>
  <si>
    <t>Bottin</t>
  </si>
  <si>
    <t>Max</t>
  </si>
  <si>
    <t>Kusenbach</t>
  </si>
  <si>
    <t>Hedwig</t>
  </si>
  <si>
    <t>Odenkirchen</t>
  </si>
  <si>
    <t>Stegmann</t>
  </si>
  <si>
    <t>Birgit</t>
  </si>
  <si>
    <t>Dreher</t>
  </si>
  <si>
    <t>Antweiler</t>
  </si>
  <si>
    <t>Hartmüller</t>
  </si>
  <si>
    <t>Mattern</t>
  </si>
  <si>
    <t>Stuppy</t>
  </si>
  <si>
    <t>Lisett</t>
  </si>
  <si>
    <t>Kloos</t>
  </si>
  <si>
    <t>Stephanie</t>
  </si>
  <si>
    <t>Emich</t>
  </si>
  <si>
    <t>Erik</t>
  </si>
  <si>
    <t>Jentsch</t>
  </si>
  <si>
    <t>Charlotte</t>
  </si>
  <si>
    <t>Abstein</t>
  </si>
  <si>
    <t>GLA</t>
  </si>
  <si>
    <t>Rahner</t>
  </si>
  <si>
    <t>Best</t>
  </si>
  <si>
    <t>Oberholz</t>
  </si>
  <si>
    <t>Menge</t>
  </si>
  <si>
    <t>Schmitz-Görtler</t>
  </si>
  <si>
    <t>Alsfasser</t>
  </si>
  <si>
    <t>Peter Friedl</t>
  </si>
  <si>
    <t>Altekrüger</t>
  </si>
  <si>
    <t>Ullrich</t>
  </si>
  <si>
    <t>BFL</t>
  </si>
  <si>
    <t>Immanuel</t>
  </si>
  <si>
    <t>Petri-Burger</t>
  </si>
  <si>
    <t>Antje</t>
  </si>
  <si>
    <t>König</t>
  </si>
  <si>
    <t xml:space="preserve"> Simon</t>
  </si>
  <si>
    <t>Gottschalk</t>
  </si>
  <si>
    <t>Lubenau</t>
  </si>
  <si>
    <t>Hechler</t>
  </si>
  <si>
    <t>Gabriele</t>
  </si>
  <si>
    <t>Töllner</t>
  </si>
  <si>
    <t>BlH</t>
  </si>
  <si>
    <t>Kerstin</t>
  </si>
  <si>
    <t>Fröhlich</t>
  </si>
  <si>
    <t>Hans-Christian</t>
  </si>
  <si>
    <t>Schmelzer</t>
  </si>
  <si>
    <t>Hannelore</t>
  </si>
  <si>
    <t>Schomisch</t>
  </si>
  <si>
    <t>132 02</t>
  </si>
  <si>
    <t>Betzdorf-Gebhardshain</t>
  </si>
  <si>
    <t>Bäumer</t>
  </si>
  <si>
    <t>Niedermeier</t>
  </si>
  <si>
    <t>340 01</t>
  </si>
  <si>
    <t>Zwick</t>
  </si>
  <si>
    <t>Oberes Glantal</t>
  </si>
  <si>
    <t>Lothschütz</t>
  </si>
  <si>
    <t>Fusion der VGen Glan-Münchweiler, Schönenberg-Kübelberg und Waldmohr zum 01.01.2017</t>
  </si>
  <si>
    <t>Glaser</t>
  </si>
  <si>
    <t>Alwin</t>
  </si>
  <si>
    <t>Franz Hermann</t>
  </si>
  <si>
    <t>338 04</t>
  </si>
  <si>
    <t>Poje</t>
  </si>
  <si>
    <t>Nagel-Schwab</t>
  </si>
  <si>
    <t>137 02</t>
  </si>
  <si>
    <t>Meurer</t>
  </si>
  <si>
    <t>Ich tu´s</t>
  </si>
  <si>
    <t>143 01</t>
  </si>
  <si>
    <t>Bad Marienberg (Ww.)</t>
  </si>
  <si>
    <t>Heidrich</t>
  </si>
  <si>
    <t>Halb</t>
  </si>
  <si>
    <t>143 03</t>
  </si>
  <si>
    <t>143 04</t>
  </si>
  <si>
    <t>Richter-Hopprich</t>
  </si>
  <si>
    <t>Hans Ulrich</t>
  </si>
  <si>
    <t>Birr</t>
  </si>
  <si>
    <t>Schmoll</t>
  </si>
  <si>
    <t>Hans Peter</t>
  </si>
  <si>
    <t>143 08</t>
  </si>
  <si>
    <t>332 07</t>
  </si>
  <si>
    <t>Leiningerland</t>
  </si>
  <si>
    <t>Fusion der VGen Grünstadt-Land und Hettenleidelheim zum 01.01.2018</t>
  </si>
  <si>
    <t>Annette</t>
  </si>
  <si>
    <t>334 01</t>
  </si>
  <si>
    <t>Thorsten</t>
  </si>
  <si>
    <t>334 03</t>
  </si>
  <si>
    <t>Wünstel</t>
  </si>
  <si>
    <t>Karl Dieter</t>
  </si>
  <si>
    <t>336 01</t>
  </si>
  <si>
    <t>Kusel-Altenglan</t>
  </si>
  <si>
    <t>Dr. Dr. Spitzer</t>
  </si>
  <si>
    <t>Fusion der VGen Kusel und Altenglan zum 01.01.2018</t>
  </si>
  <si>
    <t>Heeling</t>
  </si>
  <si>
    <t>337 01</t>
  </si>
  <si>
    <t>CDU / FWG / FDP</t>
  </si>
  <si>
    <t>Burkhart</t>
  </si>
  <si>
    <t>Jentzer</t>
  </si>
  <si>
    <t>339 03</t>
  </si>
  <si>
    <t>Jan</t>
  </si>
  <si>
    <t>Neue Liberale</t>
  </si>
  <si>
    <t>Olef</t>
  </si>
  <si>
    <t>132 01</t>
  </si>
  <si>
    <t>Jüngerich</t>
  </si>
  <si>
    <t>Löhr</t>
  </si>
  <si>
    <t>Rabsch</t>
  </si>
  <si>
    <t>Lindlein</t>
  </si>
  <si>
    <t>132 06</t>
  </si>
  <si>
    <t>Henrich</t>
  </si>
  <si>
    <t>Nadja</t>
  </si>
  <si>
    <t>Hammer</t>
  </si>
  <si>
    <t>Langenbach</t>
  </si>
  <si>
    <t>Niko</t>
  </si>
  <si>
    <t>132 07</t>
  </si>
  <si>
    <t>Köhler</t>
  </si>
  <si>
    <t>Maik</t>
  </si>
  <si>
    <t>Buske</t>
  </si>
  <si>
    <t>Angelika</t>
  </si>
  <si>
    <t>135 01</t>
  </si>
  <si>
    <t>Lambertz</t>
  </si>
  <si>
    <t>Balthasar-Schäfer</t>
  </si>
  <si>
    <t>Bleck</t>
  </si>
  <si>
    <t>Schawo</t>
  </si>
  <si>
    <t>Daniel</t>
  </si>
  <si>
    <t>135 03</t>
  </si>
  <si>
    <t>137 04</t>
  </si>
  <si>
    <t>Retterath</t>
  </si>
  <si>
    <t>138 00</t>
  </si>
  <si>
    <t>Rengsdorf-Waldbreitbach</t>
  </si>
  <si>
    <t>Fusion der VGen Rengsdorf und Waldbreitbach zum 01.01.2018</t>
  </si>
  <si>
    <t>Robenek</t>
  </si>
  <si>
    <t>Bender</t>
  </si>
  <si>
    <t>Esther</t>
  </si>
  <si>
    <t>138 01</t>
  </si>
  <si>
    <t>Lahr</t>
  </si>
  <si>
    <t>Sebastian</t>
  </si>
  <si>
    <t>232 01</t>
  </si>
  <si>
    <t>232 06</t>
  </si>
  <si>
    <t>235 03</t>
  </si>
  <si>
    <t>Mich</t>
  </si>
  <si>
    <t>Yvonne</t>
  </si>
  <si>
    <t>331 05</t>
  </si>
  <si>
    <t>Lechthaler</t>
  </si>
  <si>
    <t>337 06</t>
  </si>
  <si>
    <t>Flach</t>
  </si>
  <si>
    <t>338 01</t>
  </si>
  <si>
    <t>340 04</t>
  </si>
  <si>
    <t>Denzer</t>
  </si>
  <si>
    <t>Wadle</t>
  </si>
  <si>
    <t>Kotz</t>
  </si>
  <si>
    <t>Edrich</t>
  </si>
  <si>
    <t>Nickels</t>
  </si>
  <si>
    <t>Metzdorf</t>
  </si>
  <si>
    <t>Sassen-Hammes</t>
  </si>
  <si>
    <t>Katharina</t>
  </si>
  <si>
    <t>Franzen</t>
  </si>
  <si>
    <t>Hans-Peter</t>
  </si>
  <si>
    <t>Przybylla</t>
  </si>
  <si>
    <t>Kreienbrock</t>
  </si>
  <si>
    <t xml:space="preserve">Werner </t>
  </si>
  <si>
    <t>Saxler</t>
  </si>
  <si>
    <t>Brost</t>
  </si>
  <si>
    <t>Knipp</t>
  </si>
  <si>
    <t>* Eingliederung von 5 Ortsgemeinden der aufgelösten VG Bad Münster a. Stein Ebernburg</t>
  </si>
  <si>
    <t>Boxler</t>
  </si>
  <si>
    <t>133 01</t>
  </si>
  <si>
    <t>* Eingliederung von 4 Ortsgemeinden der aufgelösten VG Bad Münster a. Stein Ebernburg</t>
  </si>
  <si>
    <t>Silvestri</t>
  </si>
  <si>
    <t>Andrea</t>
  </si>
  <si>
    <t>Bumke</t>
  </si>
  <si>
    <t xml:space="preserve">m </t>
  </si>
  <si>
    <t>337 07</t>
  </si>
  <si>
    <t>Offenbach a. d. Queich</t>
  </si>
  <si>
    <t>W</t>
  </si>
  <si>
    <t>339 02</t>
  </si>
  <si>
    <t>Scheurer</t>
  </si>
  <si>
    <t>Mutzke</t>
  </si>
  <si>
    <t>339 06</t>
  </si>
  <si>
    <t>Knein</t>
  </si>
  <si>
    <t>Hasenfuss</t>
  </si>
  <si>
    <t>336 08</t>
  </si>
  <si>
    <t xml:space="preserve">Jung </t>
  </si>
  <si>
    <t>Eckert</t>
  </si>
  <si>
    <t>Donauer</t>
  </si>
  <si>
    <t>339 08</t>
  </si>
  <si>
    <t>235 07</t>
  </si>
  <si>
    <t>FWG Trier-Land</t>
  </si>
  <si>
    <t>Holstein</t>
  </si>
  <si>
    <t>Zengerling</t>
  </si>
  <si>
    <t xml:space="preserve">Lothar </t>
  </si>
  <si>
    <t>Kartes</t>
  </si>
  <si>
    <t>137 01</t>
  </si>
  <si>
    <t>Anheier</t>
  </si>
  <si>
    <t>333 02</t>
  </si>
  <si>
    <t>SPD / CDU</t>
  </si>
  <si>
    <t>SPD / FWG</t>
  </si>
  <si>
    <t>Fichter</t>
  </si>
  <si>
    <t>141 10</t>
  </si>
  <si>
    <t>Bad Ems-Nassau</t>
  </si>
  <si>
    <t>Bruchhäuser</t>
  </si>
  <si>
    <t>Fusion der VGen Bad Ems und Nassau zum 01.07.2019</t>
  </si>
  <si>
    <t>Krätz</t>
  </si>
  <si>
    <t>Winkler</t>
  </si>
  <si>
    <t>Josef Philip</t>
  </si>
  <si>
    <t>FWG Stadt/VG</t>
  </si>
  <si>
    <t>Eschenauer</t>
  </si>
  <si>
    <t>Claus Martin</t>
  </si>
  <si>
    <t>Abt</t>
  </si>
  <si>
    <t>235 08</t>
  </si>
  <si>
    <t>Saarburg-Kell</t>
  </si>
  <si>
    <t>Fusion der VGen Saarburg und Kell am See</t>
  </si>
  <si>
    <t>233 06</t>
  </si>
  <si>
    <t>Böffgen</t>
  </si>
  <si>
    <t>Fusion der Vgen Gerolstein, Hillesheim und Obere Kyll</t>
  </si>
  <si>
    <t>Johnen</t>
  </si>
  <si>
    <t>Gräf</t>
  </si>
  <si>
    <t>Breuer</t>
  </si>
  <si>
    <t>Wertke</t>
  </si>
  <si>
    <t>131 02</t>
  </si>
  <si>
    <t>Cornelia</t>
  </si>
  <si>
    <t>Karutz</t>
  </si>
  <si>
    <t>132 10</t>
  </si>
  <si>
    <t>Altenkirchen-Flammersfekd</t>
  </si>
  <si>
    <t>Fusion der Vgen Altenkirchen und Flammersfeld</t>
  </si>
  <si>
    <t>134 05</t>
  </si>
  <si>
    <t>Herrstein-Rhaunen</t>
  </si>
  <si>
    <t>Fusion der Vgen Herrstein und Rhaunen</t>
  </si>
  <si>
    <t>140 08</t>
  </si>
  <si>
    <t>Simmern-Rheinböllen</t>
  </si>
  <si>
    <t>Fusion der Vgen Simmern und Rheinböllen</t>
  </si>
  <si>
    <t>Klemm</t>
  </si>
  <si>
    <t>Hachmer</t>
  </si>
  <si>
    <t>Klopmann</t>
  </si>
  <si>
    <t>140 09</t>
  </si>
  <si>
    <t>Hunsrück-Mittelrhein</t>
  </si>
  <si>
    <t>Fusion der Vgen Emmelshausen und St. Goar-Oberwesel</t>
  </si>
  <si>
    <t>Mallmenn</t>
  </si>
  <si>
    <t>141 11</t>
  </si>
  <si>
    <t>Aar-Einrich</t>
  </si>
  <si>
    <t>Fusion der Vgen Hahnstätten und Katzenelnbogen</t>
  </si>
  <si>
    <t>Dr. Janning</t>
  </si>
  <si>
    <t>Willig</t>
  </si>
  <si>
    <t>Marcel</t>
  </si>
  <si>
    <t>Stotz</t>
  </si>
  <si>
    <t>Evelin</t>
  </si>
  <si>
    <t>143 09</t>
  </si>
  <si>
    <t>Hof</t>
  </si>
  <si>
    <t>Christl</t>
  </si>
  <si>
    <t>231 01</t>
  </si>
  <si>
    <t>Wächter</t>
  </si>
  <si>
    <t>235 01</t>
  </si>
  <si>
    <t>Heck</t>
  </si>
  <si>
    <t xml:space="preserve">In der Zeit vom 01.04.2018 bis 30.06.2019 war ein Beauftragter bestellt. Verkürzung der Amtszeit wegen möglicher Gebietänderungen. </t>
  </si>
  <si>
    <t>235 06</t>
  </si>
  <si>
    <t>Schweich a.d. Röm. Weinstraße</t>
  </si>
  <si>
    <t>331 03</t>
  </si>
  <si>
    <t>334 05</t>
  </si>
  <si>
    <t>Tremel</t>
  </si>
  <si>
    <t>Stella</t>
  </si>
  <si>
    <t>335 11</t>
  </si>
  <si>
    <t>Fusion der Vgen Landstuhl und Kaiserslautern-Süd</t>
  </si>
  <si>
    <t>Dr. Heid</t>
  </si>
  <si>
    <t>Petra</t>
  </si>
  <si>
    <t>333 07</t>
  </si>
  <si>
    <t>Nordpfälzer Land</t>
  </si>
  <si>
    <t>Fusion der Vgen Alsenz-Obermorschel und Rockenhausen</t>
  </si>
  <si>
    <t>Gaß</t>
  </si>
  <si>
    <t>Tanja</t>
  </si>
  <si>
    <t>Haage</t>
  </si>
  <si>
    <t>Freie Liste N.</t>
  </si>
  <si>
    <t>Krebs</t>
  </si>
  <si>
    <t>Ilonka</t>
  </si>
  <si>
    <t>337 05</t>
  </si>
  <si>
    <t>Eberle</t>
  </si>
  <si>
    <t>338 08</t>
  </si>
  <si>
    <t>Rheinauen</t>
  </si>
  <si>
    <t>Fassott</t>
  </si>
  <si>
    <t>Neuer Name ab 01.01.2016, vorher VG Waldsee</t>
  </si>
  <si>
    <t>Bentz</t>
  </si>
  <si>
    <t>Hauser</t>
  </si>
  <si>
    <t>133 09</t>
  </si>
  <si>
    <t>Kirner Land</t>
  </si>
  <si>
    <t>Fusion der VG Kirn-Land und Stadt Kirn</t>
  </si>
  <si>
    <t>Kohl</t>
  </si>
  <si>
    <t>Römer</t>
  </si>
  <si>
    <t>340 08</t>
  </si>
  <si>
    <t>Björn</t>
  </si>
  <si>
    <t xml:space="preserve">Jürgen </t>
  </si>
  <si>
    <t>Neuhoff</t>
  </si>
  <si>
    <t>Berno</t>
  </si>
  <si>
    <t>CDU/SPD/GRÜNE/FDP</t>
  </si>
  <si>
    <t>Zeise</t>
  </si>
  <si>
    <t>Nahe-Glan</t>
  </si>
  <si>
    <t>Engelmann</t>
  </si>
  <si>
    <t>Fusion der Vgen Bad Sobernheim und Meisenheim</t>
  </si>
  <si>
    <t>Budschat</t>
  </si>
  <si>
    <t>Ron</t>
  </si>
  <si>
    <t>Kohrs</t>
  </si>
  <si>
    <t>138 03</t>
  </si>
  <si>
    <t>141 09</t>
  </si>
  <si>
    <t>Weiland</t>
  </si>
  <si>
    <t>Mike</t>
  </si>
  <si>
    <t>Borowski</t>
  </si>
  <si>
    <t>133 11</t>
  </si>
  <si>
    <t>Langenlonsheim-Stromberg</t>
  </si>
  <si>
    <t>Fusion der Vgen Langenlonsheim und Stromberg</t>
  </si>
  <si>
    <t>Schütte</t>
  </si>
  <si>
    <t>231 06</t>
  </si>
  <si>
    <t>Höfner</t>
  </si>
  <si>
    <t>Graul</t>
  </si>
  <si>
    <t>Synwoldt</t>
  </si>
  <si>
    <t>Hans Werner</t>
  </si>
  <si>
    <t>340 02</t>
  </si>
  <si>
    <t>Weißler</t>
  </si>
  <si>
    <t>Kästner</t>
  </si>
  <si>
    <t>Tobias Michael</t>
  </si>
  <si>
    <t>131 03</t>
  </si>
  <si>
    <t>Caspers</t>
  </si>
  <si>
    <t>Goerke</t>
  </si>
  <si>
    <t>138 02</t>
  </si>
  <si>
    <t>CDU/FDP</t>
  </si>
  <si>
    <t>Ermtraud</t>
  </si>
  <si>
    <t>Dr. Scheinpflug</t>
  </si>
  <si>
    <t>Stirnberg</t>
  </si>
  <si>
    <t>334 02</t>
  </si>
  <si>
    <t>Fleisch</t>
  </si>
  <si>
    <t>Iris Rosa</t>
  </si>
  <si>
    <t>Mario Rene</t>
  </si>
  <si>
    <t>332 05</t>
  </si>
  <si>
    <t>Kuhn</t>
  </si>
  <si>
    <t>Gernot</t>
  </si>
  <si>
    <t>Schlupp</t>
  </si>
  <si>
    <t>Philipp Jakob</t>
  </si>
  <si>
    <t>233 01</t>
  </si>
  <si>
    <t>Scheppe</t>
  </si>
  <si>
    <t>Dr. Becker</t>
  </si>
  <si>
    <t>Tim</t>
  </si>
  <si>
    <t>143 02</t>
  </si>
  <si>
    <t>Greis</t>
  </si>
  <si>
    <t>Leukel</t>
  </si>
  <si>
    <t>143 10</t>
  </si>
  <si>
    <t>Marzi</t>
  </si>
  <si>
    <t>Alexandra</t>
  </si>
  <si>
    <t>333 04</t>
  </si>
  <si>
    <t>Wienpahl</t>
  </si>
  <si>
    <t>Sabine</t>
  </si>
  <si>
    <t>bauer</t>
  </si>
  <si>
    <t>335 09</t>
  </si>
  <si>
    <t>Schwarm</t>
  </si>
  <si>
    <t>Ralf Karl</t>
  </si>
  <si>
    <t>Hundhausen</t>
  </si>
  <si>
    <t>Stühn</t>
  </si>
  <si>
    <t>231 08</t>
  </si>
  <si>
    <t>Follmann</t>
  </si>
  <si>
    <t>Manuel</t>
  </si>
  <si>
    <t>Jakoby</t>
  </si>
  <si>
    <t>335 10</t>
  </si>
  <si>
    <t>232 05</t>
  </si>
  <si>
    <t>335 02</t>
  </si>
  <si>
    <t>Brunck</t>
  </si>
  <si>
    <t>Roth</t>
  </si>
  <si>
    <t>Hörter</t>
  </si>
  <si>
    <t>Spohr</t>
  </si>
  <si>
    <t>140 03</t>
  </si>
  <si>
    <t>Christian Helmut</t>
  </si>
  <si>
    <t>337 03</t>
  </si>
  <si>
    <t>Salm</t>
  </si>
  <si>
    <t>Frankmann</t>
  </si>
  <si>
    <t>Pister</t>
  </si>
  <si>
    <t>Rothgerber</t>
  </si>
  <si>
    <t>232 08</t>
  </si>
  <si>
    <t>Janine</t>
  </si>
  <si>
    <t>Barthel</t>
  </si>
  <si>
    <t>Dr. Gayoso</t>
  </si>
  <si>
    <t>Kuhl</t>
  </si>
  <si>
    <t>231 09</t>
  </si>
  <si>
    <t>Polka</t>
  </si>
  <si>
    <t>338 06</t>
  </si>
  <si>
    <t>Gunter</t>
  </si>
  <si>
    <t>331 07</t>
  </si>
  <si>
    <t>Goller</t>
  </si>
  <si>
    <t>Eschborn</t>
  </si>
  <si>
    <t>338 07</t>
  </si>
  <si>
    <t>Schmitt-Makdice</t>
  </si>
  <si>
    <t>Rabe</t>
  </si>
  <si>
    <t>Justus</t>
  </si>
  <si>
    <t>137 09</t>
  </si>
  <si>
    <t>Laymann</t>
  </si>
  <si>
    <t>Kathrin Franziska</t>
  </si>
  <si>
    <t>FWG U / FWG R</t>
  </si>
  <si>
    <t>Firmenich</t>
  </si>
  <si>
    <t>Norman</t>
  </si>
  <si>
    <t>Ibald</t>
  </si>
  <si>
    <t>Martin Wilhelm Jakob</t>
  </si>
  <si>
    <t>Waschgler</t>
  </si>
  <si>
    <t>141 07</t>
  </si>
  <si>
    <t>Dennighoff</t>
  </si>
  <si>
    <t>Lars</t>
  </si>
  <si>
    <t>Lorch</t>
  </si>
  <si>
    <t>339 07</t>
  </si>
  <si>
    <t>Groth</t>
  </si>
  <si>
    <t>Gebhardt</t>
  </si>
  <si>
    <t>Kram</t>
  </si>
  <si>
    <t>340 09</t>
  </si>
  <si>
    <t>Thaleischweiler-Wallhalben</t>
  </si>
  <si>
    <t>Sema</t>
  </si>
  <si>
    <t>Eichert</t>
  </si>
  <si>
    <t>143 06</t>
  </si>
  <si>
    <t>Gerit</t>
  </si>
  <si>
    <t>135 02</t>
  </si>
  <si>
    <t>Loosen</t>
  </si>
  <si>
    <t>Jessica</t>
  </si>
  <si>
    <t>232 07</t>
  </si>
  <si>
    <t>Rodens</t>
  </si>
  <si>
    <t>Rauschenbach</t>
  </si>
  <si>
    <t>Schilz</t>
  </si>
  <si>
    <t>334 06</t>
  </si>
  <si>
    <t>340 03</t>
  </si>
  <si>
    <t>Hatzfeld</t>
  </si>
  <si>
    <t>Kupper</t>
  </si>
  <si>
    <t>Felix</t>
  </si>
  <si>
    <t>Gieler</t>
  </si>
  <si>
    <t>Dominik</t>
  </si>
  <si>
    <t>143 05</t>
  </si>
  <si>
    <t>135 05</t>
  </si>
  <si>
    <t>FWG/FDP</t>
  </si>
  <si>
    <t xml:space="preserve">Simon </t>
  </si>
  <si>
    <t>Koch</t>
  </si>
  <si>
    <t>Frank Thomas</t>
  </si>
  <si>
    <t>Hansen</t>
  </si>
  <si>
    <t>Jochen</t>
  </si>
  <si>
    <t>138 04</t>
  </si>
  <si>
    <t>Glätzner</t>
  </si>
  <si>
    <t>Job</t>
  </si>
  <si>
    <t>John</t>
  </si>
  <si>
    <t>340 06</t>
  </si>
  <si>
    <t>Leidecker</t>
  </si>
  <si>
    <t>Felix Maximilian</t>
  </si>
  <si>
    <t>143 07</t>
  </si>
  <si>
    <t>Götsch</t>
  </si>
  <si>
    <t>Spiekermann</t>
  </si>
  <si>
    <t>Harpel</t>
  </si>
  <si>
    <t>Hampel</t>
  </si>
  <si>
    <t>Nicole</t>
  </si>
  <si>
    <t>137 07</t>
  </si>
  <si>
    <t>Adolf Theo</t>
  </si>
  <si>
    <t>Ulrich Norbert</t>
  </si>
  <si>
    <t>140 04</t>
  </si>
  <si>
    <t>Kirchberg</t>
  </si>
  <si>
    <t>Rudat</t>
  </si>
  <si>
    <t>Bongard</t>
  </si>
  <si>
    <t>Wieß</t>
  </si>
  <si>
    <t>337 02</t>
  </si>
  <si>
    <t>Flory</t>
  </si>
  <si>
    <t>Neufeld</t>
  </si>
  <si>
    <t>Drieß</t>
  </si>
  <si>
    <t>Blankenmeyer</t>
  </si>
  <si>
    <t>Ausgspurger</t>
  </si>
  <si>
    <t>141 03</t>
  </si>
  <si>
    <t>Maren</t>
  </si>
  <si>
    <t>Zorn</t>
  </si>
  <si>
    <t>Jennifer</t>
  </si>
  <si>
    <t>339 01</t>
  </si>
  <si>
    <t>Seemann</t>
  </si>
  <si>
    <t>Benedikt</t>
  </si>
  <si>
    <t>Hönisch</t>
  </si>
  <si>
    <t>Falko</t>
  </si>
  <si>
    <t>332 06</t>
  </si>
  <si>
    <t>Wachenheim</t>
  </si>
  <si>
    <t>Schäffling</t>
  </si>
  <si>
    <t>Kappel</t>
  </si>
  <si>
    <t>CDU/FWG/SPD</t>
  </si>
  <si>
    <t>Kietzmann</t>
  </si>
  <si>
    <t>333 03</t>
  </si>
  <si>
    <t>Rühl-Pfeiffer</t>
  </si>
  <si>
    <t>Simone</t>
  </si>
  <si>
    <t>131 04</t>
  </si>
  <si>
    <t>Klapperich</t>
  </si>
  <si>
    <t>SPD/FDP/GRÜNE/WG Schwarz</t>
  </si>
  <si>
    <t>Wilkes</t>
  </si>
  <si>
    <t>335 01</t>
  </si>
  <si>
    <t>Hirsch</t>
  </si>
  <si>
    <t>17.01.20232</t>
  </si>
  <si>
    <t>Sauter</t>
  </si>
  <si>
    <t>333 06</t>
  </si>
  <si>
    <t xml:space="preserve">Rudolf </t>
  </si>
  <si>
    <t>Schäfer-Reisch</t>
  </si>
  <si>
    <t>Sonja</t>
  </si>
  <si>
    <t>Romas Gomes Oester</t>
  </si>
  <si>
    <t>Ramos Gomes Oester</t>
  </si>
  <si>
    <t>Helena Isabel</t>
  </si>
  <si>
    <t>335 08</t>
  </si>
  <si>
    <t>331 02</t>
  </si>
  <si>
    <t>31.02.2032</t>
  </si>
  <si>
    <t>Maaximilian</t>
  </si>
  <si>
    <t>332 01</t>
  </si>
  <si>
    <t>Dörr</t>
  </si>
  <si>
    <t>332 02</t>
  </si>
  <si>
    <t>Dr. Jaworek</t>
  </si>
  <si>
    <t>132 09</t>
  </si>
  <si>
    <t>Brenner</t>
  </si>
  <si>
    <t xml:space="preserve">Brato </t>
  </si>
  <si>
    <t>Flohr</t>
  </si>
  <si>
    <t>134 02</t>
  </si>
  <si>
    <t>Noß</t>
  </si>
  <si>
    <t>336 09</t>
  </si>
  <si>
    <t>Bockhorn-Tüzün</t>
  </si>
  <si>
    <t>Pia Cathrin</t>
  </si>
  <si>
    <t>CDU/FWG e.V.</t>
  </si>
  <si>
    <t>Ding</t>
  </si>
  <si>
    <t>? 2024</t>
  </si>
  <si>
    <t>? 2032</t>
  </si>
  <si>
    <t>Lena</t>
  </si>
  <si>
    <t>Detled</t>
  </si>
  <si>
    <t>Hartenfels</t>
  </si>
  <si>
    <t>Lukas</t>
  </si>
  <si>
    <t>Anna Carina</t>
  </si>
  <si>
    <t>Mrotzek</t>
  </si>
  <si>
    <t>Molitor</t>
  </si>
  <si>
    <t>334 04</t>
  </si>
  <si>
    <t>Schönlaub</t>
  </si>
  <si>
    <t>Volz</t>
  </si>
  <si>
    <t>Weißer</t>
  </si>
  <si>
    <t>Marco</t>
  </si>
  <si>
    <t>Voges</t>
  </si>
  <si>
    <t>André</t>
  </si>
  <si>
    <t xml:space="preserve">Mumm </t>
  </si>
  <si>
    <t>Schnack</t>
  </si>
  <si>
    <t>Kraut</t>
  </si>
  <si>
    <t>138 05</t>
  </si>
  <si>
    <t>Schür</t>
  </si>
  <si>
    <t>Rudolph</t>
  </si>
  <si>
    <t>Dr. Rudolph</t>
  </si>
  <si>
    <t>Geimer</t>
  </si>
  <si>
    <t>Herward</t>
  </si>
  <si>
    <t>138 09</t>
  </si>
  <si>
    <t>Pierre</t>
  </si>
  <si>
    <t>Braasch</t>
  </si>
  <si>
    <t>FWG WIR e.V.</t>
  </si>
  <si>
    <t>Kreienkamp</t>
  </si>
  <si>
    <t>Eva</t>
  </si>
  <si>
    <t>CDU /FWG/ FDP</t>
  </si>
  <si>
    <t>Großmann</t>
  </si>
  <si>
    <t>Bad Marienberg</t>
  </si>
  <si>
    <t>Kraus</t>
  </si>
  <si>
    <t>Marvin</t>
  </si>
  <si>
    <t>Lucke</t>
  </si>
  <si>
    <t>Dr. Richter-Hopprich</t>
  </si>
  <si>
    <t>Neuhause</t>
  </si>
  <si>
    <t>336 10</t>
  </si>
  <si>
    <t>VOTUM</t>
  </si>
  <si>
    <t>Draudt-Awe</t>
  </si>
  <si>
    <t>Reuschen</t>
  </si>
  <si>
    <t>Dr. Reuschen</t>
  </si>
  <si>
    <t>Hamm</t>
  </si>
  <si>
    <t>Breitbach</t>
  </si>
  <si>
    <t>Tamara</t>
  </si>
  <si>
    <t>Neue Liste e.V.</t>
  </si>
  <si>
    <t>Thömmes</t>
  </si>
  <si>
    <t>Hornberg</t>
  </si>
  <si>
    <t>Iris</t>
  </si>
  <si>
    <t>Brüchert</t>
  </si>
  <si>
    <t>Karl Rudolf</t>
  </si>
  <si>
    <t>133 06</t>
  </si>
  <si>
    <t>1) Steht der Name des Bewerbers in der Spalte "Wahlvoschlagsträger" handelt es sich um einen Einzelbewerber</t>
  </si>
  <si>
    <t>Ende der Amtszeit geändert infolge Kommunal- und Verwaltungsreform</t>
  </si>
  <si>
    <t>Wahl der Bürgermeister verbandsfreier Gemeinden</t>
  </si>
  <si>
    <t xml:space="preserve">Bad Neuenahr-Ahrweiler, St. </t>
  </si>
  <si>
    <t>Flohe</t>
  </si>
  <si>
    <t>Fick</t>
  </si>
  <si>
    <t xml:space="preserve">Remagen, St. </t>
  </si>
  <si>
    <t>Denn</t>
  </si>
  <si>
    <t>FBL</t>
  </si>
  <si>
    <t>Bergmann</t>
  </si>
  <si>
    <t>Hans-Joachim</t>
  </si>
  <si>
    <t>Kreienmeier</t>
  </si>
  <si>
    <t xml:space="preserve">Andernach, St. </t>
  </si>
  <si>
    <t>Hütten</t>
  </si>
  <si>
    <t>Dr. Hansen</t>
  </si>
  <si>
    <t>Kurz</t>
  </si>
  <si>
    <t>Lambsheim</t>
  </si>
  <si>
    <t>Scherr</t>
  </si>
  <si>
    <t>Eisenbarth</t>
  </si>
  <si>
    <t>Mangold</t>
  </si>
  <si>
    <t>Knut</t>
  </si>
  <si>
    <t>Limburgerhof</t>
  </si>
  <si>
    <t>Zier</t>
  </si>
  <si>
    <t>Elster</t>
  </si>
  <si>
    <t xml:space="preserve">Bad Kreuznach, St. </t>
  </si>
  <si>
    <t>Ebbeke</t>
  </si>
  <si>
    <t>Schwindt</t>
  </si>
  <si>
    <t>Monika</t>
  </si>
  <si>
    <t>STATT Partei</t>
  </si>
  <si>
    <t>Jotzo</t>
  </si>
  <si>
    <t>Claus</t>
  </si>
  <si>
    <t xml:space="preserve">Bendorf, St. </t>
  </si>
  <si>
    <t>Stuhlträger</t>
  </si>
  <si>
    <t>Johann Josef</t>
  </si>
  <si>
    <t>Saxer</t>
  </si>
  <si>
    <t>Gerd W.</t>
  </si>
  <si>
    <t>Eiter</t>
  </si>
  <si>
    <t>Wilhelm A.</t>
  </si>
  <si>
    <t xml:space="preserve">Osthofen, St. </t>
  </si>
  <si>
    <t>Himmler</t>
  </si>
  <si>
    <t xml:space="preserve">Schifferstadt, St. </t>
  </si>
  <si>
    <t>Johann</t>
  </si>
  <si>
    <t>Heberger</t>
  </si>
  <si>
    <t>Arne</t>
  </si>
  <si>
    <t xml:space="preserve">Ingelheim am Rhein, St. </t>
  </si>
  <si>
    <t>Dr. Gerhard</t>
  </si>
  <si>
    <t>Drewes</t>
  </si>
  <si>
    <t xml:space="preserve">Cochem, St. </t>
  </si>
  <si>
    <t>Hilken</t>
  </si>
  <si>
    <t>Bremm</t>
  </si>
  <si>
    <t xml:space="preserve">Herdorf, St. </t>
  </si>
  <si>
    <t>Erner</t>
  </si>
  <si>
    <t>Eisel</t>
  </si>
  <si>
    <t>Grüneberg</t>
  </si>
  <si>
    <t xml:space="preserve">Bingen am Rhein, St. </t>
  </si>
  <si>
    <t>Collin-Langen</t>
  </si>
  <si>
    <t>Dr. Kohl</t>
  </si>
  <si>
    <t>von Stramberg</t>
  </si>
  <si>
    <t>Graf</t>
  </si>
  <si>
    <t>Haßloch</t>
  </si>
  <si>
    <t>Hanns-Uwe</t>
  </si>
  <si>
    <t>Grohe</t>
  </si>
  <si>
    <t>HLL</t>
  </si>
  <si>
    <t>Postel</t>
  </si>
  <si>
    <t>Grafschaft</t>
  </si>
  <si>
    <t>Kolvenbach</t>
  </si>
  <si>
    <t>Segan</t>
  </si>
  <si>
    <t>Pracht</t>
  </si>
  <si>
    <t xml:space="preserve">Bitburg, St. </t>
  </si>
  <si>
    <t>SPD/WG</t>
  </si>
  <si>
    <t>Schlösser</t>
  </si>
  <si>
    <t xml:space="preserve">Boppard, St. </t>
  </si>
  <si>
    <t>Dr. Bersch</t>
  </si>
  <si>
    <t>Nickenig</t>
  </si>
  <si>
    <t>WG</t>
  </si>
  <si>
    <t>Bruns</t>
  </si>
  <si>
    <t>Morbach</t>
  </si>
  <si>
    <t>Eibes</t>
  </si>
  <si>
    <t>Gregor</t>
  </si>
  <si>
    <t>Tonner</t>
  </si>
  <si>
    <t>Budde</t>
  </si>
  <si>
    <t>Blatt</t>
  </si>
  <si>
    <t>Bobenheim-Roxheim</t>
  </si>
  <si>
    <t>Stockert</t>
  </si>
  <si>
    <t>Hans-Rainer</t>
  </si>
  <si>
    <t>WIR</t>
  </si>
  <si>
    <t>Schärf</t>
  </si>
  <si>
    <t xml:space="preserve">Lahnstein, St. </t>
  </si>
  <si>
    <t>Alexa</t>
  </si>
  <si>
    <t>Budenheim</t>
  </si>
  <si>
    <t>Nauheimer</t>
  </si>
  <si>
    <t>Grüne Liste</t>
  </si>
  <si>
    <t>Alt</t>
  </si>
  <si>
    <t>WG Stumpen</t>
  </si>
  <si>
    <t>Stumpen</t>
  </si>
  <si>
    <t>Hellendahl</t>
  </si>
  <si>
    <t>Altrip</t>
  </si>
  <si>
    <t>Kotter</t>
  </si>
  <si>
    <t>Gensinger</t>
  </si>
  <si>
    <t>Karl Martin</t>
  </si>
  <si>
    <t>Böhl-Iggelheim</t>
  </si>
  <si>
    <t>Römerberg</t>
  </si>
  <si>
    <t>Heinz-Peter</t>
  </si>
  <si>
    <t>Hauß</t>
  </si>
  <si>
    <t>Zemihn</t>
  </si>
  <si>
    <t>Bad Dürkheim, St.</t>
  </si>
  <si>
    <t>Sülzle</t>
  </si>
  <si>
    <t>Wörth am Rhein, St.</t>
  </si>
  <si>
    <t>Seiter</t>
  </si>
  <si>
    <t>Neuwied, St.</t>
  </si>
  <si>
    <t>Kilgen</t>
  </si>
  <si>
    <t>Keßler</t>
  </si>
  <si>
    <t>Werner Johann</t>
  </si>
  <si>
    <t>Rieth</t>
  </si>
  <si>
    <t>Vockel</t>
  </si>
  <si>
    <t>Alzey, St.</t>
  </si>
  <si>
    <t>Benkert</t>
  </si>
  <si>
    <t xml:space="preserve"> </t>
  </si>
  <si>
    <t>Bayer-Fleger</t>
  </si>
  <si>
    <t>Friedhelm</t>
  </si>
  <si>
    <t>Linke</t>
  </si>
  <si>
    <t>Ingo-Sven</t>
  </si>
  <si>
    <t>Mayen, St.</t>
  </si>
  <si>
    <t>Mauel</t>
  </si>
  <si>
    <t>Idar-Oberstein, St.</t>
  </si>
  <si>
    <t>Machwirth</t>
  </si>
  <si>
    <t>Hans Jürgen</t>
  </si>
  <si>
    <t>Dr. Luthmann</t>
  </si>
  <si>
    <t>LUB</t>
  </si>
  <si>
    <t>Augenstein</t>
  </si>
  <si>
    <t>Neuhofen</t>
  </si>
  <si>
    <t>Ehrhardt</t>
  </si>
  <si>
    <t>Wittlich, St.</t>
  </si>
  <si>
    <t>FDP/SPD</t>
  </si>
  <si>
    <t>Bußmer</t>
  </si>
  <si>
    <t>Hagendorn</t>
  </si>
  <si>
    <t>Moll</t>
  </si>
  <si>
    <t>Grünstadt, St.</t>
  </si>
  <si>
    <t>Jäger</t>
  </si>
  <si>
    <t>Laubersheimer</t>
  </si>
  <si>
    <t>Hubert W.</t>
  </si>
  <si>
    <t>Mutterstadt</t>
  </si>
  <si>
    <t>Ledig</t>
  </si>
  <si>
    <t>Geier</t>
  </si>
  <si>
    <t>Sinzig, St.</t>
  </si>
  <si>
    <t>Kroeger</t>
  </si>
  <si>
    <t>Münch</t>
  </si>
  <si>
    <t>Kronenberg</t>
  </si>
  <si>
    <t>Kirn, St.</t>
  </si>
  <si>
    <t>Germersheim, St.</t>
  </si>
  <si>
    <t>Hänlein</t>
  </si>
  <si>
    <t>Wählergruppe 2</t>
  </si>
  <si>
    <t>REP</t>
  </si>
  <si>
    <t>Zängle</t>
  </si>
  <si>
    <t>Wählergruppe 1</t>
  </si>
  <si>
    <t>Sorge</t>
  </si>
  <si>
    <t>Dr. Tappe</t>
  </si>
  <si>
    <t>Hans-Ulrich</t>
  </si>
  <si>
    <t>Jahr</t>
  </si>
  <si>
    <t>Georgi</t>
  </si>
  <si>
    <t>Paczulla</t>
  </si>
  <si>
    <t>Dr. Kern</t>
  </si>
  <si>
    <t>Mehrle</t>
  </si>
  <si>
    <t>Rosemarie</t>
  </si>
  <si>
    <t>Page</t>
  </si>
  <si>
    <t>Schädler</t>
  </si>
  <si>
    <t>Johann-Josef</t>
  </si>
  <si>
    <t>Trennheuser</t>
  </si>
  <si>
    <r>
      <t xml:space="preserve"> 1) Amtszeit gem. § 4 Abs. 5 KomVwRGrG um ein Jahr verlängert; (z.Zt. führt der 1. Beigeordnete </t>
    </r>
    <r>
      <rPr>
        <u/>
        <sz val="9"/>
        <rFont val="Arial"/>
        <family val="2"/>
      </rPr>
      <t xml:space="preserve">Wolfgang Itzerodt </t>
    </r>
    <r>
      <rPr>
        <sz val="9"/>
        <rFont val="Arial"/>
        <family val="2"/>
      </rPr>
      <t>die Geschäfte)</t>
    </r>
  </si>
  <si>
    <t>Hassel</t>
  </si>
  <si>
    <t>Martina</t>
  </si>
  <si>
    <t>Bastian</t>
  </si>
  <si>
    <t>Delaveaux</t>
  </si>
  <si>
    <t>Röttgen</t>
  </si>
  <si>
    <t>Sattel</t>
  </si>
  <si>
    <t>Dell</t>
  </si>
  <si>
    <t>Mößner</t>
  </si>
  <si>
    <t>Klose</t>
  </si>
  <si>
    <t>Gilberg</t>
  </si>
  <si>
    <t>Ihlenfeld</t>
  </si>
  <si>
    <t>Dr. jur. Kühn</t>
  </si>
  <si>
    <t>AWG</t>
  </si>
  <si>
    <t>Geitlinger</t>
  </si>
  <si>
    <t>Stephanie E.</t>
  </si>
  <si>
    <t>Warnecker</t>
  </si>
  <si>
    <t>Weickert</t>
  </si>
  <si>
    <t>Knight</t>
  </si>
  <si>
    <t>Voll</t>
  </si>
  <si>
    <t>Juchem</t>
  </si>
  <si>
    <t>Bach</t>
  </si>
  <si>
    <t>SPD/FDP/WG</t>
  </si>
  <si>
    <t>Dr. Streit</t>
  </si>
  <si>
    <t>Averwerser</t>
  </si>
  <si>
    <t>Pöppich</t>
  </si>
  <si>
    <t>Klaus Felix</t>
  </si>
  <si>
    <t>Laschet-Einig</t>
  </si>
  <si>
    <t>SPD/FWG/WG</t>
  </si>
  <si>
    <t>Butsch</t>
  </si>
  <si>
    <t>Wagner-Schmitt</t>
  </si>
  <si>
    <t>Ruth</t>
  </si>
  <si>
    <t>Rebholz</t>
  </si>
  <si>
    <t>Detlev</t>
  </si>
  <si>
    <t>Dr. Wings</t>
  </si>
  <si>
    <t>Syré</t>
  </si>
  <si>
    <t>Bosch</t>
  </si>
  <si>
    <t>Brunschlik</t>
  </si>
  <si>
    <t>Frühauf</t>
  </si>
  <si>
    <t>Schweitzer-Weiland</t>
  </si>
  <si>
    <t>Christa</t>
  </si>
  <si>
    <t>Reimer</t>
  </si>
  <si>
    <t>gem.Wahlvorschl.</t>
  </si>
  <si>
    <t>Biedermann</t>
  </si>
  <si>
    <t>zur Hausen</t>
  </si>
  <si>
    <t>Gehrmann</t>
  </si>
  <si>
    <t>Gustav</t>
  </si>
  <si>
    <t xml:space="preserve">Mayen, St. </t>
  </si>
  <si>
    <t>Veronika</t>
  </si>
  <si>
    <t>Dr. Drysch</t>
  </si>
  <si>
    <t>Markgraf</t>
  </si>
  <si>
    <t>SPD/Grüne</t>
  </si>
  <si>
    <t>Czeczatka-Simon</t>
  </si>
  <si>
    <t>Heinz-Werner Herbert</t>
  </si>
  <si>
    <t>Ensminger</t>
  </si>
  <si>
    <t>Rodenkirch</t>
  </si>
  <si>
    <t>Geisbüsch</t>
  </si>
  <si>
    <t>Nehrenberg</t>
  </si>
  <si>
    <t>Nadolny</t>
  </si>
  <si>
    <t xml:space="preserve">Grünstadt, St. </t>
  </si>
  <si>
    <t>Wiegand</t>
  </si>
  <si>
    <t>Magez</t>
  </si>
  <si>
    <t>Pirmin</t>
  </si>
  <si>
    <t>Schaile</t>
  </si>
  <si>
    <t>Rashapov</t>
  </si>
  <si>
    <t>Ruslan</t>
  </si>
  <si>
    <t>Bitburg, St.</t>
  </si>
  <si>
    <t>Rinnen</t>
  </si>
  <si>
    <t>Dr. Schaal</t>
  </si>
  <si>
    <t>Büttner</t>
  </si>
  <si>
    <t>Andernach, St.</t>
  </si>
  <si>
    <t>Maaß</t>
  </si>
  <si>
    <t>Schleitzer</t>
  </si>
  <si>
    <t>Beate</t>
  </si>
  <si>
    <t>Schultheiß</t>
  </si>
  <si>
    <t>Regina</t>
  </si>
  <si>
    <t>Bad Neuenahr-Ahrweiler, St.</t>
  </si>
  <si>
    <t>Orthen</t>
  </si>
  <si>
    <t>Jakobs</t>
  </si>
  <si>
    <t>Harz</t>
  </si>
  <si>
    <t>Lüth</t>
  </si>
  <si>
    <t>Fulgraff</t>
  </si>
  <si>
    <t>Huste</t>
  </si>
  <si>
    <t>Schoberwalter</t>
  </si>
  <si>
    <t>Herdorf, St.</t>
  </si>
  <si>
    <t>Gerhardus</t>
  </si>
  <si>
    <t>Bad Kreuznach, St.</t>
  </si>
  <si>
    <t>Dr. Kaster-Meurer</t>
  </si>
  <si>
    <t>Wink</t>
  </si>
  <si>
    <t>Volk</t>
  </si>
  <si>
    <t>Ilona</t>
  </si>
  <si>
    <t>Hackethal</t>
  </si>
  <si>
    <t>Gätz</t>
  </si>
  <si>
    <t>Theodor</t>
  </si>
  <si>
    <t>Breyer</t>
  </si>
  <si>
    <t>Finkenauer</t>
  </si>
  <si>
    <t>Knauff</t>
  </si>
  <si>
    <t>Bingen am Rhein, St.</t>
  </si>
  <si>
    <t>Hüttner</t>
  </si>
  <si>
    <t>Heine</t>
  </si>
  <si>
    <t>Treis</t>
  </si>
  <si>
    <t>FWM</t>
  </si>
  <si>
    <t>Schönberg</t>
  </si>
  <si>
    <t>Boppard, St.</t>
  </si>
  <si>
    <t>Spitz</t>
  </si>
  <si>
    <t>Osthofen, St.</t>
  </si>
  <si>
    <t>Itzerodt</t>
  </si>
  <si>
    <t>ehrenamtlich</t>
  </si>
  <si>
    <t>Die Verbandsgemeinde Westhofen und die verbandsfreie Stadt Osthofen werden zum 01.07.2014 fusionieren.</t>
  </si>
  <si>
    <t>Für die verbleibende Restzeit der laufenden Legislaturperiode (bis 30. Juni 2014) wurde ein ehrenamtlicher</t>
  </si>
  <si>
    <t>Knierim</t>
  </si>
  <si>
    <t>Stadtbürgermeister gewählt (s. a. Landesgesetz über die Fusion der beiden Gebietskörperschaften).</t>
  </si>
  <si>
    <t>Piehl</t>
  </si>
  <si>
    <t>Germann</t>
  </si>
  <si>
    <t>Ralf Michael</t>
  </si>
  <si>
    <t>Michael Georg</t>
  </si>
  <si>
    <t>Reinhardt</t>
  </si>
  <si>
    <t>Rosalia</t>
  </si>
  <si>
    <t>Lobocki</t>
  </si>
  <si>
    <t>Simone Christa</t>
  </si>
  <si>
    <t>Manfred Alban</t>
  </si>
  <si>
    <t>Boller</t>
  </si>
  <si>
    <t>Vetter</t>
  </si>
  <si>
    <t>Dr. Dierks</t>
  </si>
  <si>
    <t>Kleudgen</t>
  </si>
  <si>
    <t>FWG BK</t>
  </si>
  <si>
    <t>Kilian</t>
  </si>
  <si>
    <t>Tressel</t>
  </si>
  <si>
    <t>Schmitt-Mattern</t>
  </si>
  <si>
    <t>Jan Eike</t>
  </si>
  <si>
    <t>Bendorf, St.</t>
  </si>
  <si>
    <t>Kessler</t>
  </si>
  <si>
    <t>Goergen</t>
  </si>
  <si>
    <t>Kraemer</t>
  </si>
  <si>
    <t>Medard</t>
  </si>
  <si>
    <t>Beckgerd</t>
  </si>
  <si>
    <t>Reichel</t>
  </si>
  <si>
    <t>Glogger</t>
  </si>
  <si>
    <t>Ester</t>
  </si>
  <si>
    <t>Schleifer</t>
  </si>
  <si>
    <t>Dr. Nitsche</t>
  </si>
  <si>
    <t>Gröger</t>
  </si>
  <si>
    <t>Schweikert</t>
  </si>
  <si>
    <t>231 00 134</t>
  </si>
  <si>
    <t>332 00 024</t>
  </si>
  <si>
    <t>334 00 007</t>
  </si>
  <si>
    <t>Lutzke</t>
  </si>
  <si>
    <t>138 00 045</t>
  </si>
  <si>
    <t>Einig</t>
  </si>
  <si>
    <t>Mang</t>
  </si>
  <si>
    <t>Adams</t>
  </si>
  <si>
    <t>131 00 077</t>
  </si>
  <si>
    <t>Geron</t>
  </si>
  <si>
    <t>Andreas Klaus</t>
  </si>
  <si>
    <t>Ruch</t>
  </si>
  <si>
    <t xml:space="preserve">Ruch </t>
  </si>
  <si>
    <t>Manfred Engelbert</t>
  </si>
  <si>
    <t>232 00 018</t>
  </si>
  <si>
    <t>Olk</t>
  </si>
  <si>
    <t>131 00 007</t>
  </si>
  <si>
    <t>137 000 03</t>
  </si>
  <si>
    <t>Andernach</t>
  </si>
  <si>
    <t>131 00 070</t>
  </si>
  <si>
    <t>Remagen</t>
  </si>
  <si>
    <t>Ingendahl</t>
  </si>
  <si>
    <t>Köbbing</t>
  </si>
  <si>
    <t>Junge</t>
  </si>
  <si>
    <t>WGR</t>
  </si>
  <si>
    <t>Wyborny</t>
  </si>
  <si>
    <t>Wickord</t>
  </si>
  <si>
    <t>Gereom</t>
  </si>
  <si>
    <t>338 00 017</t>
  </si>
  <si>
    <t>Poignée</t>
  </si>
  <si>
    <t>Michalak</t>
  </si>
  <si>
    <t>339 00 009</t>
  </si>
  <si>
    <t>Hinz</t>
  </si>
  <si>
    <t>Benning</t>
  </si>
  <si>
    <t>Heinz-Gerd</t>
  </si>
  <si>
    <t>Ralph-Rainer</t>
  </si>
  <si>
    <t>Axt</t>
  </si>
  <si>
    <t>338 00 025</t>
  </si>
  <si>
    <t>Schifferstadt, St.</t>
  </si>
  <si>
    <t>Obermann</t>
  </si>
  <si>
    <t>Poss</t>
  </si>
  <si>
    <t>Bereswill</t>
  </si>
  <si>
    <t>231 00 502</t>
  </si>
  <si>
    <t>339 00 030</t>
  </si>
  <si>
    <t>Ingelheim am Rhein</t>
  </si>
  <si>
    <t>Die VG Heidesheim wurde zum 01.07.2019 in die Stadt Ingelheim eingegliedert</t>
  </si>
  <si>
    <t>Bingen am Rhein</t>
  </si>
  <si>
    <t>Mayen</t>
  </si>
  <si>
    <t>Meid</t>
  </si>
  <si>
    <t xml:space="preserve">Wolfgang Erich </t>
  </si>
  <si>
    <t>Wolfgang Erich</t>
  </si>
  <si>
    <t>Karduck</t>
  </si>
  <si>
    <t>Sandra</t>
  </si>
  <si>
    <t>Bendorf</t>
  </si>
  <si>
    <t>Schoblocher</t>
  </si>
  <si>
    <t>Boppard</t>
  </si>
  <si>
    <t>Haseneier</t>
  </si>
  <si>
    <t>Jörg Rudolf</t>
  </si>
  <si>
    <t>Neuser</t>
  </si>
  <si>
    <t>PL</t>
  </si>
  <si>
    <t>Freiherr von Freytag Loringhoven</t>
  </si>
  <si>
    <t>Philipp</t>
  </si>
  <si>
    <t>Lahnstein</t>
  </si>
  <si>
    <t>Siefert</t>
  </si>
  <si>
    <t>Lennart</t>
  </si>
  <si>
    <t>Dr. Will</t>
  </si>
  <si>
    <t>Becher</t>
  </si>
  <si>
    <t>Thom</t>
  </si>
  <si>
    <t>Reber</t>
  </si>
  <si>
    <t>Born</t>
  </si>
  <si>
    <t>Alzey</t>
  </si>
  <si>
    <t>Letz</t>
  </si>
  <si>
    <t>Emanuel</t>
  </si>
  <si>
    <t>Dr.Kaster-Meurer</t>
  </si>
  <si>
    <t>Drees</t>
  </si>
  <si>
    <t>Reichek</t>
  </si>
  <si>
    <t>Idar-Oberstein</t>
  </si>
  <si>
    <t>Dames</t>
  </si>
  <si>
    <t>Peitz</t>
  </si>
  <si>
    <t>Leva</t>
  </si>
  <si>
    <t>Weinacht</t>
  </si>
  <si>
    <t>Elias</t>
  </si>
  <si>
    <t>Lenz</t>
  </si>
  <si>
    <t>Bauernschmitt</t>
  </si>
  <si>
    <t>Natalie</t>
  </si>
  <si>
    <t>Wörth am Rhein</t>
  </si>
  <si>
    <t>FWG Bienwald</t>
  </si>
  <si>
    <t>Weiß</t>
  </si>
  <si>
    <t>Besiri</t>
  </si>
  <si>
    <t>Arianit</t>
  </si>
  <si>
    <t>Thees</t>
  </si>
  <si>
    <t>Neuwied, Stadt</t>
  </si>
  <si>
    <t>Lefkowitz</t>
  </si>
  <si>
    <t>Lunar</t>
  </si>
  <si>
    <t>Wittlich, Stadt</t>
  </si>
  <si>
    <t>Maloku</t>
  </si>
  <si>
    <t>Fatjpn</t>
  </si>
  <si>
    <t>Germersheim. Stadt</t>
  </si>
  <si>
    <t>Sinzig, Stadt</t>
  </si>
  <si>
    <t>Albrecht</t>
  </si>
  <si>
    <t>Bitburg, Stadt</t>
  </si>
  <si>
    <t>Kesse</t>
  </si>
  <si>
    <t>Carina</t>
  </si>
  <si>
    <t>Grünstadt, Stadt</t>
  </si>
  <si>
    <t>Scarmato</t>
  </si>
  <si>
    <t>Mimmo</t>
  </si>
  <si>
    <t>Spies</t>
  </si>
  <si>
    <t>Wahl der Oberbürgermeister kreisfreier Städte</t>
  </si>
  <si>
    <t>Geschlecht
m/w</t>
  </si>
  <si>
    <t xml:space="preserve">Koblenz, St. </t>
  </si>
  <si>
    <t>Dr. Schulte-Wissermann, Eberhard</t>
  </si>
  <si>
    <t>Knüpper, Peter</t>
  </si>
  <si>
    <t>Doetsch, Brigitte</t>
  </si>
  <si>
    <t xml:space="preserve">Pirmasens, St. </t>
  </si>
  <si>
    <t>Dr. Schelp, Robert</t>
  </si>
  <si>
    <t>Schiel, Peter</t>
  </si>
  <si>
    <t>Diehl, Uwe</t>
  </si>
  <si>
    <t>Schulze, Hermann</t>
  </si>
  <si>
    <t xml:space="preserve">Speyer, St. </t>
  </si>
  <si>
    <t>Schineller, Werner</t>
  </si>
  <si>
    <t>Weis, Rolf S.</t>
  </si>
  <si>
    <t>Dr. Böhm, Wolf</t>
  </si>
  <si>
    <t xml:space="preserve">Mainz, St. </t>
  </si>
  <si>
    <t>Beutel, Jens</t>
  </si>
  <si>
    <t>Schüler, Norbert</t>
  </si>
  <si>
    <t>Dr. von Berlepsch, Hans-Jörg</t>
  </si>
  <si>
    <t>Stenner, Bernhard</t>
  </si>
  <si>
    <t>Benning, Anna Maria</t>
  </si>
  <si>
    <t>Dr. Petereit, Wolfgang</t>
  </si>
  <si>
    <t xml:space="preserve">Worms, St. </t>
  </si>
  <si>
    <t>Fischer, Gernot</t>
  </si>
  <si>
    <t>Dr. Schmelas, Mathias</t>
  </si>
  <si>
    <t>Sauerborn, Ludger</t>
  </si>
  <si>
    <t xml:space="preserve">Trier, St. </t>
  </si>
  <si>
    <t>Schröer, Helmut</t>
  </si>
  <si>
    <t>Amelung, Barbara</t>
  </si>
  <si>
    <t>Marz, Reiner</t>
  </si>
  <si>
    <t>Pirmasens, St.</t>
  </si>
  <si>
    <t>Krekeler, Josef</t>
  </si>
  <si>
    <t>Stretz, Norbert</t>
  </si>
  <si>
    <t>Tatge, Willi</t>
  </si>
  <si>
    <t>Goldmann, Kurt Ekkehard</t>
  </si>
  <si>
    <t>Kaiserslautern, St.</t>
  </si>
  <si>
    <t>Deubig, Bernhard Josef</t>
  </si>
  <si>
    <t>Piontek, Gerhard</t>
  </si>
  <si>
    <t>Dr. Koch, Ernst-Christian</t>
  </si>
  <si>
    <t>Einzelbew.</t>
  </si>
  <si>
    <t>Heil, Roland</t>
  </si>
  <si>
    <t>Frankenthal (Pfalz), St.</t>
  </si>
  <si>
    <t>Wieder, Theo</t>
  </si>
  <si>
    <t>Buchloh, Hermann</t>
  </si>
  <si>
    <t>Dr. Bruder, Gerhard</t>
  </si>
  <si>
    <t>Herstein, Hans</t>
  </si>
  <si>
    <t>Zweibrücken, St.</t>
  </si>
  <si>
    <t>Dr. Lambert, Jürgen</t>
  </si>
  <si>
    <t>Dr. Ohler, Wolfgang</t>
  </si>
  <si>
    <t>Klinnert, Knut</t>
  </si>
  <si>
    <t>Schwebius, David</t>
  </si>
  <si>
    <t>Dr. Konrad, Alfred</t>
  </si>
  <si>
    <t>Schanne-Raab, Gertrud</t>
  </si>
  <si>
    <t>Ludwigshafen am Rhein, St.</t>
  </si>
  <si>
    <t>Dr. Lohse, Eva</t>
  </si>
  <si>
    <t>Gaißmayer, Ulrich</t>
  </si>
  <si>
    <t>Beiner, Claus</t>
  </si>
  <si>
    <t>Reibel, Michael</t>
  </si>
  <si>
    <t>Wadle-Rohe, Bernhard</t>
  </si>
  <si>
    <t>Neustadt a. d. Weinstraße, St.</t>
  </si>
  <si>
    <t>Löffler, Hans Georg</t>
  </si>
  <si>
    <t>Dr. jur. Weiler, Horst Jürgen</t>
  </si>
  <si>
    <t>FWG Neustadt</t>
  </si>
  <si>
    <t>Röther, Regina</t>
  </si>
  <si>
    <t>Landau in der Pfalz, St.</t>
  </si>
  <si>
    <t>Dr. Wolff, Christof</t>
  </si>
  <si>
    <t>Schlimmer, Hans-Dieter</t>
  </si>
  <si>
    <t>Dr. Wissing, Volker</t>
  </si>
  <si>
    <t>Dr. Gerner, Yvette</t>
  </si>
  <si>
    <t>Hörter, Michael</t>
  </si>
  <si>
    <t>Henchel, Paul</t>
  </si>
  <si>
    <t>Dr. Matheis, Bernhard</t>
  </si>
  <si>
    <t>Frey, Edwin</t>
  </si>
  <si>
    <t>Gohrke, Thomas</t>
  </si>
  <si>
    <t>Kissel, Michael</t>
  </si>
  <si>
    <t>Dr. Schmelas, Matthias</t>
  </si>
  <si>
    <t>Dr. Maier, Oliver</t>
  </si>
  <si>
    <t>Egli, Herta</t>
  </si>
  <si>
    <t>Hacker, Olaf Rainer</t>
  </si>
  <si>
    <t>Smolczynski, Sascha</t>
  </si>
  <si>
    <t>Prof. Dr. Reichling, Helmut</t>
  </si>
  <si>
    <t>Heller, Heinz</t>
  </si>
  <si>
    <t>Franzen, Rolf</t>
  </si>
  <si>
    <t>Weber, Manfred</t>
  </si>
  <si>
    <t>Krawietz, Peter</t>
  </si>
  <si>
    <t>Beck, Günter</t>
  </si>
  <si>
    <t>Zeitzmann, Heinz-Jörg</t>
  </si>
  <si>
    <t>Jensen, Klaus</t>
  </si>
  <si>
    <t>Holkenbrink, Ulrich</t>
  </si>
  <si>
    <t>312 00 000</t>
  </si>
  <si>
    <t>Dr. Weichel, Klaus</t>
  </si>
  <si>
    <t>Hahn, Peter</t>
  </si>
  <si>
    <t>Dr. Gruchot, Christoph</t>
  </si>
  <si>
    <t>Jaegers, Bernd</t>
  </si>
  <si>
    <t>Udo, Lichtenthäler</t>
  </si>
  <si>
    <t>Volkhardt, Hans</t>
  </si>
  <si>
    <t>Dr. Migl, Gertraud Maria</t>
  </si>
  <si>
    <t>Dr. Schürholt, Kai</t>
  </si>
  <si>
    <t>Schlösser, Maria Helene</t>
  </si>
  <si>
    <t>van Vliet, Wolfgang</t>
  </si>
  <si>
    <t>Thümmel, Udo</t>
  </si>
  <si>
    <t>Wadle-Rohe</t>
  </si>
  <si>
    <t>SPD, GRÜNE, FDP</t>
  </si>
  <si>
    <t>Hornbach, Barbara</t>
  </si>
  <si>
    <t>Brunner</t>
  </si>
  <si>
    <t>Brunner, Jürgen</t>
  </si>
  <si>
    <t>111 00 000</t>
  </si>
  <si>
    <t>Koblenz, St.</t>
  </si>
  <si>
    <t>Hofmann-Göttig</t>
  </si>
  <si>
    <t>Dr. Hofmann-Göttig, Joachim</t>
  </si>
  <si>
    <t>Eger, Hansjörg</t>
  </si>
  <si>
    <t>Dr. Wintterle, Markus</t>
  </si>
  <si>
    <t>Kern, Roland</t>
  </si>
  <si>
    <t>Jaberg, Johannes</t>
  </si>
  <si>
    <t>Kloos , Stefan</t>
  </si>
  <si>
    <t>Hochreiter</t>
  </si>
  <si>
    <t>Hochreiter, Norbert</t>
  </si>
  <si>
    <t>Hinkel, Heinz</t>
  </si>
  <si>
    <t>Walter, Markus</t>
  </si>
  <si>
    <t>Worms, St.</t>
  </si>
  <si>
    <t>Dr. Karlin, Klaus</t>
  </si>
  <si>
    <t>Strupp, Rudolf</t>
  </si>
  <si>
    <t>Mahla, Michael</t>
  </si>
  <si>
    <t>Knopf, Sebastian</t>
  </si>
  <si>
    <t>Pirmann, Kurt</t>
  </si>
  <si>
    <t>Reichling</t>
  </si>
  <si>
    <t>Dr. Reichling, Helmut</t>
  </si>
  <si>
    <t>Cleemann, Evelyne</t>
  </si>
  <si>
    <t>Drumm, Robert</t>
  </si>
  <si>
    <t>Mainz, St.</t>
  </si>
  <si>
    <t>Ebling, Michael</t>
  </si>
  <si>
    <t>Augustin, Lukas</t>
  </si>
  <si>
    <t>ÖDP/FW</t>
  </si>
  <si>
    <t>Dr. Moseler, Claudius</t>
  </si>
  <si>
    <t>Heppner, Matthias</t>
  </si>
  <si>
    <t>Bohland</t>
  </si>
  <si>
    <t>Bohland, Klaus</t>
  </si>
  <si>
    <t>Pro Mainz</t>
  </si>
  <si>
    <t>Stumpf, Heinz-Werner</t>
  </si>
  <si>
    <t>Riemann</t>
  </si>
  <si>
    <t>Dr. Riemann, Rainer</t>
  </si>
  <si>
    <t>Trier, St.</t>
  </si>
  <si>
    <t>Leibe, Wolfram</t>
  </si>
  <si>
    <t>Zock, Hiltrud</t>
  </si>
  <si>
    <t>Dr. Konrad, Fred</t>
  </si>
  <si>
    <t>Welsch, Nico</t>
  </si>
  <si>
    <t>Bertram, Achim Oliver</t>
  </si>
  <si>
    <t>Hebich, Martin</t>
  </si>
  <si>
    <t>Schwarz, Andreas</t>
  </si>
  <si>
    <t>Maring</t>
  </si>
  <si>
    <t>Maring, Jürgen</t>
  </si>
  <si>
    <t>Hirsch, Thomas</t>
  </si>
  <si>
    <t>Dr. Ingenthron, Maximilian</t>
  </si>
  <si>
    <t>Hartmann, Lukas</t>
  </si>
  <si>
    <t>Dr. Migl</t>
  </si>
  <si>
    <t>Dr. Migl, Gertraud</t>
  </si>
  <si>
    <t>Kassner, Manfred</t>
  </si>
  <si>
    <t>Langner</t>
  </si>
  <si>
    <t>Langner, David</t>
  </si>
  <si>
    <t>Flöck</t>
  </si>
  <si>
    <t>Flöck, Bert</t>
  </si>
  <si>
    <t>Ackermann, Hans-Peter</t>
  </si>
  <si>
    <t>Schupp, Torsten Stefan</t>
  </si>
  <si>
    <t>314 00 000</t>
  </si>
  <si>
    <t>Steinruck, Jutta</t>
  </si>
  <si>
    <t>Uebel, Thorsten</t>
  </si>
  <si>
    <t>Portisch</t>
  </si>
  <si>
    <t>Portisch, Thorsten</t>
  </si>
  <si>
    <t>Schmitz, Dirk</t>
  </si>
  <si>
    <t>316 00 000</t>
  </si>
  <si>
    <t>Neustadt an der Weinstraße, St.</t>
  </si>
  <si>
    <t>Weigel, Marc</t>
  </si>
  <si>
    <t>Röthlingshöfer, Ingo</t>
  </si>
  <si>
    <t>Bender, Pascal</t>
  </si>
  <si>
    <t>318 00 000</t>
  </si>
  <si>
    <t>Speyer, St.</t>
  </si>
  <si>
    <t>Seiler, Stefanie</t>
  </si>
  <si>
    <t>Münch-Weinmann, Irmgard</t>
  </si>
  <si>
    <t>Thümmel</t>
  </si>
  <si>
    <t>320 00 000</t>
  </si>
  <si>
    <t>Wosnitza, Marold</t>
  </si>
  <si>
    <t>Pirmann, Kurz</t>
  </si>
  <si>
    <t>Gauf, Christian</t>
  </si>
  <si>
    <t>Schmidt, Klaus</t>
  </si>
  <si>
    <t>Eren</t>
  </si>
  <si>
    <t>Eren, Atilla</t>
  </si>
  <si>
    <t>Kewel</t>
  </si>
  <si>
    <t>Kewel, Thomas</t>
  </si>
  <si>
    <t>Wente</t>
  </si>
  <si>
    <t>Wente, Andreas</t>
  </si>
  <si>
    <t>317 00 000</t>
  </si>
  <si>
    <t>Zwick, Markus Christian</t>
  </si>
  <si>
    <t>Tilly, Sebastian Felix</t>
  </si>
  <si>
    <t>319 00 000</t>
  </si>
  <si>
    <t>Kessel, Adolf Wilhelm Jakob</t>
  </si>
  <si>
    <t>Grünewald, Richard</t>
  </si>
  <si>
    <t>Artelt, Ricarda</t>
  </si>
  <si>
    <t>Gräff, Georg</t>
  </si>
  <si>
    <t>Englert</t>
  </si>
  <si>
    <t>Englert, Peter</t>
  </si>
  <si>
    <t>Haase</t>
  </si>
  <si>
    <t>Haase, Nino</t>
  </si>
  <si>
    <t>Rößner, Tabea</t>
  </si>
  <si>
    <t>Malcherek, Martin</t>
  </si>
  <si>
    <t>Ehrhardt, Martin</t>
  </si>
  <si>
    <t>Landau, St.</t>
  </si>
  <si>
    <t>Dr. Geißler, Dominik</t>
  </si>
  <si>
    <t>Kietzmann, Katerina</t>
  </si>
  <si>
    <t>Uhl, Till Merlin</t>
  </si>
  <si>
    <t>Leibe, Wolfgang</t>
  </si>
  <si>
    <t>Molitor, Michael</t>
  </si>
  <si>
    <t>Ganske, Vera</t>
  </si>
  <si>
    <t>Kimmel, Beate Sybille</t>
  </si>
  <si>
    <t>Pfeiffer, Anja</t>
  </si>
  <si>
    <t>Wiesemann, Tobias</t>
  </si>
  <si>
    <t>Karanikas</t>
  </si>
  <si>
    <t>Karanikas, Evangelos</t>
  </si>
  <si>
    <t>Kürwitz</t>
  </si>
  <si>
    <t>Kürwitz, Thomas Oliver</t>
  </si>
  <si>
    <t>Welsh-Schied</t>
  </si>
  <si>
    <t>Katharina Charlotte</t>
  </si>
  <si>
    <t>dieBasis</t>
  </si>
  <si>
    <t>Rocholl, Rainer</t>
  </si>
  <si>
    <t>Ebling. Michael</t>
  </si>
  <si>
    <t>Viering, Christian</t>
  </si>
  <si>
    <t>von Jungenfeld, Mareike</t>
  </si>
  <si>
    <t>Dr. Engelmann, Marc</t>
  </si>
  <si>
    <t>Matz, Manuela</t>
  </si>
  <si>
    <t>Haker, Lukas</t>
  </si>
  <si>
    <t>Frankenthal, St.</t>
  </si>
  <si>
    <t>Dr. Meyer, Nicolas</t>
  </si>
  <si>
    <t>Höppner, Aylin</t>
  </si>
  <si>
    <t>Postlauck, Immanuel</t>
  </si>
  <si>
    <t>Knöppel, Bernd</t>
  </si>
  <si>
    <t>Hebich</t>
  </si>
  <si>
    <t>Neustadt a.d. Weinstraße</t>
  </si>
  <si>
    <t>Karbach</t>
  </si>
  <si>
    <t>Karbach, Steffi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</si>
</sst>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\ %"/>
    <numFmt numFmtId="166" formatCode="[$-F800]dddd\,\ mmmm\ dd\,\ yyyy"/>
    <numFmt numFmtId="167" formatCode="000\ 00"/>
    <numFmt numFmtId="168" formatCode="000\ 00\ 000"/>
  </numFmts>
  <fonts count="20" x14ac:knownFonts="1">
    <font>
      <sz val="10"/>
      <name val="Arial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b/>
      <sz val="9"/>
      <color indexed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b/>
      <vertAlign val="superscript"/>
      <sz val="9"/>
      <name val="Arial"/>
      <family val="2"/>
    </font>
    <font>
      <sz val="7"/>
      <name val="Arial"/>
      <family val="2"/>
    </font>
    <font>
      <b/>
      <sz val="9"/>
      <color rgb="FF00B0F0"/>
      <name val="Arial"/>
      <family val="2"/>
    </font>
    <font>
      <b/>
      <sz val="9"/>
      <color indexed="12"/>
      <name val="Arial"/>
      <family val="2"/>
    </font>
    <font>
      <sz val="9"/>
      <color rgb="FF00B0F0"/>
      <name val="Arial"/>
      <family val="2"/>
    </font>
    <font>
      <u/>
      <sz val="9"/>
      <name val="Arial"/>
      <family val="2"/>
    </font>
    <font>
      <sz val="7"/>
      <name val="Arial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9">
    <xf numFmtId="0" fontId="0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13" fillId="0" borderId="0"/>
    <xf numFmtId="0" fontId="18" fillId="0" borderId="0"/>
    <xf numFmtId="0" fontId="3" fillId="0" borderId="0"/>
    <xf numFmtId="0" fontId="18" fillId="0" borderId="0"/>
    <xf numFmtId="0" fontId="3" fillId="0" borderId="0"/>
  </cellStyleXfs>
  <cellXfs count="302">
    <xf numFmtId="0" fontId="0" fillId="0" borderId="0" xfId="0"/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0" fillId="0" borderId="0" xfId="0" applyBorder="1"/>
    <xf numFmtId="166" fontId="4" fillId="0" borderId="0" xfId="0" applyNumberFormat="1" applyFont="1" applyBorder="1" applyAlignment="1"/>
    <xf numFmtId="14" fontId="4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4" fontId="4" fillId="0" borderId="0" xfId="0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14" fontId="6" fillId="0" borderId="0" xfId="0" applyNumberFormat="1" applyFont="1" applyFill="1" applyBorder="1" applyAlignment="1">
      <alignment horizontal="center"/>
    </xf>
    <xf numFmtId="165" fontId="4" fillId="0" borderId="0" xfId="0" applyNumberFormat="1" applyFont="1" applyBorder="1" applyAlignment="1">
      <alignment horizontal="right"/>
    </xf>
    <xf numFmtId="2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2" fontId="4" fillId="0" borderId="0" xfId="0" applyNumberFormat="1" applyFont="1" applyBorder="1"/>
    <xf numFmtId="2" fontId="4" fillId="0" borderId="0" xfId="0" applyNumberFormat="1" applyFont="1" applyFill="1" applyBorder="1" applyAlignment="1">
      <alignment horizontal="center"/>
    </xf>
    <xf numFmtId="0" fontId="4" fillId="0" borderId="0" xfId="0" applyNumberFormat="1" applyFont="1" applyBorder="1" applyAlignment="1">
      <alignment horizontal="right"/>
    </xf>
    <xf numFmtId="0" fontId="4" fillId="0" borderId="0" xfId="0" applyNumberFormat="1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14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4" fontId="5" fillId="0" borderId="0" xfId="0" applyNumberFormat="1" applyFont="1" applyFill="1" applyBorder="1" applyAlignment="1">
      <alignment horizontal="left"/>
    </xf>
    <xf numFmtId="0" fontId="5" fillId="0" borderId="0" xfId="0" applyFont="1" applyBorder="1"/>
    <xf numFmtId="2" fontId="5" fillId="0" borderId="0" xfId="0" applyNumberFormat="1" applyFont="1" applyBorder="1" applyAlignment="1">
      <alignment horizontal="right"/>
    </xf>
    <xf numFmtId="164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14" fontId="8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9" fillId="0" borderId="0" xfId="0" applyFont="1" applyBorder="1"/>
    <xf numFmtId="0" fontId="5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4" fillId="0" borderId="0" xfId="1" applyFont="1" applyBorder="1"/>
    <xf numFmtId="2" fontId="4" fillId="0" borderId="0" xfId="1" applyNumberFormat="1" applyFont="1" applyBorder="1" applyAlignment="1">
      <alignment horizontal="right"/>
    </xf>
    <xf numFmtId="14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164" fontId="5" fillId="0" borderId="0" xfId="0" applyNumberFormat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0" borderId="0" xfId="1" applyFont="1" applyBorder="1"/>
    <xf numFmtId="2" fontId="5" fillId="0" borderId="0" xfId="1" applyNumberFormat="1" applyFont="1" applyBorder="1" applyAlignment="1">
      <alignment horizontal="right"/>
    </xf>
    <xf numFmtId="0" fontId="3" fillId="0" borderId="0" xfId="0" applyFont="1" applyBorder="1"/>
    <xf numFmtId="14" fontId="5" fillId="2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Continuous"/>
    </xf>
    <xf numFmtId="14" fontId="5" fillId="0" borderId="0" xfId="0" applyNumberFormat="1" applyFont="1" applyBorder="1" applyAlignment="1">
      <alignment horizontal="left"/>
    </xf>
    <xf numFmtId="0" fontId="3" fillId="0" borderId="0" xfId="0" applyFont="1" applyFill="1" applyBorder="1"/>
    <xf numFmtId="14" fontId="5" fillId="0" borderId="0" xfId="0" applyNumberFormat="1" applyFont="1" applyBorder="1"/>
    <xf numFmtId="0" fontId="3" fillId="0" borderId="0" xfId="0" applyFont="1" applyBorder="1" applyAlignment="1">
      <alignment horizontal="right"/>
    </xf>
    <xf numFmtId="0" fontId="0" fillId="0" borderId="0" xfId="0" applyFont="1" applyFill="1" applyBorder="1"/>
    <xf numFmtId="0" fontId="5" fillId="0" borderId="0" xfId="0" applyFont="1" applyFill="1" applyBorder="1"/>
    <xf numFmtId="2" fontId="3" fillId="0" borderId="0" xfId="0" applyNumberFormat="1" applyFont="1" applyBorder="1" applyAlignment="1">
      <alignment horizontal="right"/>
    </xf>
    <xf numFmtId="2" fontId="5" fillId="0" borderId="0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164" fontId="4" fillId="0" borderId="0" xfId="0" applyNumberFormat="1" applyFont="1" applyBorder="1" applyAlignment="1">
      <alignment horizontal="center"/>
    </xf>
    <xf numFmtId="0" fontId="10" fillId="0" borderId="0" xfId="0" applyFont="1" applyAlignment="1">
      <alignment horizontal="centerContinuous"/>
    </xf>
    <xf numFmtId="164" fontId="10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4" fillId="0" borderId="0" xfId="0" applyFont="1"/>
    <xf numFmtId="0" fontId="2" fillId="0" borderId="0" xfId="0" applyFont="1"/>
    <xf numFmtId="14" fontId="11" fillId="0" borderId="0" xfId="0" applyNumberFormat="1" applyFont="1" applyAlignment="1" applyProtection="1">
      <alignment horizontal="center"/>
      <protection locked="0"/>
    </xf>
    <xf numFmtId="0" fontId="3" fillId="0" borderId="0" xfId="0" applyFont="1"/>
    <xf numFmtId="14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3" applyFont="1"/>
    <xf numFmtId="0" fontId="5" fillId="0" borderId="0" xfId="4" applyFont="1"/>
    <xf numFmtId="2" fontId="5" fillId="0" borderId="0" xfId="3" applyNumberFormat="1" applyFont="1" applyAlignment="1">
      <alignment horizontal="right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 applyProtection="1">
      <alignment horizontal="center"/>
      <protection locked="0"/>
    </xf>
    <xf numFmtId="14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4" fillId="0" borderId="0" xfId="3" applyFont="1"/>
    <xf numFmtId="0" fontId="4" fillId="0" borderId="0" xfId="4" applyFont="1"/>
    <xf numFmtId="2" fontId="4" fillId="0" borderId="0" xfId="3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  <xf numFmtId="14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/>
    </xf>
    <xf numFmtId="164" fontId="5" fillId="0" borderId="0" xfId="3" applyNumberFormat="1" applyFont="1" applyAlignment="1">
      <alignment horizontal="right"/>
    </xf>
    <xf numFmtId="14" fontId="8" fillId="0" borderId="0" xfId="0" applyNumberFormat="1" applyFont="1" applyAlignment="1" applyProtection="1">
      <alignment horizontal="center"/>
      <protection locked="0"/>
    </xf>
    <xf numFmtId="164" fontId="4" fillId="0" borderId="0" xfId="3" applyNumberFormat="1" applyFont="1" applyAlignment="1">
      <alignment horizontal="right"/>
    </xf>
    <xf numFmtId="14" fontId="6" fillId="0" borderId="0" xfId="0" applyNumberFormat="1" applyFont="1" applyAlignment="1" applyProtection="1">
      <alignment horizontal="center"/>
      <protection locked="0"/>
    </xf>
    <xf numFmtId="0" fontId="5" fillId="0" borderId="0" xfId="5" applyFont="1"/>
    <xf numFmtId="2" fontId="5" fillId="0" borderId="0" xfId="5" applyNumberFormat="1" applyFont="1" applyAlignment="1">
      <alignment horizontal="right"/>
    </xf>
    <xf numFmtId="0" fontId="4" fillId="0" borderId="0" xfId="0" applyFont="1" applyAlignment="1">
      <alignment wrapText="1"/>
    </xf>
    <xf numFmtId="0" fontId="5" fillId="0" borderId="0" xfId="6" applyFont="1"/>
    <xf numFmtId="2" fontId="4" fillId="0" borderId="0" xfId="3" applyNumberFormat="1" applyFont="1"/>
    <xf numFmtId="0" fontId="4" fillId="0" borderId="0" xfId="5" applyFont="1"/>
    <xf numFmtId="2" fontId="4" fillId="0" borderId="0" xfId="5" applyNumberFormat="1" applyFont="1" applyAlignment="1">
      <alignment horizontal="right"/>
    </xf>
    <xf numFmtId="164" fontId="5" fillId="0" borderId="0" xfId="5" applyNumberFormat="1" applyFont="1" applyAlignment="1">
      <alignment horizontal="right"/>
    </xf>
    <xf numFmtId="164" fontId="4" fillId="0" borderId="0" xfId="5" applyNumberFormat="1" applyFont="1" applyAlignment="1">
      <alignment horizontal="right"/>
    </xf>
    <xf numFmtId="0" fontId="9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/>
    <xf numFmtId="14" fontId="5" fillId="0" borderId="0" xfId="2" applyNumberFormat="1" applyFont="1" applyAlignment="1">
      <alignment horizontal="center"/>
    </xf>
    <xf numFmtId="167" fontId="5" fillId="0" borderId="0" xfId="2" applyNumberFormat="1" applyFont="1" applyAlignment="1">
      <alignment horizontal="center"/>
    </xf>
    <xf numFmtId="0" fontId="5" fillId="0" borderId="0" xfId="2" applyFont="1"/>
    <xf numFmtId="2" fontId="5" fillId="0" borderId="0" xfId="0" applyNumberFormat="1" applyFont="1" applyAlignment="1">
      <alignment horizontal="right"/>
    </xf>
    <xf numFmtId="164" fontId="5" fillId="0" borderId="0" xfId="2" applyNumberFormat="1" applyFont="1" applyAlignment="1">
      <alignment horizontal="center"/>
    </xf>
    <xf numFmtId="14" fontId="5" fillId="0" borderId="0" xfId="2" applyNumberFormat="1" applyFont="1" applyAlignment="1" applyProtection="1">
      <alignment horizontal="center"/>
      <protection locked="0"/>
    </xf>
    <xf numFmtId="0" fontId="5" fillId="0" borderId="0" xfId="2" applyFont="1" applyAlignment="1">
      <alignment horizontal="center"/>
    </xf>
    <xf numFmtId="0" fontId="4" fillId="0" borderId="0" xfId="2" applyFont="1"/>
    <xf numFmtId="0" fontId="3" fillId="0" borderId="0" xfId="2"/>
    <xf numFmtId="14" fontId="4" fillId="0" borderId="0" xfId="2" applyNumberFormat="1" applyFont="1" applyAlignment="1">
      <alignment horizontal="center"/>
    </xf>
    <xf numFmtId="167" fontId="4" fillId="0" borderId="0" xfId="2" applyNumberFormat="1" applyFont="1" applyAlignment="1">
      <alignment horizontal="center"/>
    </xf>
    <xf numFmtId="2" fontId="4" fillId="0" borderId="0" xfId="0" applyNumberFormat="1" applyFont="1" applyAlignment="1">
      <alignment horizontal="right"/>
    </xf>
    <xf numFmtId="164" fontId="4" fillId="0" borderId="0" xfId="2" applyNumberFormat="1" applyFont="1" applyAlignment="1">
      <alignment horizontal="center"/>
    </xf>
    <xf numFmtId="14" fontId="4" fillId="0" borderId="0" xfId="2" applyNumberFormat="1" applyFont="1" applyAlignment="1" applyProtection="1">
      <alignment horizontal="center"/>
      <protection locked="0"/>
    </xf>
    <xf numFmtId="0" fontId="4" fillId="0" borderId="0" xfId="2" applyFont="1" applyAlignment="1">
      <alignment horizontal="center"/>
    </xf>
    <xf numFmtId="0" fontId="9" fillId="0" borderId="0" xfId="2" applyFont="1"/>
    <xf numFmtId="2" fontId="4" fillId="0" borderId="0" xfId="0" applyNumberFormat="1" applyFont="1"/>
    <xf numFmtId="164" fontId="5" fillId="0" borderId="0" xfId="0" applyNumberFormat="1" applyFont="1" applyAlignment="1">
      <alignment horizontal="right"/>
    </xf>
    <xf numFmtId="14" fontId="11" fillId="0" borderId="0" xfId="2" applyNumberFormat="1" applyFont="1" applyAlignment="1" applyProtection="1">
      <alignment horizontal="center"/>
      <protection locked="0"/>
    </xf>
    <xf numFmtId="164" fontId="4" fillId="0" borderId="0" xfId="0" applyNumberFormat="1" applyFont="1" applyAlignment="1">
      <alignment horizontal="right"/>
    </xf>
    <xf numFmtId="0" fontId="4" fillId="0" borderId="0" xfId="2" applyFont="1" applyAlignment="1">
      <alignment horizontal="left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6" applyNumberFormat="1" applyFont="1" applyAlignment="1">
      <alignment horizontal="right"/>
    </xf>
    <xf numFmtId="0" fontId="4" fillId="0" borderId="0" xfId="6" applyFont="1"/>
    <xf numFmtId="2" fontId="4" fillId="0" borderId="0" xfId="6" applyNumberFormat="1" applyFont="1" applyAlignment="1">
      <alignment horizontal="right"/>
    </xf>
    <xf numFmtId="2" fontId="4" fillId="0" borderId="0" xfId="6" applyNumberFormat="1" applyFont="1"/>
    <xf numFmtId="164" fontId="5" fillId="0" borderId="0" xfId="6" applyNumberFormat="1" applyFont="1" applyAlignment="1">
      <alignment horizontal="right"/>
    </xf>
    <xf numFmtId="164" fontId="4" fillId="0" borderId="0" xfId="6" applyNumberFormat="1" applyFont="1" applyAlignment="1">
      <alignment horizontal="right"/>
    </xf>
    <xf numFmtId="14" fontId="14" fillId="0" borderId="0" xfId="2" applyNumberFormat="1" applyFont="1" applyAlignment="1" applyProtection="1">
      <alignment horizontal="center"/>
      <protection locked="0"/>
    </xf>
    <xf numFmtId="14" fontId="5" fillId="0" borderId="0" xfId="0" applyNumberFormat="1" applyFont="1"/>
    <xf numFmtId="0" fontId="15" fillId="0" borderId="0" xfId="2" applyFont="1"/>
    <xf numFmtId="14" fontId="15" fillId="0" borderId="0" xfId="0" applyNumberFormat="1" applyFont="1"/>
    <xf numFmtId="0" fontId="5" fillId="0" borderId="0" xfId="7" applyFont="1"/>
    <xf numFmtId="0" fontId="5" fillId="0" borderId="0" xfId="8" applyFont="1"/>
    <xf numFmtId="2" fontId="5" fillId="0" borderId="0" xfId="8" applyNumberFormat="1" applyFont="1" applyAlignment="1">
      <alignment horizontal="right"/>
    </xf>
    <xf numFmtId="0" fontId="4" fillId="0" borderId="0" xfId="8" applyFont="1"/>
    <xf numFmtId="2" fontId="4" fillId="0" borderId="0" xfId="8" applyNumberFormat="1" applyFont="1" applyAlignment="1">
      <alignment horizontal="right"/>
    </xf>
    <xf numFmtId="164" fontId="5" fillId="0" borderId="0" xfId="8" applyNumberFormat="1" applyFont="1" applyAlignment="1">
      <alignment horizontal="right"/>
    </xf>
    <xf numFmtId="164" fontId="4" fillId="0" borderId="0" xfId="8" applyNumberFormat="1" applyFont="1" applyAlignment="1">
      <alignment horizontal="right"/>
    </xf>
    <xf numFmtId="164" fontId="4" fillId="0" borderId="0" xfId="2" applyNumberFormat="1" applyFont="1"/>
    <xf numFmtId="0" fontId="5" fillId="0" borderId="0" xfId="0" applyFont="1" applyAlignment="1">
      <alignment horizontal="left"/>
    </xf>
    <xf numFmtId="14" fontId="14" fillId="0" borderId="0" xfId="0" applyNumberFormat="1" applyFont="1" applyAlignment="1" applyProtection="1">
      <alignment horizontal="center"/>
      <protection locked="0"/>
    </xf>
    <xf numFmtId="2" fontId="5" fillId="0" borderId="0" xfId="4" applyNumberFormat="1" applyFont="1" applyAlignment="1">
      <alignment horizontal="right"/>
    </xf>
    <xf numFmtId="2" fontId="4" fillId="0" borderId="0" xfId="4" applyNumberFormat="1" applyFont="1" applyAlignment="1">
      <alignment horizontal="right"/>
    </xf>
    <xf numFmtId="164" fontId="5" fillId="0" borderId="0" xfId="4" applyNumberFormat="1" applyFont="1" applyAlignment="1">
      <alignment horizontal="right"/>
    </xf>
    <xf numFmtId="164" fontId="4" fillId="0" borderId="0" xfId="4" applyNumberFormat="1" applyFont="1" applyAlignment="1">
      <alignment horizontal="right"/>
    </xf>
    <xf numFmtId="0" fontId="5" fillId="0" borderId="0" xfId="9" applyFont="1"/>
    <xf numFmtId="2" fontId="5" fillId="0" borderId="0" xfId="9" applyNumberFormat="1" applyFont="1" applyAlignment="1">
      <alignment horizontal="right"/>
    </xf>
    <xf numFmtId="164" fontId="5" fillId="0" borderId="0" xfId="9" applyNumberFormat="1" applyFont="1" applyAlignment="1">
      <alignment horizontal="right"/>
    </xf>
    <xf numFmtId="0" fontId="4" fillId="0" borderId="0" xfId="9" applyFont="1"/>
    <xf numFmtId="2" fontId="4" fillId="0" borderId="0" xfId="9" applyNumberFormat="1" applyFont="1" applyAlignment="1">
      <alignment horizontal="right"/>
    </xf>
    <xf numFmtId="164" fontId="4" fillId="0" borderId="0" xfId="9" applyNumberFormat="1" applyFont="1" applyAlignment="1">
      <alignment horizontal="right"/>
    </xf>
    <xf numFmtId="0" fontId="5" fillId="0" borderId="0" xfId="10" applyFont="1"/>
    <xf numFmtId="2" fontId="5" fillId="0" borderId="0" xfId="10" applyNumberFormat="1" applyFont="1" applyAlignment="1">
      <alignment horizontal="right"/>
    </xf>
    <xf numFmtId="164" fontId="5" fillId="0" borderId="0" xfId="10" applyNumberFormat="1" applyFont="1" applyAlignment="1">
      <alignment horizontal="right"/>
    </xf>
    <xf numFmtId="0" fontId="4" fillId="0" borderId="0" xfId="10" applyFont="1"/>
    <xf numFmtId="2" fontId="4" fillId="0" borderId="0" xfId="10" applyNumberFormat="1" applyFont="1" applyAlignment="1">
      <alignment horizontal="right"/>
    </xf>
    <xf numFmtId="164" fontId="4" fillId="0" borderId="0" xfId="10" applyNumberFormat="1" applyFont="1" applyAlignment="1">
      <alignment horizontal="right"/>
    </xf>
    <xf numFmtId="2" fontId="4" fillId="0" borderId="0" xfId="10" applyNumberFormat="1" applyFont="1"/>
    <xf numFmtId="49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6" fillId="0" borderId="0" xfId="0" applyFont="1"/>
    <xf numFmtId="0" fontId="5" fillId="0" borderId="0" xfId="1" applyFont="1"/>
    <xf numFmtId="2" fontId="5" fillId="0" borderId="0" xfId="1" applyNumberFormat="1" applyFont="1" applyAlignment="1">
      <alignment horizontal="right"/>
    </xf>
    <xf numFmtId="0" fontId="4" fillId="0" borderId="0" xfId="1" applyFont="1"/>
    <xf numFmtId="2" fontId="4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right"/>
    </xf>
    <xf numFmtId="14" fontId="5" fillId="0" borderId="0" xfId="0" applyNumberFormat="1" applyFont="1" applyAlignment="1">
      <alignment horizontal="left"/>
    </xf>
    <xf numFmtId="14" fontId="4" fillId="0" borderId="0" xfId="0" applyNumberFormat="1" applyFont="1"/>
    <xf numFmtId="0" fontId="1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Continuous"/>
    </xf>
    <xf numFmtId="168" fontId="5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11" applyFont="1"/>
    <xf numFmtId="2" fontId="5" fillId="0" borderId="0" xfId="11" applyNumberFormat="1" applyFont="1" applyAlignment="1">
      <alignment horizontal="right"/>
    </xf>
    <xf numFmtId="0" fontId="4" fillId="0" borderId="0" xfId="11" applyFont="1"/>
    <xf numFmtId="2" fontId="4" fillId="0" borderId="0" xfId="11" applyNumberFormat="1" applyFont="1" applyAlignment="1">
      <alignment horizontal="right"/>
    </xf>
    <xf numFmtId="14" fontId="5" fillId="0" borderId="0" xfId="0" applyNumberFormat="1" applyFont="1" applyAlignment="1">
      <alignment horizontal="center" vertical="center"/>
    </xf>
    <xf numFmtId="14" fontId="8" fillId="2" borderId="0" xfId="0" applyNumberFormat="1" applyFont="1" applyFill="1" applyAlignment="1" applyProtection="1">
      <alignment horizontal="center" vertical="center"/>
      <protection locked="0"/>
    </xf>
    <xf numFmtId="2" fontId="4" fillId="0" borderId="0" xfId="0" applyNumberFormat="1" applyFont="1" applyAlignment="1">
      <alignment horizontal="center" vertical="center"/>
    </xf>
    <xf numFmtId="14" fontId="8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14" fontId="8" fillId="2" borderId="0" xfId="0" applyNumberFormat="1" applyFont="1" applyFill="1" applyAlignment="1" applyProtection="1">
      <alignment horizontal="center"/>
      <protection locked="0"/>
    </xf>
    <xf numFmtId="0" fontId="5" fillId="0" borderId="0" xfId="12" applyFont="1"/>
    <xf numFmtId="0" fontId="5" fillId="0" borderId="0" xfId="13" applyFont="1"/>
    <xf numFmtId="0" fontId="4" fillId="0" borderId="0" xfId="13" applyFont="1"/>
    <xf numFmtId="0" fontId="5" fillId="0" borderId="0" xfId="14" applyFont="1"/>
    <xf numFmtId="2" fontId="5" fillId="0" borderId="0" xfId="14" applyNumberFormat="1" applyFont="1" applyAlignment="1">
      <alignment horizontal="right"/>
    </xf>
    <xf numFmtId="0" fontId="4" fillId="0" borderId="0" xfId="14" applyFont="1"/>
    <xf numFmtId="2" fontId="4" fillId="0" borderId="0" xfId="14" applyNumberFormat="1" applyFont="1" applyAlignment="1">
      <alignment horizontal="right"/>
    </xf>
    <xf numFmtId="2" fontId="6" fillId="0" borderId="0" xfId="0" applyNumberFormat="1" applyFont="1" applyAlignment="1" applyProtection="1">
      <alignment horizontal="center"/>
      <protection locked="0"/>
    </xf>
    <xf numFmtId="0" fontId="4" fillId="0" borderId="0" xfId="1" applyFont="1" applyAlignment="1">
      <alignment vertical="top"/>
    </xf>
    <xf numFmtId="0" fontId="5" fillId="0" borderId="0" xfId="0" applyFont="1" applyAlignment="1">
      <alignment horizontal="right"/>
    </xf>
    <xf numFmtId="14" fontId="7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" fontId="5" fillId="0" borderId="0" xfId="2" applyNumberFormat="1" applyFont="1" applyAlignment="1">
      <alignment horizontal="left"/>
    </xf>
    <xf numFmtId="14" fontId="5" fillId="0" borderId="0" xfId="2" applyNumberFormat="1" applyFont="1"/>
    <xf numFmtId="2" fontId="4" fillId="0" borderId="0" xfId="2" applyNumberFormat="1" applyFont="1" applyAlignment="1">
      <alignment horizontal="left"/>
    </xf>
    <xf numFmtId="0" fontId="5" fillId="0" borderId="0" xfId="2" applyFont="1" applyAlignment="1">
      <alignment horizontal="left"/>
    </xf>
    <xf numFmtId="164" fontId="5" fillId="0" borderId="0" xfId="2" applyNumberFormat="1" applyFont="1"/>
    <xf numFmtId="14" fontId="7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164" fontId="5" fillId="0" borderId="0" xfId="0" applyNumberFormat="1" applyFont="1"/>
    <xf numFmtId="164" fontId="3" fillId="0" borderId="0" xfId="0" applyNumberFormat="1" applyFont="1"/>
    <xf numFmtId="164" fontId="7" fillId="0" borderId="0" xfId="0" applyNumberFormat="1" applyFont="1" applyAlignment="1">
      <alignment horizontal="center"/>
    </xf>
    <xf numFmtId="0" fontId="10" fillId="0" borderId="0" xfId="2" applyFont="1" applyAlignment="1">
      <alignment horizontal="centerContinuous"/>
    </xf>
    <xf numFmtId="0" fontId="10" fillId="0" borderId="0" xfId="2" applyFont="1" applyAlignment="1">
      <alignment horizontal="center"/>
    </xf>
    <xf numFmtId="164" fontId="10" fillId="0" borderId="0" xfId="2" applyNumberFormat="1" applyFont="1" applyAlignment="1">
      <alignment horizontal="centerContinuous"/>
    </xf>
    <xf numFmtId="0" fontId="2" fillId="0" borderId="0" xfId="2" applyFont="1" applyAlignment="1">
      <alignment horizontal="centerContinuous"/>
    </xf>
    <xf numFmtId="0" fontId="2" fillId="0" borderId="0" xfId="2" applyFont="1"/>
    <xf numFmtId="164" fontId="10" fillId="0" borderId="0" xfId="2" applyNumberFormat="1" applyFont="1" applyAlignment="1">
      <alignment horizontal="center"/>
    </xf>
    <xf numFmtId="168" fontId="5" fillId="0" borderId="0" xfId="2" applyNumberFormat="1" applyFont="1" applyAlignment="1">
      <alignment horizontal="center"/>
    </xf>
    <xf numFmtId="0" fontId="5" fillId="0" borderId="0" xfId="15" applyFont="1"/>
    <xf numFmtId="0" fontId="5" fillId="0" borderId="0" xfId="15" applyFont="1" applyAlignment="1">
      <alignment horizontal="center"/>
    </xf>
    <xf numFmtId="164" fontId="5" fillId="0" borderId="0" xfId="15" applyNumberFormat="1" applyFont="1" applyAlignment="1">
      <alignment horizontal="right"/>
    </xf>
    <xf numFmtId="165" fontId="5" fillId="0" borderId="0" xfId="15" applyNumberFormat="1" applyFont="1" applyAlignment="1">
      <alignment horizontal="right"/>
    </xf>
    <xf numFmtId="168" fontId="4" fillId="0" borderId="0" xfId="2" applyNumberFormat="1" applyFont="1" applyAlignment="1">
      <alignment horizontal="center"/>
    </xf>
    <xf numFmtId="0" fontId="4" fillId="0" borderId="0" xfId="15" applyFont="1"/>
    <xf numFmtId="0" fontId="4" fillId="0" borderId="0" xfId="15" applyFont="1" applyAlignment="1">
      <alignment horizontal="center"/>
    </xf>
    <xf numFmtId="164" fontId="4" fillId="0" borderId="0" xfId="15" applyNumberFormat="1" applyFont="1" applyAlignment="1">
      <alignment horizontal="right"/>
    </xf>
    <xf numFmtId="14" fontId="8" fillId="0" borderId="0" xfId="2" applyNumberFormat="1" applyFont="1" applyAlignment="1" applyProtection="1">
      <alignment horizontal="center"/>
      <protection locked="0"/>
    </xf>
    <xf numFmtId="14" fontId="6" fillId="0" borderId="0" xfId="2" applyNumberFormat="1" applyFont="1" applyAlignment="1" applyProtection="1">
      <alignment horizontal="center"/>
      <protection locked="0"/>
    </xf>
    <xf numFmtId="0" fontId="5" fillId="0" borderId="0" xfId="16" applyFont="1"/>
    <xf numFmtId="0" fontId="5" fillId="0" borderId="0" xfId="16" applyFont="1" applyAlignment="1">
      <alignment horizontal="center"/>
    </xf>
    <xf numFmtId="164" fontId="5" fillId="0" borderId="0" xfId="16" applyNumberFormat="1" applyFont="1" applyAlignment="1">
      <alignment horizontal="right"/>
    </xf>
    <xf numFmtId="0" fontId="4" fillId="0" borderId="0" xfId="16" applyFont="1"/>
    <xf numFmtId="0" fontId="4" fillId="0" borderId="0" xfId="16" applyFont="1" applyAlignment="1">
      <alignment horizontal="center"/>
    </xf>
    <xf numFmtId="164" fontId="4" fillId="0" borderId="0" xfId="16" applyNumberFormat="1" applyFont="1" applyAlignment="1">
      <alignment horizontal="right"/>
    </xf>
    <xf numFmtId="0" fontId="5" fillId="0" borderId="0" xfId="17" applyFont="1"/>
    <xf numFmtId="0" fontId="5" fillId="0" borderId="0" xfId="17" applyFont="1" applyAlignment="1">
      <alignment horizontal="center"/>
    </xf>
    <xf numFmtId="164" fontId="5" fillId="0" borderId="0" xfId="17" applyNumberFormat="1" applyFont="1" applyAlignment="1">
      <alignment horizontal="right"/>
    </xf>
    <xf numFmtId="0" fontId="4" fillId="0" borderId="0" xfId="17" applyFont="1"/>
    <xf numFmtId="0" fontId="4" fillId="0" borderId="0" xfId="17" applyFont="1" applyAlignment="1">
      <alignment horizontal="center"/>
    </xf>
    <xf numFmtId="164" fontId="4" fillId="0" borderId="0" xfId="17" applyNumberFormat="1" applyFont="1" applyAlignment="1">
      <alignment horizontal="right"/>
    </xf>
    <xf numFmtId="0" fontId="5" fillId="0" borderId="0" xfId="18" applyFont="1"/>
    <xf numFmtId="0" fontId="5" fillId="0" borderId="0" xfId="18" applyFont="1" applyAlignment="1">
      <alignment horizontal="center"/>
    </xf>
    <xf numFmtId="164" fontId="5" fillId="0" borderId="0" xfId="18" applyNumberFormat="1" applyFont="1" applyAlignment="1">
      <alignment horizontal="right"/>
    </xf>
    <xf numFmtId="0" fontId="4" fillId="0" borderId="0" xfId="18" applyFont="1"/>
    <xf numFmtId="0" fontId="4" fillId="0" borderId="0" xfId="18" applyFont="1" applyAlignment="1">
      <alignment horizontal="center"/>
    </xf>
    <xf numFmtId="164" fontId="4" fillId="0" borderId="0" xfId="18" applyNumberFormat="1" applyFont="1" applyAlignment="1">
      <alignment horizontal="right"/>
    </xf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164" fontId="5" fillId="0" borderId="0" xfId="2" applyNumberFormat="1" applyFont="1" applyAlignment="1">
      <alignment horizontal="right"/>
    </xf>
    <xf numFmtId="0" fontId="3" fillId="0" borderId="0" xfId="2" applyAlignment="1">
      <alignment horizontal="center"/>
    </xf>
    <xf numFmtId="164" fontId="3" fillId="0" borderId="0" xfId="2" applyNumberFormat="1" applyAlignment="1">
      <alignment horizontal="right"/>
    </xf>
    <xf numFmtId="0" fontId="9" fillId="0" borderId="0" xfId="2" applyFont="1" applyAlignment="1">
      <alignment horizontal="center"/>
    </xf>
    <xf numFmtId="164" fontId="3" fillId="0" borderId="0" xfId="2" applyNumberFormat="1"/>
    <xf numFmtId="164" fontId="4" fillId="0" borderId="0" xfId="2" applyNumberFormat="1" applyFont="1" applyAlignment="1">
      <alignment horizontal="right"/>
    </xf>
    <xf numFmtId="14" fontId="3" fillId="0" borderId="0" xfId="2" applyNumberFormat="1" applyAlignment="1">
      <alignment horizontal="center"/>
    </xf>
    <xf numFmtId="0" fontId="5" fillId="0" borderId="0" xfId="2" applyFont="1" applyAlignment="1">
      <alignment horizontal="right"/>
    </xf>
    <xf numFmtId="0" fontId="4" fillId="0" borderId="0" xfId="2" applyFont="1" applyAlignment="1">
      <alignment horizontal="right"/>
    </xf>
    <xf numFmtId="14" fontId="19" fillId="0" borderId="0" xfId="2" applyNumberFormat="1" applyFont="1" applyAlignment="1">
      <alignment horizontal="center"/>
    </xf>
    <xf numFmtId="0" fontId="19" fillId="0" borderId="0" xfId="2" applyFont="1" applyAlignment="1">
      <alignment horizontal="center"/>
    </xf>
    <xf numFmtId="164" fontId="9" fillId="0" borderId="0" xfId="2" applyNumberFormat="1" applyFont="1" applyAlignment="1">
      <alignment horizontal="center"/>
    </xf>
    <xf numFmtId="164" fontId="9" fillId="0" borderId="0" xfId="2" applyNumberFormat="1" applyFont="1"/>
    <xf numFmtId="0" fontId="3" fillId="0" borderId="0" xfId="2" applyAlignment="1">
      <alignment horizontal="right"/>
    </xf>
    <xf numFmtId="164" fontId="3" fillId="0" borderId="0" xfId="2" applyNumberFormat="1" applyAlignment="1">
      <alignment horizontal="center"/>
    </xf>
    <xf numFmtId="0" fontId="5" fillId="3" borderId="1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/>
    </xf>
    <xf numFmtId="14" fontId="5" fillId="3" borderId="1" xfId="2" applyNumberFormat="1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164" fontId="5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center" wrapText="1"/>
    </xf>
    <xf numFmtId="0" fontId="5" fillId="0" borderId="2" xfId="2" applyFont="1" applyBorder="1" applyAlignment="1">
      <alignment horizontal="center" wrapText="1"/>
    </xf>
    <xf numFmtId="0" fontId="5" fillId="0" borderId="7" xfId="2" applyFont="1" applyBorder="1" applyAlignment="1">
      <alignment horizontal="center" wrapText="1"/>
    </xf>
    <xf numFmtId="0" fontId="5" fillId="0" borderId="3" xfId="2" applyFont="1" applyBorder="1" applyAlignment="1">
      <alignment horizontal="center" wrapText="1"/>
    </xf>
    <xf numFmtId="0" fontId="5" fillId="3" borderId="2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 wrapText="1"/>
    </xf>
    <xf numFmtId="164" fontId="5" fillId="3" borderId="1" xfId="2" applyNumberFormat="1" applyFont="1" applyFill="1" applyBorder="1" applyAlignment="1">
      <alignment horizontal="center" vertical="center"/>
    </xf>
    <xf numFmtId="164" fontId="5" fillId="3" borderId="2" xfId="2" applyNumberFormat="1" applyFont="1" applyFill="1" applyBorder="1" applyAlignment="1">
      <alignment horizontal="center" vertical="center"/>
    </xf>
    <xf numFmtId="14" fontId="5" fillId="3" borderId="2" xfId="2" applyNumberFormat="1" applyFont="1" applyFill="1" applyBorder="1" applyAlignment="1">
      <alignment horizontal="center" vertical="center" wrapText="1"/>
    </xf>
    <xf numFmtId="14" fontId="5" fillId="3" borderId="2" xfId="2" applyNumberFormat="1" applyFont="1" applyFill="1" applyBorder="1" applyAlignment="1">
      <alignment horizontal="center" wrapText="1"/>
    </xf>
    <xf numFmtId="0" fontId="5" fillId="3" borderId="4" xfId="2" applyFont="1" applyFill="1" applyBorder="1" applyAlignment="1">
      <alignment horizontal="center"/>
    </xf>
    <xf numFmtId="0" fontId="5" fillId="3" borderId="5" xfId="2" applyFont="1" applyFill="1" applyBorder="1" applyAlignment="1">
      <alignment horizontal="center"/>
    </xf>
    <xf numFmtId="0" fontId="5" fillId="3" borderId="6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left"/>
    </xf>
    <xf numFmtId="0" fontId="5" fillId="3" borderId="4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</cellXfs>
  <cellStyles count="19">
    <cellStyle name="Standard" xfId="0" builtinId="0"/>
    <cellStyle name="Standard 2" xfId="1" xr:uid="{00000000-0005-0000-0000-000001000000}"/>
    <cellStyle name="Standard 3" xfId="15" xr:uid="{683BE6BB-85AD-418A-9ED5-51D24A995C43}"/>
    <cellStyle name="Standard_1-Landräte und Bürgermeister" xfId="2" xr:uid="{00000000-0005-0000-0000-000002000000}"/>
    <cellStyle name="Standard_31500000000_25032012_Ergebnis_Stichwahl_Stadt Mainz" xfId="18" xr:uid="{F27842D5-611A-4E7C-BBEF-1FDD4DDA7847}"/>
    <cellStyle name="Standard_Direktwahl_ 13400045_Vfr_Gem_Idar-Oberstein_ 05112006" xfId="13" xr:uid="{AF2C8ADE-DFB7-43B2-9BD9-DA77AD262091}"/>
    <cellStyle name="Standard_Direktwahl_Vfr.GemBöhl-Igglheim_10092006" xfId="12" xr:uid="{ED170A6E-3D3F-49DD-993B-6BC61428079F}"/>
    <cellStyle name="Standard_Direktwahlen_07062009_Bürgermeister_VerbdsfrGem" xfId="14" xr:uid="{5654A30F-FDA8-460D-9525-0B6474DFCE40}"/>
    <cellStyle name="Standard_Direktwahlen_07062009_Oberbürgermeister" xfId="17" xr:uid="{90FFDB7C-CF02-4A9E-83DF-6B51E662F3D0}"/>
    <cellStyle name="Standard_Ergebnisdruck" xfId="9" xr:uid="{43A9AD9D-3B7F-45F2-B04F-0603C6483D01}"/>
    <cellStyle name="Standard_Kreisfreie Städte 2007_2011" xfId="16" xr:uid="{A2E7E78F-B088-4547-9ACC-F8FF7C28FE78}"/>
    <cellStyle name="Standard_Musterblatt Zeitreihe" xfId="6" xr:uid="{814A90EC-DDEE-4661-8363-904C93E39497}"/>
    <cellStyle name="Standard_Verbandsfreie Gemeinden 1998_2006" xfId="11" xr:uid="{FD09732B-A0E3-4A82-9B90-8D5C226BFE3A}"/>
    <cellStyle name="Standard_Verbandsgemeinden 1998-2000" xfId="5" xr:uid="{B7E6B286-7F0B-404F-8A73-F6A611B12425}"/>
    <cellStyle name="Standard_Verbandsgemeinden 2002" xfId="3" xr:uid="{814C08E1-8763-4ED0-89FC-88AFD5C5A70F}"/>
    <cellStyle name="Standard_Verbandsgemeinden 2004" xfId="7" xr:uid="{A27D01CC-6B7F-4147-B61C-F79FB92419DE}"/>
    <cellStyle name="Standard_Verbandsgemeinden 2005" xfId="8" xr:uid="{94CCFAF6-129E-42D9-AF43-48D1E1DA3A8A}"/>
    <cellStyle name="Standard_Verbandsgemeinden 2009" xfId="4" xr:uid="{E552310A-D90D-47FE-AC3B-FF2BEBCDE2D7}"/>
    <cellStyle name="Standard_Verbandsgemeinden 27092009" xfId="10" xr:uid="{947EDF00-9635-4BA7-AF8E-A969089263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mmerlJ\AppData\Local\Microsoft\Windows\INetCache\Content.Outlook\HOVYXVSB\Vfr_Gemeinden%201994-2024.xlsx" TargetMode="External"/><Relationship Id="rId1" Type="http://schemas.openxmlformats.org/officeDocument/2006/relationships/externalLinkPath" Target="file:///C:\Users\HammerlJ\AppData\Local\Microsoft\Windows\INetCache\Content.Outlook\HOVYXVSB\Vfr_Gemeinden%201994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ürgermeister Vfr.Gemeinden"/>
      <sheetName val="Tabelle1"/>
    </sheetNames>
    <sheetDataSet>
      <sheetData sheetId="0"/>
      <sheetData sheetId="1">
        <row r="1">
          <cell r="A1" t="str">
            <v>Vorname</v>
          </cell>
          <cell r="B1" t="str">
            <v>Geschlecht</v>
          </cell>
        </row>
        <row r="2">
          <cell r="A2" t="str">
            <v>Aaron</v>
          </cell>
          <cell r="B2" t="str">
            <v>m</v>
          </cell>
        </row>
        <row r="3">
          <cell r="A3" t="str">
            <v>Abel</v>
          </cell>
          <cell r="B3" t="str">
            <v>m</v>
          </cell>
        </row>
        <row r="4">
          <cell r="A4" t="str">
            <v>Abelard</v>
          </cell>
          <cell r="B4" t="str">
            <v>m</v>
          </cell>
        </row>
        <row r="5">
          <cell r="A5" t="str">
            <v>Abilo</v>
          </cell>
          <cell r="B5" t="str">
            <v>m</v>
          </cell>
        </row>
        <row r="6">
          <cell r="A6" t="str">
            <v>Abraham</v>
          </cell>
          <cell r="B6" t="str">
            <v>m</v>
          </cell>
        </row>
        <row r="7">
          <cell r="A7" t="str">
            <v>Absalom</v>
          </cell>
          <cell r="B7" t="str">
            <v>m</v>
          </cell>
        </row>
        <row r="8">
          <cell r="A8" t="str">
            <v>Absalon</v>
          </cell>
          <cell r="B8" t="str">
            <v>m</v>
          </cell>
        </row>
        <row r="9">
          <cell r="A9" t="str">
            <v>Achille</v>
          </cell>
          <cell r="B9" t="str">
            <v>m</v>
          </cell>
        </row>
        <row r="10">
          <cell r="A10" t="str">
            <v>Achilles</v>
          </cell>
          <cell r="B10" t="str">
            <v>m</v>
          </cell>
        </row>
        <row r="11">
          <cell r="A11" t="str">
            <v>Achilleus</v>
          </cell>
          <cell r="B11" t="str">
            <v>m</v>
          </cell>
        </row>
        <row r="12">
          <cell r="A12" t="str">
            <v>Achim</v>
          </cell>
          <cell r="B12" t="str">
            <v>m</v>
          </cell>
        </row>
        <row r="13">
          <cell r="A13" t="str">
            <v>Achmed</v>
          </cell>
          <cell r="B13" t="str">
            <v>m</v>
          </cell>
        </row>
        <row r="14">
          <cell r="A14" t="str">
            <v>Ada</v>
          </cell>
          <cell r="B14" t="str">
            <v>w</v>
          </cell>
        </row>
        <row r="15">
          <cell r="A15" t="str">
            <v>Adalard</v>
          </cell>
          <cell r="B15" t="str">
            <v>m</v>
          </cell>
        </row>
        <row r="16">
          <cell r="A16" t="str">
            <v>Adalbero</v>
          </cell>
          <cell r="B16" t="str">
            <v>m</v>
          </cell>
        </row>
        <row r="17">
          <cell r="A17" t="str">
            <v>Adalbert</v>
          </cell>
          <cell r="B17" t="str">
            <v>m</v>
          </cell>
        </row>
        <row r="18">
          <cell r="A18" t="str">
            <v>Adalbrecht</v>
          </cell>
          <cell r="B18" t="str">
            <v>m</v>
          </cell>
        </row>
        <row r="19">
          <cell r="A19" t="str">
            <v>Adalburg</v>
          </cell>
          <cell r="B19" t="str">
            <v>w</v>
          </cell>
        </row>
        <row r="20">
          <cell r="A20" t="str">
            <v>Adalia</v>
          </cell>
          <cell r="B20" t="str">
            <v>w</v>
          </cell>
        </row>
        <row r="21">
          <cell r="A21" t="str">
            <v>Adalwine</v>
          </cell>
          <cell r="B21" t="str">
            <v>m</v>
          </cell>
        </row>
        <row r="22">
          <cell r="A22" t="str">
            <v>Adam</v>
          </cell>
          <cell r="B22" t="str">
            <v>m</v>
          </cell>
        </row>
        <row r="23">
          <cell r="A23" t="str">
            <v>Addi</v>
          </cell>
          <cell r="B23" t="str">
            <v>m</v>
          </cell>
        </row>
        <row r="24">
          <cell r="A24" t="str">
            <v>Adelard</v>
          </cell>
          <cell r="B24" t="str">
            <v>m</v>
          </cell>
        </row>
        <row r="25">
          <cell r="A25" t="str">
            <v>Adelbert</v>
          </cell>
          <cell r="B25" t="str">
            <v>m</v>
          </cell>
        </row>
        <row r="26">
          <cell r="A26" t="str">
            <v>Adelburg</v>
          </cell>
          <cell r="B26" t="str">
            <v>w</v>
          </cell>
        </row>
        <row r="27">
          <cell r="A27" t="str">
            <v>Adele</v>
          </cell>
          <cell r="B27" t="str">
            <v>w</v>
          </cell>
        </row>
        <row r="28">
          <cell r="A28" t="str">
            <v>Adelfo</v>
          </cell>
          <cell r="B28" t="str">
            <v>m</v>
          </cell>
        </row>
        <row r="29">
          <cell r="A29" t="str">
            <v>Adelgundis</v>
          </cell>
          <cell r="B29" t="str">
            <v>w</v>
          </cell>
        </row>
        <row r="30">
          <cell r="A30" t="str">
            <v>Adelheid</v>
          </cell>
          <cell r="B30" t="str">
            <v>w</v>
          </cell>
        </row>
        <row r="31">
          <cell r="A31" t="str">
            <v>Adelheit</v>
          </cell>
          <cell r="B31" t="str">
            <v>w</v>
          </cell>
        </row>
        <row r="32">
          <cell r="A32" t="str">
            <v>Adelilah</v>
          </cell>
          <cell r="B32" t="str">
            <v>w</v>
          </cell>
        </row>
        <row r="33">
          <cell r="A33" t="str">
            <v>Adeline</v>
          </cell>
          <cell r="B33" t="str">
            <v>w</v>
          </cell>
        </row>
        <row r="34">
          <cell r="A34" t="str">
            <v>Adely</v>
          </cell>
          <cell r="B34" t="str">
            <v>w</v>
          </cell>
        </row>
        <row r="35">
          <cell r="A35" t="str">
            <v>Adhelard</v>
          </cell>
          <cell r="B35" t="str">
            <v>m</v>
          </cell>
        </row>
        <row r="36">
          <cell r="A36" t="str">
            <v>Adi</v>
          </cell>
          <cell r="B36" t="str">
            <v>m</v>
          </cell>
        </row>
        <row r="37">
          <cell r="A37" t="str">
            <v>Adile</v>
          </cell>
          <cell r="B37" t="str">
            <v>w</v>
          </cell>
        </row>
        <row r="38">
          <cell r="A38" t="str">
            <v>Adolf</v>
          </cell>
          <cell r="B38" t="str">
            <v>m</v>
          </cell>
        </row>
        <row r="39">
          <cell r="A39" t="str">
            <v>Adolfa</v>
          </cell>
          <cell r="B39" t="str">
            <v>w</v>
          </cell>
        </row>
        <row r="40">
          <cell r="A40" t="str">
            <v>Adolfina</v>
          </cell>
          <cell r="B40" t="str">
            <v>w</v>
          </cell>
        </row>
        <row r="41">
          <cell r="A41" t="str">
            <v>Adolph</v>
          </cell>
          <cell r="B41" t="str">
            <v>m</v>
          </cell>
        </row>
        <row r="42">
          <cell r="A42" t="str">
            <v>Adolpha</v>
          </cell>
          <cell r="B42" t="str">
            <v>w</v>
          </cell>
        </row>
        <row r="43">
          <cell r="A43" t="str">
            <v>Adolphina</v>
          </cell>
          <cell r="B43" t="str">
            <v>w</v>
          </cell>
        </row>
        <row r="44">
          <cell r="A44" t="str">
            <v>Adonai</v>
          </cell>
          <cell r="B44" t="str">
            <v>m</v>
          </cell>
        </row>
        <row r="45">
          <cell r="A45" t="str">
            <v>Adonija</v>
          </cell>
          <cell r="B45" t="str">
            <v>m</v>
          </cell>
        </row>
        <row r="46">
          <cell r="A46" t="str">
            <v>Adonis</v>
          </cell>
          <cell r="B46" t="str">
            <v>m</v>
          </cell>
        </row>
        <row r="47">
          <cell r="A47" t="str">
            <v>Adray</v>
          </cell>
          <cell r="B47" t="str">
            <v>m</v>
          </cell>
        </row>
        <row r="48">
          <cell r="A48" t="str">
            <v>Adrian</v>
          </cell>
          <cell r="B48" t="str">
            <v>m</v>
          </cell>
        </row>
        <row r="49">
          <cell r="A49" t="str">
            <v>Adriana</v>
          </cell>
          <cell r="B49" t="str">
            <v>w</v>
          </cell>
        </row>
        <row r="50">
          <cell r="A50" t="str">
            <v>Adriane</v>
          </cell>
          <cell r="B50" t="str">
            <v>w</v>
          </cell>
        </row>
        <row r="51">
          <cell r="A51" t="str">
            <v>Adrianus</v>
          </cell>
          <cell r="B51" t="str">
            <v>m</v>
          </cell>
        </row>
        <row r="52">
          <cell r="A52" t="str">
            <v>Adrienne</v>
          </cell>
          <cell r="B52" t="str">
            <v>w</v>
          </cell>
        </row>
        <row r="53">
          <cell r="A53" t="str">
            <v>Adula</v>
          </cell>
          <cell r="B53" t="str">
            <v>w</v>
          </cell>
        </row>
        <row r="54">
          <cell r="A54" t="str">
            <v>Ady</v>
          </cell>
          <cell r="B54" t="str">
            <v>m</v>
          </cell>
        </row>
        <row r="55">
          <cell r="A55" t="str">
            <v>Ady-Martin</v>
          </cell>
          <cell r="B55" t="str">
            <v>m</v>
          </cell>
        </row>
        <row r="56">
          <cell r="A56" t="str">
            <v>Aeldrida</v>
          </cell>
          <cell r="B56" t="str">
            <v>w</v>
          </cell>
        </row>
        <row r="57">
          <cell r="A57" t="str">
            <v>Aelfreda</v>
          </cell>
          <cell r="B57" t="str">
            <v>w</v>
          </cell>
        </row>
        <row r="58">
          <cell r="A58" t="str">
            <v>Afra</v>
          </cell>
          <cell r="B58" t="str">
            <v>w</v>
          </cell>
        </row>
        <row r="59">
          <cell r="A59" t="str">
            <v>Agatha</v>
          </cell>
          <cell r="B59" t="str">
            <v>w</v>
          </cell>
        </row>
        <row r="60">
          <cell r="A60" t="str">
            <v>Agathe</v>
          </cell>
          <cell r="B60" t="str">
            <v>w</v>
          </cell>
        </row>
        <row r="61">
          <cell r="A61" t="str">
            <v>Agda</v>
          </cell>
          <cell r="B61" t="str">
            <v>w</v>
          </cell>
        </row>
        <row r="62">
          <cell r="A62" t="str">
            <v>Ageline</v>
          </cell>
          <cell r="B62" t="str">
            <v>m</v>
          </cell>
        </row>
        <row r="63">
          <cell r="A63" t="str">
            <v>Aget</v>
          </cell>
          <cell r="B63" t="str">
            <v>w</v>
          </cell>
        </row>
        <row r="64">
          <cell r="A64" t="str">
            <v>Aggy</v>
          </cell>
          <cell r="B64" t="str">
            <v>w</v>
          </cell>
        </row>
        <row r="65">
          <cell r="A65" t="str">
            <v>Aglaia</v>
          </cell>
          <cell r="B65" t="str">
            <v>w</v>
          </cell>
        </row>
        <row r="66">
          <cell r="A66" t="str">
            <v>Aglaja</v>
          </cell>
          <cell r="B66" t="str">
            <v>w</v>
          </cell>
        </row>
        <row r="67">
          <cell r="A67" t="str">
            <v>Agnes</v>
          </cell>
          <cell r="B67" t="str">
            <v>w</v>
          </cell>
        </row>
        <row r="68">
          <cell r="A68" t="str">
            <v>Agnese</v>
          </cell>
          <cell r="B68" t="str">
            <v>w</v>
          </cell>
        </row>
        <row r="69">
          <cell r="A69" t="str">
            <v>Agnita</v>
          </cell>
          <cell r="B69" t="str">
            <v>w</v>
          </cell>
        </row>
        <row r="70">
          <cell r="A70" t="str">
            <v>Agron</v>
          </cell>
          <cell r="B70" t="str">
            <v>m</v>
          </cell>
        </row>
        <row r="71">
          <cell r="A71" t="str">
            <v>Ahmed</v>
          </cell>
          <cell r="B71" t="str">
            <v>m</v>
          </cell>
        </row>
        <row r="72">
          <cell r="A72" t="str">
            <v>Ahu</v>
          </cell>
          <cell r="B72" t="str">
            <v>m</v>
          </cell>
        </row>
        <row r="73">
          <cell r="A73" t="str">
            <v>Aileen</v>
          </cell>
          <cell r="B73" t="str">
            <v>w</v>
          </cell>
        </row>
        <row r="74">
          <cell r="A74" t="str">
            <v>Aillsa</v>
          </cell>
          <cell r="B74" t="str">
            <v>w</v>
          </cell>
        </row>
        <row r="75">
          <cell r="A75" t="str">
            <v>Ailsa</v>
          </cell>
          <cell r="B75" t="str">
            <v>w</v>
          </cell>
        </row>
        <row r="76">
          <cell r="A76" t="str">
            <v>Ailssa</v>
          </cell>
          <cell r="B76" t="str">
            <v>w</v>
          </cell>
        </row>
        <row r="77">
          <cell r="A77" t="str">
            <v>Airam</v>
          </cell>
          <cell r="B77" t="str">
            <v>m</v>
          </cell>
        </row>
        <row r="78">
          <cell r="A78" t="str">
            <v>Aischa</v>
          </cell>
          <cell r="B78" t="str">
            <v>w</v>
          </cell>
        </row>
        <row r="79">
          <cell r="A79" t="str">
            <v>Akim</v>
          </cell>
          <cell r="B79" t="str">
            <v>m</v>
          </cell>
        </row>
        <row r="80">
          <cell r="A80" t="str">
            <v>Alain</v>
          </cell>
          <cell r="B80" t="str">
            <v>m</v>
          </cell>
        </row>
        <row r="81">
          <cell r="A81" t="str">
            <v>Alan</v>
          </cell>
          <cell r="B81" t="str">
            <v>m</v>
          </cell>
        </row>
        <row r="82">
          <cell r="A82" t="str">
            <v>Alarica</v>
          </cell>
          <cell r="B82" t="str">
            <v>w</v>
          </cell>
        </row>
        <row r="83">
          <cell r="A83" t="str">
            <v>Alarice</v>
          </cell>
          <cell r="B83" t="str">
            <v>w</v>
          </cell>
        </row>
        <row r="84">
          <cell r="A84" t="str">
            <v>Alarise</v>
          </cell>
          <cell r="B84" t="str">
            <v>w</v>
          </cell>
        </row>
        <row r="85">
          <cell r="A85" t="str">
            <v>Alban</v>
          </cell>
          <cell r="B85" t="str">
            <v>w</v>
          </cell>
        </row>
        <row r="86">
          <cell r="A86" t="str">
            <v>Albero</v>
          </cell>
          <cell r="B86" t="str">
            <v>m</v>
          </cell>
        </row>
        <row r="87">
          <cell r="A87" t="str">
            <v>Albert</v>
          </cell>
          <cell r="B87" t="str">
            <v>m</v>
          </cell>
        </row>
        <row r="88">
          <cell r="A88" t="str">
            <v>Alberta</v>
          </cell>
          <cell r="B88" t="str">
            <v>w</v>
          </cell>
        </row>
        <row r="89">
          <cell r="A89" t="str">
            <v>Albertina</v>
          </cell>
          <cell r="B89" t="str">
            <v>w</v>
          </cell>
        </row>
        <row r="90">
          <cell r="A90" t="str">
            <v>Albertyna</v>
          </cell>
          <cell r="B90" t="str">
            <v>w</v>
          </cell>
        </row>
        <row r="91">
          <cell r="A91" t="str">
            <v>Albertyne</v>
          </cell>
          <cell r="B91" t="str">
            <v>w</v>
          </cell>
        </row>
        <row r="92">
          <cell r="A92" t="str">
            <v>Albin</v>
          </cell>
          <cell r="B92" t="str">
            <v>m</v>
          </cell>
        </row>
        <row r="93">
          <cell r="A93" t="str">
            <v>Albrecht</v>
          </cell>
          <cell r="B93" t="str">
            <v>m</v>
          </cell>
        </row>
        <row r="94">
          <cell r="A94" t="str">
            <v>Alda</v>
          </cell>
          <cell r="B94" t="str">
            <v>w</v>
          </cell>
        </row>
        <row r="95">
          <cell r="A95" t="str">
            <v>Aldwin</v>
          </cell>
          <cell r="B95" t="str">
            <v>m</v>
          </cell>
        </row>
        <row r="96">
          <cell r="A96" t="str">
            <v>Aldwyn</v>
          </cell>
          <cell r="B96" t="str">
            <v>m</v>
          </cell>
        </row>
        <row r="97">
          <cell r="A97" t="str">
            <v>Alea</v>
          </cell>
          <cell r="B97" t="str">
            <v>w</v>
          </cell>
        </row>
        <row r="98">
          <cell r="A98" t="str">
            <v>Alec</v>
          </cell>
          <cell r="B98" t="str">
            <v>m</v>
          </cell>
        </row>
        <row r="99">
          <cell r="A99" t="str">
            <v>Alena</v>
          </cell>
          <cell r="B99" t="str">
            <v>w</v>
          </cell>
        </row>
        <row r="100">
          <cell r="A100" t="str">
            <v>Alessandra</v>
          </cell>
          <cell r="B100" t="str">
            <v>w</v>
          </cell>
        </row>
        <row r="101">
          <cell r="A101" t="str">
            <v>Alessandro</v>
          </cell>
          <cell r="B101" t="str">
            <v>m</v>
          </cell>
        </row>
        <row r="102">
          <cell r="A102" t="str">
            <v>Alessio</v>
          </cell>
          <cell r="B102" t="str">
            <v>m</v>
          </cell>
        </row>
        <row r="103">
          <cell r="A103" t="str">
            <v>Aletta</v>
          </cell>
          <cell r="B103" t="str">
            <v>w</v>
          </cell>
        </row>
        <row r="104">
          <cell r="A104" t="str">
            <v>Alex</v>
          </cell>
          <cell r="B104" t="str">
            <v>m</v>
          </cell>
        </row>
        <row r="105">
          <cell r="A105" t="str">
            <v>Alexa</v>
          </cell>
          <cell r="B105" t="str">
            <v>w</v>
          </cell>
        </row>
        <row r="106">
          <cell r="A106" t="str">
            <v>Alexander</v>
          </cell>
          <cell r="B106" t="str">
            <v>m</v>
          </cell>
        </row>
        <row r="107">
          <cell r="A107" t="str">
            <v>Alexandra</v>
          </cell>
          <cell r="B107" t="str">
            <v>w</v>
          </cell>
        </row>
        <row r="108">
          <cell r="A108" t="str">
            <v>Alexandrina</v>
          </cell>
          <cell r="B108" t="str">
            <v>w</v>
          </cell>
        </row>
        <row r="109">
          <cell r="A109" t="str">
            <v>Alexandrine</v>
          </cell>
          <cell r="B109" t="str">
            <v>w</v>
          </cell>
        </row>
        <row r="110">
          <cell r="A110" t="str">
            <v>Alexei</v>
          </cell>
          <cell r="B110" t="str">
            <v>m</v>
          </cell>
        </row>
        <row r="111">
          <cell r="A111" t="str">
            <v>Alexia</v>
          </cell>
          <cell r="B111" t="str">
            <v>w</v>
          </cell>
        </row>
        <row r="112">
          <cell r="A112" t="str">
            <v>Alexiana</v>
          </cell>
          <cell r="B112" t="str">
            <v>w</v>
          </cell>
        </row>
        <row r="113">
          <cell r="A113" t="str">
            <v>Alfons</v>
          </cell>
          <cell r="B113" t="str">
            <v>m</v>
          </cell>
        </row>
        <row r="114">
          <cell r="A114" t="str">
            <v>Alfonse</v>
          </cell>
          <cell r="B114" t="str">
            <v>m</v>
          </cell>
        </row>
        <row r="115">
          <cell r="A115" t="str">
            <v>Alfonsine</v>
          </cell>
          <cell r="B115" t="str">
            <v>w</v>
          </cell>
        </row>
        <row r="116">
          <cell r="A116" t="str">
            <v>Alfonso</v>
          </cell>
          <cell r="B116" t="str">
            <v>m</v>
          </cell>
        </row>
        <row r="117">
          <cell r="A117" t="str">
            <v>Alfred</v>
          </cell>
          <cell r="B117" t="str">
            <v>m</v>
          </cell>
        </row>
        <row r="118">
          <cell r="A118" t="str">
            <v>Algar</v>
          </cell>
          <cell r="B118" t="str">
            <v>m</v>
          </cell>
        </row>
        <row r="119">
          <cell r="A119" t="str">
            <v>Alger</v>
          </cell>
          <cell r="B119" t="str">
            <v>m</v>
          </cell>
        </row>
        <row r="120">
          <cell r="A120" t="str">
            <v>Ali</v>
          </cell>
          <cell r="B120" t="str">
            <v>m</v>
          </cell>
        </row>
        <row r="121">
          <cell r="A121" t="str">
            <v>Alice</v>
          </cell>
          <cell r="B121" t="str">
            <v>w</v>
          </cell>
        </row>
        <row r="122">
          <cell r="A122" t="str">
            <v>Alicia</v>
          </cell>
          <cell r="B122" t="str">
            <v>w</v>
          </cell>
        </row>
        <row r="123">
          <cell r="A123" t="str">
            <v>Alida</v>
          </cell>
          <cell r="B123" t="str">
            <v>w</v>
          </cell>
        </row>
        <row r="124">
          <cell r="A124" t="str">
            <v>Alina</v>
          </cell>
          <cell r="B124" t="str">
            <v>w</v>
          </cell>
        </row>
        <row r="125">
          <cell r="A125" t="str">
            <v>Alisa</v>
          </cell>
          <cell r="B125" t="str">
            <v>w</v>
          </cell>
        </row>
        <row r="126">
          <cell r="A126" t="str">
            <v>Alisha</v>
          </cell>
          <cell r="B126" t="str">
            <v>w</v>
          </cell>
        </row>
        <row r="127">
          <cell r="A127" t="str">
            <v>Alisia</v>
          </cell>
          <cell r="B127" t="str">
            <v>w</v>
          </cell>
        </row>
        <row r="128">
          <cell r="A128" t="str">
            <v>Aliza</v>
          </cell>
          <cell r="B128" t="str">
            <v>w</v>
          </cell>
        </row>
        <row r="129">
          <cell r="A129" t="str">
            <v>Aljoscha</v>
          </cell>
          <cell r="B129" t="str">
            <v>m</v>
          </cell>
        </row>
        <row r="130">
          <cell r="A130" t="str">
            <v>Alke</v>
          </cell>
          <cell r="B130" t="str">
            <v>m</v>
          </cell>
        </row>
        <row r="131">
          <cell r="A131" t="str">
            <v>Alkuin</v>
          </cell>
          <cell r="B131" t="str">
            <v>m</v>
          </cell>
        </row>
        <row r="132">
          <cell r="A132" t="str">
            <v>Alkwin</v>
          </cell>
          <cell r="B132" t="str">
            <v>m</v>
          </cell>
        </row>
        <row r="133">
          <cell r="A133" t="str">
            <v>Allan</v>
          </cell>
          <cell r="B133" t="str">
            <v>m</v>
          </cell>
        </row>
        <row r="134">
          <cell r="A134" t="str">
            <v>Allegra</v>
          </cell>
          <cell r="B134" t="str">
            <v>w</v>
          </cell>
        </row>
        <row r="135">
          <cell r="A135" t="str">
            <v>Allen</v>
          </cell>
          <cell r="B135" t="str">
            <v>m</v>
          </cell>
        </row>
        <row r="136">
          <cell r="A136" t="str">
            <v>Allesha</v>
          </cell>
          <cell r="B136" t="str">
            <v>w</v>
          </cell>
        </row>
        <row r="137">
          <cell r="A137" t="str">
            <v>Allon</v>
          </cell>
          <cell r="B137" t="str">
            <v>m</v>
          </cell>
        </row>
        <row r="138">
          <cell r="A138" t="str">
            <v>Allvar</v>
          </cell>
          <cell r="B138" t="str">
            <v>m</v>
          </cell>
        </row>
        <row r="139">
          <cell r="A139" t="str">
            <v>Alma</v>
          </cell>
          <cell r="B139" t="str">
            <v>w</v>
          </cell>
        </row>
        <row r="140">
          <cell r="A140" t="str">
            <v>Almuth</v>
          </cell>
          <cell r="B140" t="str">
            <v>w</v>
          </cell>
        </row>
        <row r="141">
          <cell r="A141" t="str">
            <v>Alois</v>
          </cell>
          <cell r="B141" t="str">
            <v>m</v>
          </cell>
        </row>
        <row r="142">
          <cell r="A142" t="str">
            <v>Aloisius</v>
          </cell>
          <cell r="B142" t="str">
            <v>m</v>
          </cell>
        </row>
        <row r="143">
          <cell r="A143" t="str">
            <v>Alon</v>
          </cell>
          <cell r="B143" t="str">
            <v>m</v>
          </cell>
        </row>
        <row r="144">
          <cell r="A144" t="str">
            <v>Alonso</v>
          </cell>
          <cell r="B144" t="str">
            <v>m</v>
          </cell>
        </row>
        <row r="145">
          <cell r="A145" t="str">
            <v>Alonza</v>
          </cell>
          <cell r="B145" t="str">
            <v>w</v>
          </cell>
        </row>
        <row r="146">
          <cell r="A146" t="str">
            <v>Alonzo</v>
          </cell>
          <cell r="B146" t="str">
            <v>m</v>
          </cell>
        </row>
        <row r="147">
          <cell r="A147" t="str">
            <v>Aloys</v>
          </cell>
          <cell r="B147" t="str">
            <v>m</v>
          </cell>
        </row>
        <row r="148">
          <cell r="A148" t="str">
            <v>Aloys</v>
          </cell>
          <cell r="B148" t="str">
            <v>w</v>
          </cell>
        </row>
        <row r="149">
          <cell r="A149" t="str">
            <v>Aloyse</v>
          </cell>
          <cell r="B149" t="str">
            <v>w</v>
          </cell>
        </row>
        <row r="150">
          <cell r="A150" t="str">
            <v>Aloysius</v>
          </cell>
          <cell r="B150" t="str">
            <v>m</v>
          </cell>
        </row>
        <row r="151">
          <cell r="A151" t="str">
            <v>Alphons</v>
          </cell>
          <cell r="B151" t="str">
            <v>m</v>
          </cell>
        </row>
        <row r="152">
          <cell r="A152" t="str">
            <v>Alphonse</v>
          </cell>
          <cell r="B152" t="str">
            <v>m</v>
          </cell>
        </row>
        <row r="153">
          <cell r="A153" t="str">
            <v>Alphonsina</v>
          </cell>
          <cell r="B153" t="str">
            <v>w</v>
          </cell>
        </row>
        <row r="154">
          <cell r="A154" t="str">
            <v>Alphonsine</v>
          </cell>
          <cell r="B154" t="str">
            <v>w</v>
          </cell>
        </row>
        <row r="155">
          <cell r="A155" t="str">
            <v>Alphonso</v>
          </cell>
          <cell r="B155" t="str">
            <v>m</v>
          </cell>
        </row>
        <row r="156">
          <cell r="A156" t="str">
            <v>Alphonsus</v>
          </cell>
          <cell r="B156" t="str">
            <v>m</v>
          </cell>
        </row>
        <row r="157">
          <cell r="A157" t="str">
            <v>Alric</v>
          </cell>
          <cell r="B157" t="str">
            <v>m</v>
          </cell>
        </row>
        <row r="158">
          <cell r="A158" t="str">
            <v>Altfried</v>
          </cell>
          <cell r="B158" t="str">
            <v>m</v>
          </cell>
        </row>
        <row r="159">
          <cell r="A159" t="str">
            <v>Althea</v>
          </cell>
          <cell r="B159" t="str">
            <v>w</v>
          </cell>
        </row>
        <row r="160">
          <cell r="A160" t="str">
            <v>Althee</v>
          </cell>
          <cell r="B160" t="str">
            <v>w</v>
          </cell>
        </row>
        <row r="161">
          <cell r="A161" t="str">
            <v>Altman</v>
          </cell>
          <cell r="B161" t="str">
            <v>m</v>
          </cell>
        </row>
        <row r="162">
          <cell r="A162" t="str">
            <v>Alva</v>
          </cell>
          <cell r="B162" t="str">
            <v>w</v>
          </cell>
        </row>
        <row r="163">
          <cell r="A163" t="str">
            <v>Alvan</v>
          </cell>
          <cell r="B163" t="str">
            <v>m</v>
          </cell>
        </row>
        <row r="164">
          <cell r="A164" t="str">
            <v>Alvin</v>
          </cell>
          <cell r="B164" t="str">
            <v>m</v>
          </cell>
        </row>
        <row r="165">
          <cell r="A165" t="str">
            <v>Alvina</v>
          </cell>
          <cell r="B165" t="str">
            <v>w</v>
          </cell>
        </row>
        <row r="166">
          <cell r="A166" t="str">
            <v>Alvine</v>
          </cell>
          <cell r="B166" t="str">
            <v>w</v>
          </cell>
        </row>
        <row r="167">
          <cell r="A167" t="str">
            <v>Alvis</v>
          </cell>
          <cell r="B167" t="str">
            <v>m</v>
          </cell>
        </row>
        <row r="168">
          <cell r="A168" t="str">
            <v>Alvord</v>
          </cell>
          <cell r="B168" t="str">
            <v>m</v>
          </cell>
        </row>
        <row r="169">
          <cell r="A169" t="str">
            <v>Alvyn</v>
          </cell>
          <cell r="B169" t="str">
            <v>m</v>
          </cell>
        </row>
        <row r="170">
          <cell r="A170" t="str">
            <v>Alwara</v>
          </cell>
          <cell r="B170" t="str">
            <v>w</v>
          </cell>
        </row>
        <row r="171">
          <cell r="A171" t="str">
            <v>Alwera</v>
          </cell>
          <cell r="B171" t="str">
            <v>w</v>
          </cell>
        </row>
        <row r="172">
          <cell r="A172" t="str">
            <v>Alwin</v>
          </cell>
          <cell r="B172" t="str">
            <v>m</v>
          </cell>
        </row>
        <row r="173">
          <cell r="A173" t="str">
            <v>Alwine</v>
          </cell>
          <cell r="B173" t="str">
            <v>w</v>
          </cell>
        </row>
        <row r="174">
          <cell r="A174" t="str">
            <v>Alwyn</v>
          </cell>
          <cell r="B174" t="str">
            <v>m</v>
          </cell>
        </row>
        <row r="175">
          <cell r="A175" t="str">
            <v>Alyssa</v>
          </cell>
          <cell r="B175" t="str">
            <v>w</v>
          </cell>
        </row>
        <row r="176">
          <cell r="A176" t="str">
            <v>Amabel</v>
          </cell>
          <cell r="B176" t="str">
            <v>w</v>
          </cell>
        </row>
        <row r="177">
          <cell r="A177" t="str">
            <v>Amabella</v>
          </cell>
          <cell r="B177" t="str">
            <v>w</v>
          </cell>
        </row>
        <row r="178">
          <cell r="A178" t="str">
            <v>Amabilia</v>
          </cell>
          <cell r="B178" t="str">
            <v>w</v>
          </cell>
        </row>
        <row r="179">
          <cell r="A179" t="str">
            <v>Amadea</v>
          </cell>
          <cell r="B179" t="str">
            <v>w</v>
          </cell>
        </row>
        <row r="180">
          <cell r="A180" t="str">
            <v>Amadeo</v>
          </cell>
          <cell r="B180" t="str">
            <v>m</v>
          </cell>
        </row>
        <row r="181">
          <cell r="A181" t="str">
            <v>Amadeus</v>
          </cell>
          <cell r="B181" t="str">
            <v>m</v>
          </cell>
        </row>
        <row r="182">
          <cell r="A182" t="str">
            <v>Amalberga</v>
          </cell>
          <cell r="B182" t="str">
            <v>w</v>
          </cell>
        </row>
        <row r="183">
          <cell r="A183" t="str">
            <v>Amalia</v>
          </cell>
          <cell r="B183" t="str">
            <v>w</v>
          </cell>
        </row>
        <row r="184">
          <cell r="A184" t="str">
            <v>Amalie</v>
          </cell>
          <cell r="B184" t="str">
            <v>w</v>
          </cell>
        </row>
        <row r="185">
          <cell r="A185" t="str">
            <v>Amanda</v>
          </cell>
          <cell r="B185" t="str">
            <v>w</v>
          </cell>
        </row>
        <row r="186">
          <cell r="A186" t="str">
            <v>Ambert</v>
          </cell>
          <cell r="B186" t="str">
            <v>m</v>
          </cell>
        </row>
        <row r="187">
          <cell r="A187" t="str">
            <v>Amedea</v>
          </cell>
          <cell r="B187" t="str">
            <v>w</v>
          </cell>
        </row>
        <row r="188">
          <cell r="A188" t="str">
            <v>Amel</v>
          </cell>
          <cell r="B188" t="str">
            <v>m</v>
          </cell>
        </row>
        <row r="189">
          <cell r="A189" t="str">
            <v>Ameli</v>
          </cell>
          <cell r="B189" t="str">
            <v>w</v>
          </cell>
        </row>
        <row r="190">
          <cell r="A190" t="str">
            <v>Amélie</v>
          </cell>
          <cell r="B190" t="str">
            <v>w</v>
          </cell>
        </row>
        <row r="191">
          <cell r="A191" t="str">
            <v>Amely</v>
          </cell>
          <cell r="B191" t="str">
            <v>w</v>
          </cell>
        </row>
        <row r="192">
          <cell r="A192" t="str">
            <v>Amerigo</v>
          </cell>
          <cell r="B192" t="str">
            <v>m</v>
          </cell>
        </row>
        <row r="193">
          <cell r="A193" t="str">
            <v>Amery</v>
          </cell>
          <cell r="B193" t="str">
            <v>m</v>
          </cell>
        </row>
        <row r="194">
          <cell r="A194" t="str">
            <v>Amey</v>
          </cell>
          <cell r="B194" t="str">
            <v>m</v>
          </cell>
        </row>
        <row r="195">
          <cell r="A195" t="str">
            <v>Amir</v>
          </cell>
          <cell r="B195" t="str">
            <v>m</v>
          </cell>
        </row>
        <row r="196">
          <cell r="A196" t="str">
            <v>Ammon</v>
          </cell>
          <cell r="B196" t="str">
            <v>m</v>
          </cell>
        </row>
        <row r="197">
          <cell r="A197" t="str">
            <v>Amory</v>
          </cell>
          <cell r="B197" t="str">
            <v>m</v>
          </cell>
        </row>
        <row r="198">
          <cell r="A198" t="str">
            <v>Amos</v>
          </cell>
          <cell r="B198" t="str">
            <v>m</v>
          </cell>
        </row>
        <row r="199">
          <cell r="A199" t="str">
            <v>Amrei</v>
          </cell>
          <cell r="B199" t="str">
            <v>w</v>
          </cell>
        </row>
        <row r="200">
          <cell r="A200" t="str">
            <v>Ana</v>
          </cell>
          <cell r="B200" t="str">
            <v>w</v>
          </cell>
        </row>
        <row r="201">
          <cell r="A201" t="str">
            <v>Anabel</v>
          </cell>
          <cell r="B201" t="str">
            <v>w</v>
          </cell>
        </row>
        <row r="202">
          <cell r="A202" t="str">
            <v>Anais</v>
          </cell>
          <cell r="B202" t="str">
            <v>w</v>
          </cell>
        </row>
        <row r="203">
          <cell r="A203" t="str">
            <v>Anastasia</v>
          </cell>
          <cell r="B203" t="str">
            <v>w</v>
          </cell>
        </row>
        <row r="204">
          <cell r="A204" t="str">
            <v>Anastasija</v>
          </cell>
          <cell r="B204" t="str">
            <v>w</v>
          </cell>
        </row>
        <row r="205">
          <cell r="A205" t="str">
            <v>Anastina</v>
          </cell>
          <cell r="B205" t="str">
            <v>w</v>
          </cell>
        </row>
        <row r="206">
          <cell r="A206" t="str">
            <v>Anatol</v>
          </cell>
          <cell r="B206" t="str">
            <v>m</v>
          </cell>
        </row>
        <row r="207">
          <cell r="A207" t="str">
            <v>Anaxagoras</v>
          </cell>
          <cell r="B207" t="str">
            <v>m</v>
          </cell>
        </row>
        <row r="208">
          <cell r="A208" t="str">
            <v>Anaximander</v>
          </cell>
          <cell r="B208" t="str">
            <v>m</v>
          </cell>
        </row>
        <row r="209">
          <cell r="A209" t="str">
            <v>Ancel</v>
          </cell>
          <cell r="B209" t="str">
            <v>m</v>
          </cell>
        </row>
        <row r="210">
          <cell r="A210" t="str">
            <v>Anderl</v>
          </cell>
          <cell r="B210" t="str">
            <v>m</v>
          </cell>
        </row>
        <row r="211">
          <cell r="A211" t="str">
            <v>Andor</v>
          </cell>
          <cell r="B211" t="str">
            <v>m</v>
          </cell>
        </row>
        <row r="212">
          <cell r="A212" t="str">
            <v>Andra</v>
          </cell>
          <cell r="B212" t="str">
            <v>w</v>
          </cell>
        </row>
        <row r="213">
          <cell r="A213" t="str">
            <v>Andre</v>
          </cell>
          <cell r="B213" t="str">
            <v>m</v>
          </cell>
        </row>
        <row r="214">
          <cell r="A214" t="str">
            <v>André</v>
          </cell>
          <cell r="B214" t="str">
            <v>m</v>
          </cell>
        </row>
        <row r="215">
          <cell r="A215" t="str">
            <v>Andrea</v>
          </cell>
          <cell r="B215" t="str">
            <v>w</v>
          </cell>
        </row>
        <row r="216">
          <cell r="A216" t="str">
            <v>Andreas</v>
          </cell>
          <cell r="B216" t="str">
            <v>m</v>
          </cell>
        </row>
        <row r="217">
          <cell r="A217" t="str">
            <v>Andrei</v>
          </cell>
          <cell r="B217" t="str">
            <v>m</v>
          </cell>
        </row>
        <row r="218">
          <cell r="A218" t="str">
            <v>Andres</v>
          </cell>
          <cell r="B218" t="str">
            <v>m</v>
          </cell>
        </row>
        <row r="219">
          <cell r="A219" t="str">
            <v>Andrey</v>
          </cell>
          <cell r="B219" t="str">
            <v>m</v>
          </cell>
        </row>
        <row r="220">
          <cell r="A220" t="str">
            <v>Andrick</v>
          </cell>
          <cell r="B220" t="str">
            <v>m</v>
          </cell>
        </row>
        <row r="221">
          <cell r="A221" t="str">
            <v>Andrijan</v>
          </cell>
          <cell r="B221" t="str">
            <v>m</v>
          </cell>
        </row>
        <row r="222">
          <cell r="A222" t="str">
            <v>Andrin</v>
          </cell>
          <cell r="B222" t="str">
            <v>m</v>
          </cell>
        </row>
        <row r="223">
          <cell r="A223" t="str">
            <v>Andy</v>
          </cell>
          <cell r="B223" t="str">
            <v>m</v>
          </cell>
        </row>
        <row r="224">
          <cell r="A224" t="str">
            <v>Aneta</v>
          </cell>
          <cell r="B224" t="str">
            <v>w</v>
          </cell>
        </row>
        <row r="225">
          <cell r="A225" t="str">
            <v>Anette</v>
          </cell>
          <cell r="B225" t="str">
            <v>w</v>
          </cell>
        </row>
        <row r="226">
          <cell r="A226" t="str">
            <v>Angela</v>
          </cell>
          <cell r="B226" t="str">
            <v>w</v>
          </cell>
        </row>
        <row r="227">
          <cell r="A227" t="str">
            <v>Angelia</v>
          </cell>
          <cell r="B227" t="str">
            <v>w</v>
          </cell>
        </row>
        <row r="228">
          <cell r="A228" t="str">
            <v>Angelica</v>
          </cell>
          <cell r="B228" t="str">
            <v>w</v>
          </cell>
        </row>
        <row r="229">
          <cell r="A229" t="str">
            <v>Angelico</v>
          </cell>
          <cell r="B229" t="str">
            <v>m</v>
          </cell>
        </row>
        <row r="230">
          <cell r="A230" t="str">
            <v>Angelika</v>
          </cell>
          <cell r="B230" t="str">
            <v>w</v>
          </cell>
        </row>
        <row r="231">
          <cell r="A231" t="str">
            <v>Angelina</v>
          </cell>
          <cell r="B231" t="str">
            <v>w</v>
          </cell>
        </row>
        <row r="232">
          <cell r="A232" t="str">
            <v>Angelino</v>
          </cell>
          <cell r="B232" t="str">
            <v>m</v>
          </cell>
        </row>
        <row r="233">
          <cell r="A233" t="str">
            <v>Angelique</v>
          </cell>
          <cell r="B233" t="str">
            <v>w</v>
          </cell>
        </row>
        <row r="234">
          <cell r="A234" t="str">
            <v>Angelo</v>
          </cell>
          <cell r="B234" t="str">
            <v>m</v>
          </cell>
        </row>
        <row r="235">
          <cell r="A235" t="str">
            <v>Angelus</v>
          </cell>
          <cell r="B235" t="str">
            <v>m</v>
          </cell>
        </row>
        <row r="236">
          <cell r="A236" t="str">
            <v>Angus</v>
          </cell>
          <cell r="B236" t="str">
            <v>m</v>
          </cell>
        </row>
        <row r="237">
          <cell r="A237" t="str">
            <v>Aniela</v>
          </cell>
          <cell r="B237" t="str">
            <v>w</v>
          </cell>
        </row>
        <row r="238">
          <cell r="A238" t="str">
            <v>Anika</v>
          </cell>
          <cell r="B238" t="str">
            <v>w</v>
          </cell>
        </row>
        <row r="239">
          <cell r="A239" t="str">
            <v>Anina</v>
          </cell>
          <cell r="B239" t="str">
            <v>w</v>
          </cell>
        </row>
        <row r="240">
          <cell r="A240" t="str">
            <v>Anita</v>
          </cell>
          <cell r="B240" t="str">
            <v>w</v>
          </cell>
        </row>
        <row r="241">
          <cell r="A241" t="str">
            <v>Anja</v>
          </cell>
          <cell r="B241" t="str">
            <v>w</v>
          </cell>
        </row>
        <row r="242">
          <cell r="A242" t="str">
            <v>Anjuschka</v>
          </cell>
          <cell r="B242" t="str">
            <v>w</v>
          </cell>
        </row>
        <row r="243">
          <cell r="A243" t="str">
            <v>Anka</v>
          </cell>
          <cell r="B243" t="str">
            <v>w</v>
          </cell>
        </row>
        <row r="244">
          <cell r="A244" t="str">
            <v>Anke</v>
          </cell>
          <cell r="B244" t="str">
            <v>w</v>
          </cell>
        </row>
        <row r="245">
          <cell r="A245" t="str">
            <v>Anmette</v>
          </cell>
          <cell r="B245" t="str">
            <v>w</v>
          </cell>
        </row>
        <row r="246">
          <cell r="A246" t="str">
            <v>Ann</v>
          </cell>
          <cell r="B246" t="str">
            <v>w</v>
          </cell>
        </row>
        <row r="247">
          <cell r="A247" t="str">
            <v>Anna</v>
          </cell>
          <cell r="B247" t="str">
            <v>w</v>
          </cell>
        </row>
        <row r="248">
          <cell r="A248" t="str">
            <v>Annabella</v>
          </cell>
          <cell r="B248" t="str">
            <v>w</v>
          </cell>
        </row>
        <row r="249">
          <cell r="A249" t="str">
            <v>Annalena</v>
          </cell>
          <cell r="B249" t="str">
            <v>w</v>
          </cell>
        </row>
        <row r="250">
          <cell r="A250" t="str">
            <v>Annamaria</v>
          </cell>
          <cell r="B250" t="str">
            <v>w</v>
          </cell>
        </row>
        <row r="251">
          <cell r="A251" t="str">
            <v>Anna-Maria</v>
          </cell>
          <cell r="B251" t="str">
            <v>w</v>
          </cell>
        </row>
        <row r="252">
          <cell r="A252" t="str">
            <v>Anne</v>
          </cell>
          <cell r="B252" t="str">
            <v>w</v>
          </cell>
        </row>
        <row r="253">
          <cell r="A253" t="str">
            <v>Annegret</v>
          </cell>
          <cell r="B253" t="str">
            <v>w</v>
          </cell>
        </row>
        <row r="254">
          <cell r="A254" t="str">
            <v>Annekathrin</v>
          </cell>
          <cell r="B254" t="str">
            <v>w</v>
          </cell>
        </row>
        <row r="255">
          <cell r="A255" t="str">
            <v>Anne-Kathrin</v>
          </cell>
          <cell r="B255" t="str">
            <v>w</v>
          </cell>
        </row>
        <row r="256">
          <cell r="A256" t="str">
            <v>Anneke</v>
          </cell>
          <cell r="B256" t="str">
            <v>w</v>
          </cell>
        </row>
        <row r="257">
          <cell r="A257" t="str">
            <v>Anneli</v>
          </cell>
          <cell r="B257" t="str">
            <v>w</v>
          </cell>
        </row>
        <row r="258">
          <cell r="A258" t="str">
            <v>Annelie</v>
          </cell>
          <cell r="B258" t="str">
            <v>w</v>
          </cell>
        </row>
        <row r="259">
          <cell r="A259" t="str">
            <v>Anneliese</v>
          </cell>
          <cell r="B259" t="str">
            <v>w</v>
          </cell>
        </row>
        <row r="260">
          <cell r="A260" t="str">
            <v>Annemarie</v>
          </cell>
          <cell r="B260" t="str">
            <v>w</v>
          </cell>
        </row>
        <row r="261">
          <cell r="A261" t="str">
            <v>Annerose</v>
          </cell>
          <cell r="B261" t="str">
            <v>w</v>
          </cell>
        </row>
        <row r="262">
          <cell r="A262" t="str">
            <v>Annett</v>
          </cell>
          <cell r="B262" t="str">
            <v>w</v>
          </cell>
        </row>
        <row r="263">
          <cell r="A263" t="str">
            <v>Annette</v>
          </cell>
          <cell r="B263" t="str">
            <v>w</v>
          </cell>
        </row>
        <row r="264">
          <cell r="A264" t="str">
            <v>Anni</v>
          </cell>
          <cell r="B264" t="str">
            <v>w</v>
          </cell>
        </row>
        <row r="265">
          <cell r="A265" t="str">
            <v>Annia</v>
          </cell>
          <cell r="B265" t="str">
            <v>w</v>
          </cell>
        </row>
        <row r="266">
          <cell r="A266" t="str">
            <v>Annika</v>
          </cell>
          <cell r="B266" t="str">
            <v>w</v>
          </cell>
        </row>
        <row r="267">
          <cell r="A267" t="str">
            <v>Annike</v>
          </cell>
          <cell r="B267" t="str">
            <v>w</v>
          </cell>
        </row>
        <row r="268">
          <cell r="A268" t="str">
            <v>Annique</v>
          </cell>
          <cell r="B268" t="str">
            <v>w</v>
          </cell>
        </row>
        <row r="269">
          <cell r="A269" t="str">
            <v>Anno</v>
          </cell>
          <cell r="B269" t="str">
            <v>m</v>
          </cell>
        </row>
        <row r="270">
          <cell r="A270" t="str">
            <v>Anouk</v>
          </cell>
          <cell r="B270" t="str">
            <v>w</v>
          </cell>
        </row>
        <row r="271">
          <cell r="A271" t="str">
            <v>Anse</v>
          </cell>
          <cell r="B271" t="str">
            <v>m</v>
          </cell>
        </row>
        <row r="272">
          <cell r="A272" t="str">
            <v>Ansel</v>
          </cell>
          <cell r="B272" t="str">
            <v>m</v>
          </cell>
        </row>
        <row r="273">
          <cell r="A273" t="str">
            <v>Anselm</v>
          </cell>
          <cell r="B273" t="str">
            <v>m</v>
          </cell>
        </row>
        <row r="274">
          <cell r="A274" t="str">
            <v>Anselme</v>
          </cell>
          <cell r="B274" t="str">
            <v>m</v>
          </cell>
        </row>
        <row r="275">
          <cell r="A275" t="str">
            <v>Ansgar</v>
          </cell>
          <cell r="B275" t="str">
            <v>m</v>
          </cell>
        </row>
        <row r="276">
          <cell r="A276" t="str">
            <v>Anshelm</v>
          </cell>
          <cell r="B276" t="str">
            <v>m</v>
          </cell>
        </row>
        <row r="277">
          <cell r="A277" t="str">
            <v>Ansko</v>
          </cell>
          <cell r="B277" t="str">
            <v>m</v>
          </cell>
        </row>
        <row r="278">
          <cell r="A278" t="str">
            <v>Answald</v>
          </cell>
          <cell r="B278" t="str">
            <v>m</v>
          </cell>
        </row>
        <row r="279">
          <cell r="A279" t="str">
            <v>Anthony</v>
          </cell>
          <cell r="B279" t="str">
            <v>m</v>
          </cell>
        </row>
        <row r="280">
          <cell r="A280" t="str">
            <v>Antje</v>
          </cell>
          <cell r="B280" t="str">
            <v>w</v>
          </cell>
        </row>
        <row r="281">
          <cell r="A281" t="str">
            <v>Antoine</v>
          </cell>
          <cell r="B281" t="str">
            <v>m</v>
          </cell>
        </row>
        <row r="282">
          <cell r="A282" t="str">
            <v>Anton</v>
          </cell>
          <cell r="B282" t="str">
            <v>m</v>
          </cell>
        </row>
        <row r="283">
          <cell r="A283" t="str">
            <v>Antonella</v>
          </cell>
          <cell r="B283" t="str">
            <v>w</v>
          </cell>
        </row>
        <row r="284">
          <cell r="A284" t="str">
            <v>Antonette</v>
          </cell>
          <cell r="B284" t="str">
            <v>w</v>
          </cell>
        </row>
        <row r="285">
          <cell r="A285" t="str">
            <v>Antonia</v>
          </cell>
          <cell r="B285" t="str">
            <v>w</v>
          </cell>
        </row>
        <row r="286">
          <cell r="A286" t="str">
            <v>Antonie</v>
          </cell>
          <cell r="B286" t="str">
            <v>w</v>
          </cell>
        </row>
        <row r="287">
          <cell r="A287" t="str">
            <v>Antonina</v>
          </cell>
          <cell r="B287" t="str">
            <v>w</v>
          </cell>
        </row>
        <row r="288">
          <cell r="A288" t="str">
            <v>Antonio</v>
          </cell>
          <cell r="B288" t="str">
            <v>m</v>
          </cell>
        </row>
        <row r="289">
          <cell r="A289" t="str">
            <v>António</v>
          </cell>
          <cell r="B289" t="str">
            <v>m</v>
          </cell>
        </row>
        <row r="290">
          <cell r="A290" t="str">
            <v>António Jose</v>
          </cell>
          <cell r="B290" t="str">
            <v>m</v>
          </cell>
        </row>
        <row r="291">
          <cell r="A291" t="str">
            <v>Antonius</v>
          </cell>
          <cell r="B291" t="str">
            <v>m</v>
          </cell>
        </row>
        <row r="292">
          <cell r="A292" t="str">
            <v>Anuschka</v>
          </cell>
          <cell r="B292" t="str">
            <v>w</v>
          </cell>
        </row>
        <row r="293">
          <cell r="A293" t="str">
            <v>Appollonia</v>
          </cell>
          <cell r="B293" t="str">
            <v>w</v>
          </cell>
        </row>
        <row r="294">
          <cell r="A294" t="str">
            <v>Arabela</v>
          </cell>
          <cell r="B294" t="str">
            <v>w</v>
          </cell>
        </row>
        <row r="295">
          <cell r="A295" t="str">
            <v>Arabella</v>
          </cell>
          <cell r="B295" t="str">
            <v>w</v>
          </cell>
        </row>
        <row r="296">
          <cell r="A296" t="str">
            <v>Arcadius</v>
          </cell>
          <cell r="B296" t="str">
            <v>m</v>
          </cell>
        </row>
        <row r="297">
          <cell r="A297" t="str">
            <v>Arch</v>
          </cell>
          <cell r="B297" t="str">
            <v>m</v>
          </cell>
        </row>
        <row r="298">
          <cell r="A298" t="str">
            <v>Archard</v>
          </cell>
          <cell r="B298" t="str">
            <v>m</v>
          </cell>
        </row>
        <row r="299">
          <cell r="A299" t="str">
            <v>Archer</v>
          </cell>
          <cell r="B299" t="str">
            <v>m</v>
          </cell>
        </row>
        <row r="300">
          <cell r="A300" t="str">
            <v>Archerd</v>
          </cell>
          <cell r="B300" t="str">
            <v>m</v>
          </cell>
        </row>
        <row r="301">
          <cell r="A301" t="str">
            <v>Archibald</v>
          </cell>
          <cell r="B301" t="str">
            <v>m</v>
          </cell>
        </row>
        <row r="302">
          <cell r="A302" t="str">
            <v>Archie</v>
          </cell>
          <cell r="B302" t="str">
            <v>m</v>
          </cell>
        </row>
        <row r="303">
          <cell r="A303" t="str">
            <v>Archimbald</v>
          </cell>
          <cell r="B303" t="str">
            <v>m</v>
          </cell>
        </row>
        <row r="304">
          <cell r="A304" t="str">
            <v>Archy</v>
          </cell>
          <cell r="B304" t="str">
            <v>m</v>
          </cell>
        </row>
        <row r="305">
          <cell r="A305" t="str">
            <v>Arendt</v>
          </cell>
          <cell r="B305" t="str">
            <v>m</v>
          </cell>
        </row>
        <row r="306">
          <cell r="A306" t="str">
            <v>Ariadne</v>
          </cell>
          <cell r="B306" t="str">
            <v>w</v>
          </cell>
        </row>
        <row r="307">
          <cell r="A307" t="str">
            <v>Arian</v>
          </cell>
          <cell r="B307" t="str">
            <v>m</v>
          </cell>
        </row>
        <row r="308">
          <cell r="A308" t="str">
            <v>Ariane</v>
          </cell>
          <cell r="B308" t="str">
            <v>w</v>
          </cell>
        </row>
        <row r="309">
          <cell r="A309" t="str">
            <v>Arianna</v>
          </cell>
          <cell r="B309" t="str">
            <v>w</v>
          </cell>
        </row>
        <row r="310">
          <cell r="A310" t="str">
            <v>Arianne</v>
          </cell>
          <cell r="B310" t="str">
            <v>w</v>
          </cell>
        </row>
        <row r="311">
          <cell r="A311" t="str">
            <v>Ariel</v>
          </cell>
          <cell r="B311" t="str">
            <v>m</v>
          </cell>
        </row>
        <row r="312">
          <cell r="A312" t="str">
            <v>Ariella</v>
          </cell>
          <cell r="B312" t="str">
            <v>w</v>
          </cell>
        </row>
        <row r="313">
          <cell r="A313" t="str">
            <v>Arielle</v>
          </cell>
          <cell r="B313" t="str">
            <v>w</v>
          </cell>
        </row>
        <row r="314">
          <cell r="A314" t="str">
            <v>Arjen</v>
          </cell>
          <cell r="B314" t="str">
            <v>m</v>
          </cell>
        </row>
        <row r="315">
          <cell r="A315" t="str">
            <v>Arlett</v>
          </cell>
          <cell r="B315" t="str">
            <v>w</v>
          </cell>
        </row>
        <row r="316">
          <cell r="A316" t="str">
            <v>Arlette</v>
          </cell>
          <cell r="B316" t="str">
            <v>w</v>
          </cell>
        </row>
        <row r="317">
          <cell r="A317" t="str">
            <v>Armand</v>
          </cell>
          <cell r="B317" t="str">
            <v>m</v>
          </cell>
        </row>
        <row r="318">
          <cell r="A318" t="str">
            <v>Armando</v>
          </cell>
          <cell r="B318" t="str">
            <v>m</v>
          </cell>
        </row>
        <row r="319">
          <cell r="A319" t="str">
            <v>Armin</v>
          </cell>
          <cell r="B319" t="str">
            <v>m</v>
          </cell>
        </row>
        <row r="320">
          <cell r="A320" t="str">
            <v>Armina</v>
          </cell>
          <cell r="B320" t="str">
            <v>w</v>
          </cell>
        </row>
        <row r="321">
          <cell r="A321" t="str">
            <v>Armine</v>
          </cell>
          <cell r="B321" t="str">
            <v>w</v>
          </cell>
        </row>
        <row r="322">
          <cell r="A322" t="str">
            <v>Arminia</v>
          </cell>
          <cell r="B322" t="str">
            <v>w</v>
          </cell>
        </row>
        <row r="323">
          <cell r="A323" t="str">
            <v>Arminius</v>
          </cell>
          <cell r="B323" t="str">
            <v>m</v>
          </cell>
        </row>
        <row r="324">
          <cell r="A324" t="str">
            <v>Armond</v>
          </cell>
          <cell r="B324" t="str">
            <v>m</v>
          </cell>
        </row>
        <row r="325">
          <cell r="A325" t="str">
            <v>Arnald</v>
          </cell>
          <cell r="B325" t="str">
            <v>m</v>
          </cell>
        </row>
        <row r="326">
          <cell r="A326" t="str">
            <v>Arnalda</v>
          </cell>
          <cell r="B326" t="str">
            <v>w</v>
          </cell>
        </row>
        <row r="327">
          <cell r="A327" t="str">
            <v>Arnaldo</v>
          </cell>
          <cell r="B327" t="str">
            <v>m</v>
          </cell>
        </row>
        <row r="328">
          <cell r="A328" t="str">
            <v>Arnall</v>
          </cell>
          <cell r="B328" t="str">
            <v>m</v>
          </cell>
        </row>
        <row r="329">
          <cell r="A329" t="str">
            <v>Arnatt</v>
          </cell>
          <cell r="B329" t="str">
            <v>m</v>
          </cell>
        </row>
        <row r="330">
          <cell r="A330" t="str">
            <v>Arnaud</v>
          </cell>
          <cell r="B330" t="str">
            <v>m</v>
          </cell>
        </row>
        <row r="331">
          <cell r="A331" t="str">
            <v>Arnd</v>
          </cell>
          <cell r="B331" t="str">
            <v>m</v>
          </cell>
        </row>
        <row r="332">
          <cell r="A332" t="str">
            <v>Arndell</v>
          </cell>
          <cell r="B332" t="str">
            <v>m</v>
          </cell>
        </row>
        <row r="333">
          <cell r="A333" t="str">
            <v>Arndt</v>
          </cell>
          <cell r="B333" t="str">
            <v>m</v>
          </cell>
        </row>
        <row r="334">
          <cell r="A334" t="str">
            <v>Arne</v>
          </cell>
          <cell r="B334" t="str">
            <v>m</v>
          </cell>
        </row>
        <row r="335">
          <cell r="A335" t="str">
            <v>Arnelle</v>
          </cell>
          <cell r="B335" t="str">
            <v>w</v>
          </cell>
        </row>
        <row r="336">
          <cell r="A336" t="str">
            <v>Arnet</v>
          </cell>
          <cell r="B336" t="str">
            <v>m</v>
          </cell>
        </row>
        <row r="337">
          <cell r="A337" t="str">
            <v>Arney</v>
          </cell>
          <cell r="B337" t="str">
            <v>m</v>
          </cell>
        </row>
        <row r="338">
          <cell r="A338" t="str">
            <v>Arnhold</v>
          </cell>
          <cell r="B338" t="str">
            <v>m</v>
          </cell>
        </row>
        <row r="339">
          <cell r="A339" t="str">
            <v>Arnie</v>
          </cell>
          <cell r="B339" t="str">
            <v>m</v>
          </cell>
        </row>
        <row r="340">
          <cell r="A340" t="str">
            <v>Arnika</v>
          </cell>
          <cell r="B340" t="str">
            <v>w</v>
          </cell>
        </row>
        <row r="341">
          <cell r="A341" t="str">
            <v>Arnim</v>
          </cell>
          <cell r="B341" t="str">
            <v>m</v>
          </cell>
        </row>
        <row r="342">
          <cell r="A342" t="str">
            <v>Arno</v>
          </cell>
          <cell r="B342" t="str">
            <v>m</v>
          </cell>
        </row>
        <row r="343">
          <cell r="A343" t="str">
            <v>Arnold</v>
          </cell>
          <cell r="B343" t="str">
            <v>m</v>
          </cell>
        </row>
        <row r="344">
          <cell r="A344" t="str">
            <v>Arnott</v>
          </cell>
          <cell r="B344" t="str">
            <v>m</v>
          </cell>
        </row>
        <row r="345">
          <cell r="A345" t="str">
            <v>Aron</v>
          </cell>
          <cell r="B345" t="str">
            <v>m</v>
          </cell>
        </row>
        <row r="346">
          <cell r="A346" t="str">
            <v>Arsène</v>
          </cell>
          <cell r="B346" t="str">
            <v>w</v>
          </cell>
        </row>
        <row r="347">
          <cell r="A347" t="str">
            <v>Arthur</v>
          </cell>
          <cell r="B347" t="str">
            <v>m</v>
          </cell>
        </row>
        <row r="348">
          <cell r="A348" t="str">
            <v>Artur</v>
          </cell>
          <cell r="B348" t="str">
            <v>m</v>
          </cell>
        </row>
        <row r="349">
          <cell r="A349" t="str">
            <v>Arturo</v>
          </cell>
          <cell r="B349" t="str">
            <v>m</v>
          </cell>
        </row>
        <row r="350">
          <cell r="A350" t="str">
            <v>Aruna</v>
          </cell>
          <cell r="B350" t="str">
            <v>w</v>
          </cell>
        </row>
        <row r="351">
          <cell r="A351" t="str">
            <v>Arvie</v>
          </cell>
          <cell r="B351" t="str">
            <v>m</v>
          </cell>
        </row>
        <row r="352">
          <cell r="A352" t="str">
            <v>Arvin</v>
          </cell>
          <cell r="B352" t="str">
            <v>m</v>
          </cell>
        </row>
        <row r="353">
          <cell r="A353" t="str">
            <v>Arvis</v>
          </cell>
          <cell r="B353" t="str">
            <v>m</v>
          </cell>
        </row>
        <row r="354">
          <cell r="A354" t="str">
            <v>Arvon</v>
          </cell>
          <cell r="B354" t="str">
            <v>m</v>
          </cell>
        </row>
        <row r="355">
          <cell r="A355" t="str">
            <v>Arwin</v>
          </cell>
          <cell r="B355" t="str">
            <v>m</v>
          </cell>
        </row>
        <row r="356">
          <cell r="A356" t="str">
            <v>Ascelin</v>
          </cell>
          <cell r="B356" t="str">
            <v>m</v>
          </cell>
        </row>
        <row r="357">
          <cell r="A357" t="str">
            <v>Asta</v>
          </cell>
          <cell r="B357" t="str">
            <v>w</v>
          </cell>
        </row>
        <row r="358">
          <cell r="A358" t="str">
            <v>Asteria</v>
          </cell>
          <cell r="B358" t="str">
            <v>w</v>
          </cell>
        </row>
        <row r="359">
          <cell r="A359" t="str">
            <v>Asterios</v>
          </cell>
          <cell r="B359" t="str">
            <v>m</v>
          </cell>
        </row>
        <row r="360">
          <cell r="A360" t="str">
            <v>Astred</v>
          </cell>
          <cell r="B360" t="str">
            <v>w</v>
          </cell>
        </row>
        <row r="361">
          <cell r="A361" t="str">
            <v>Astrid</v>
          </cell>
          <cell r="B361" t="str">
            <v>w</v>
          </cell>
        </row>
        <row r="362">
          <cell r="A362" t="str">
            <v>Attila</v>
          </cell>
          <cell r="B362" t="str">
            <v>m</v>
          </cell>
        </row>
        <row r="363">
          <cell r="A363" t="str">
            <v>Auberon</v>
          </cell>
          <cell r="B363" t="str">
            <v>m</v>
          </cell>
        </row>
        <row r="364">
          <cell r="A364" t="str">
            <v>Aubert</v>
          </cell>
          <cell r="B364" t="str">
            <v>m</v>
          </cell>
        </row>
        <row r="365">
          <cell r="A365" t="str">
            <v>Aubree</v>
          </cell>
          <cell r="B365" t="str">
            <v>w</v>
          </cell>
        </row>
        <row r="366">
          <cell r="A366" t="str">
            <v>Aubrey</v>
          </cell>
          <cell r="B366" t="str">
            <v>m</v>
          </cell>
        </row>
        <row r="367">
          <cell r="A367" t="str">
            <v>Aubrey</v>
          </cell>
          <cell r="B367" t="str">
            <v>w</v>
          </cell>
        </row>
        <row r="368">
          <cell r="A368" t="str">
            <v>Aubriana</v>
          </cell>
          <cell r="B368" t="str">
            <v>w</v>
          </cell>
        </row>
        <row r="369">
          <cell r="A369" t="str">
            <v>Aubrianne</v>
          </cell>
          <cell r="B369" t="str">
            <v>w</v>
          </cell>
        </row>
        <row r="370">
          <cell r="A370" t="str">
            <v>Aubrie</v>
          </cell>
          <cell r="B370" t="str">
            <v>w</v>
          </cell>
        </row>
        <row r="371">
          <cell r="A371" t="str">
            <v>Aubry</v>
          </cell>
          <cell r="B371" t="str">
            <v>m</v>
          </cell>
        </row>
        <row r="372">
          <cell r="A372" t="str">
            <v>Aubry</v>
          </cell>
          <cell r="B372" t="str">
            <v>w</v>
          </cell>
        </row>
        <row r="373">
          <cell r="A373" t="str">
            <v>Audrey</v>
          </cell>
          <cell r="B373" t="str">
            <v>w</v>
          </cell>
        </row>
        <row r="374">
          <cell r="A374" t="str">
            <v>Audric</v>
          </cell>
          <cell r="B374" t="str">
            <v>m</v>
          </cell>
        </row>
        <row r="375">
          <cell r="A375" t="str">
            <v>Audwin</v>
          </cell>
          <cell r="B375" t="str">
            <v>m</v>
          </cell>
        </row>
        <row r="376">
          <cell r="A376" t="str">
            <v>August</v>
          </cell>
          <cell r="B376" t="str">
            <v>m</v>
          </cell>
        </row>
        <row r="377">
          <cell r="A377" t="str">
            <v>Augustin</v>
          </cell>
          <cell r="B377" t="str">
            <v>m</v>
          </cell>
        </row>
        <row r="378">
          <cell r="A378" t="str">
            <v>Augustinus</v>
          </cell>
          <cell r="B378" t="str">
            <v>m</v>
          </cell>
        </row>
        <row r="379">
          <cell r="A379" t="str">
            <v>Augusto</v>
          </cell>
          <cell r="B379" t="str">
            <v>m</v>
          </cell>
        </row>
        <row r="380">
          <cell r="A380" t="str">
            <v>Augustus</v>
          </cell>
          <cell r="B380" t="str">
            <v>m</v>
          </cell>
        </row>
        <row r="381">
          <cell r="A381" t="str">
            <v>Aurel</v>
          </cell>
          <cell r="B381" t="str">
            <v>m</v>
          </cell>
        </row>
        <row r="382">
          <cell r="A382" t="str">
            <v>Aurelia</v>
          </cell>
          <cell r="B382" t="str">
            <v>w</v>
          </cell>
        </row>
        <row r="383">
          <cell r="A383" t="str">
            <v>Aurelian</v>
          </cell>
          <cell r="B383" t="str">
            <v>m</v>
          </cell>
        </row>
        <row r="384">
          <cell r="A384" t="str">
            <v>Aurelianus</v>
          </cell>
          <cell r="B384" t="str">
            <v>m</v>
          </cell>
        </row>
        <row r="385">
          <cell r="A385" t="str">
            <v>Aurelie</v>
          </cell>
          <cell r="B385" t="str">
            <v>w</v>
          </cell>
        </row>
        <row r="386">
          <cell r="A386" t="str">
            <v>Aurelius</v>
          </cell>
          <cell r="B386" t="str">
            <v>m</v>
          </cell>
        </row>
        <row r="387">
          <cell r="A387" t="str">
            <v>Aurica</v>
          </cell>
          <cell r="B387" t="str">
            <v>w</v>
          </cell>
        </row>
        <row r="388">
          <cell r="A388" t="str">
            <v>Avicia</v>
          </cell>
          <cell r="B388" t="str">
            <v>w</v>
          </cell>
        </row>
        <row r="389">
          <cell r="A389" t="str">
            <v>Axel</v>
          </cell>
          <cell r="B389" t="str">
            <v>m</v>
          </cell>
        </row>
        <row r="390">
          <cell r="A390" t="str">
            <v>Ayasha</v>
          </cell>
          <cell r="B390" t="str">
            <v>w</v>
          </cell>
        </row>
        <row r="391">
          <cell r="A391" t="str">
            <v>Ayden</v>
          </cell>
          <cell r="B391" t="str">
            <v>m</v>
          </cell>
        </row>
        <row r="392">
          <cell r="A392" t="str">
            <v>Ayla</v>
          </cell>
          <cell r="B392" t="str">
            <v>w</v>
          </cell>
        </row>
        <row r="393">
          <cell r="A393" t="str">
            <v>Aysche</v>
          </cell>
          <cell r="B393" t="str">
            <v>w</v>
          </cell>
        </row>
        <row r="394">
          <cell r="A394" t="str">
            <v>Aysun</v>
          </cell>
          <cell r="B394" t="str">
            <v>w</v>
          </cell>
        </row>
        <row r="395">
          <cell r="A395" t="str">
            <v>Azzura</v>
          </cell>
          <cell r="B395" t="str">
            <v>w</v>
          </cell>
        </row>
        <row r="396">
          <cell r="A396" t="str">
            <v>Babette</v>
          </cell>
          <cell r="B396" t="str">
            <v>w</v>
          </cell>
        </row>
        <row r="397">
          <cell r="A397" t="str">
            <v>Baerbel</v>
          </cell>
          <cell r="B397" t="str">
            <v>w</v>
          </cell>
        </row>
        <row r="398">
          <cell r="A398" t="str">
            <v>Baldemar</v>
          </cell>
          <cell r="B398" t="str">
            <v>m</v>
          </cell>
        </row>
        <row r="399">
          <cell r="A399" t="str">
            <v>Baldo</v>
          </cell>
          <cell r="B399" t="str">
            <v>m</v>
          </cell>
        </row>
        <row r="400">
          <cell r="A400" t="str">
            <v>Baldric</v>
          </cell>
          <cell r="B400" t="str">
            <v>m</v>
          </cell>
        </row>
        <row r="401">
          <cell r="A401" t="str">
            <v>Balduin</v>
          </cell>
          <cell r="B401" t="str">
            <v>m</v>
          </cell>
        </row>
        <row r="402">
          <cell r="A402" t="str">
            <v>Baldus</v>
          </cell>
          <cell r="B402" t="str">
            <v>m</v>
          </cell>
        </row>
        <row r="403">
          <cell r="A403" t="str">
            <v>Baldwin</v>
          </cell>
          <cell r="B403" t="str">
            <v>m</v>
          </cell>
        </row>
        <row r="404">
          <cell r="A404" t="str">
            <v>Balko</v>
          </cell>
          <cell r="B404" t="str">
            <v>m</v>
          </cell>
        </row>
        <row r="405">
          <cell r="A405" t="str">
            <v>Ballard</v>
          </cell>
          <cell r="B405" t="str">
            <v>m</v>
          </cell>
        </row>
        <row r="406">
          <cell r="A406" t="str">
            <v>Balthasar</v>
          </cell>
          <cell r="B406" t="str">
            <v>m</v>
          </cell>
        </row>
        <row r="407">
          <cell r="A407" t="str">
            <v>Balthassar</v>
          </cell>
          <cell r="B407" t="str">
            <v>m</v>
          </cell>
        </row>
        <row r="408">
          <cell r="A408" t="str">
            <v>Baptist</v>
          </cell>
          <cell r="B408" t="str">
            <v>m</v>
          </cell>
        </row>
        <row r="409">
          <cell r="A409" t="str">
            <v>Baptiste</v>
          </cell>
          <cell r="B409" t="str">
            <v>m</v>
          </cell>
        </row>
        <row r="410">
          <cell r="A410" t="str">
            <v>Barbara</v>
          </cell>
          <cell r="B410" t="str">
            <v>w</v>
          </cell>
        </row>
        <row r="411">
          <cell r="A411" t="str">
            <v>Bärbel</v>
          </cell>
          <cell r="B411" t="str">
            <v>w</v>
          </cell>
        </row>
        <row r="412">
          <cell r="A412" t="str">
            <v>Barnabas</v>
          </cell>
          <cell r="B412" t="str">
            <v>m</v>
          </cell>
        </row>
        <row r="413">
          <cell r="A413" t="str">
            <v>Barnard</v>
          </cell>
          <cell r="B413" t="str">
            <v>m</v>
          </cell>
        </row>
        <row r="414">
          <cell r="A414" t="str">
            <v>Barret</v>
          </cell>
          <cell r="B414" t="str">
            <v>m</v>
          </cell>
        </row>
        <row r="415">
          <cell r="A415" t="str">
            <v>Barrett</v>
          </cell>
          <cell r="B415" t="str">
            <v>m</v>
          </cell>
        </row>
        <row r="416">
          <cell r="A416" t="str">
            <v>Bart</v>
          </cell>
          <cell r="B416" t="str">
            <v>m</v>
          </cell>
        </row>
        <row r="417">
          <cell r="A417" t="str">
            <v>Barthel</v>
          </cell>
          <cell r="B417" t="str">
            <v>m</v>
          </cell>
        </row>
        <row r="418">
          <cell r="A418" t="str">
            <v>Bartholomaeus</v>
          </cell>
          <cell r="B418" t="str">
            <v>m</v>
          </cell>
        </row>
        <row r="419">
          <cell r="A419" t="str">
            <v>Bartram</v>
          </cell>
          <cell r="B419" t="str">
            <v>m</v>
          </cell>
        </row>
        <row r="420">
          <cell r="A420" t="str">
            <v>Baruch</v>
          </cell>
          <cell r="B420" t="str">
            <v>m</v>
          </cell>
        </row>
        <row r="421">
          <cell r="A421" t="str">
            <v>Bas</v>
          </cell>
          <cell r="B421" t="str">
            <v>m</v>
          </cell>
        </row>
        <row r="422">
          <cell r="A422" t="str">
            <v>Basil</v>
          </cell>
          <cell r="B422" t="str">
            <v>m</v>
          </cell>
        </row>
        <row r="423">
          <cell r="A423" t="str">
            <v>Bast</v>
          </cell>
          <cell r="B423" t="str">
            <v>m</v>
          </cell>
        </row>
        <row r="424">
          <cell r="A424" t="str">
            <v>Bastian</v>
          </cell>
          <cell r="B424" t="str">
            <v>m</v>
          </cell>
        </row>
        <row r="425">
          <cell r="A425" t="str">
            <v>Bastle</v>
          </cell>
          <cell r="B425" t="str">
            <v>m</v>
          </cell>
        </row>
        <row r="426">
          <cell r="A426" t="str">
            <v>Bathilda</v>
          </cell>
          <cell r="B426" t="str">
            <v>w</v>
          </cell>
        </row>
        <row r="427">
          <cell r="A427" t="str">
            <v>Bathilde</v>
          </cell>
          <cell r="B427" t="str">
            <v>w</v>
          </cell>
        </row>
        <row r="428">
          <cell r="A428" t="str">
            <v>Batilda</v>
          </cell>
          <cell r="B428" t="str">
            <v>w</v>
          </cell>
        </row>
        <row r="429">
          <cell r="A429" t="str">
            <v>Batilde</v>
          </cell>
          <cell r="B429" t="str">
            <v>w</v>
          </cell>
        </row>
        <row r="430">
          <cell r="A430" t="str">
            <v>Battist</v>
          </cell>
          <cell r="B430" t="str">
            <v>m</v>
          </cell>
        </row>
        <row r="431">
          <cell r="A431" t="str">
            <v>Battista</v>
          </cell>
          <cell r="B431" t="str">
            <v>m</v>
          </cell>
        </row>
        <row r="432">
          <cell r="A432" t="str">
            <v>Baudouin</v>
          </cell>
          <cell r="B432" t="str">
            <v>m</v>
          </cell>
        </row>
        <row r="433">
          <cell r="A433" t="str">
            <v>Baudric</v>
          </cell>
          <cell r="B433" t="str">
            <v>m</v>
          </cell>
        </row>
        <row r="434">
          <cell r="A434" t="str">
            <v>Bax</v>
          </cell>
          <cell r="B434" t="str">
            <v>m</v>
          </cell>
        </row>
        <row r="435">
          <cell r="A435" t="str">
            <v>Baxter</v>
          </cell>
          <cell r="B435" t="str">
            <v>m</v>
          </cell>
        </row>
        <row r="436">
          <cell r="A436" t="str">
            <v>Bea</v>
          </cell>
          <cell r="B436" t="str">
            <v>w</v>
          </cell>
        </row>
        <row r="437">
          <cell r="A437" t="str">
            <v>Beata</v>
          </cell>
          <cell r="B437" t="str">
            <v>w</v>
          </cell>
        </row>
        <row r="438">
          <cell r="A438" t="str">
            <v>Beate</v>
          </cell>
          <cell r="B438" t="str">
            <v>w</v>
          </cell>
        </row>
        <row r="439">
          <cell r="A439" t="str">
            <v>Beatrice</v>
          </cell>
          <cell r="B439" t="str">
            <v>w</v>
          </cell>
        </row>
        <row r="440">
          <cell r="A440" t="str">
            <v>Beatrix</v>
          </cell>
          <cell r="B440" t="str">
            <v>w</v>
          </cell>
        </row>
        <row r="441">
          <cell r="A441" t="str">
            <v>Becky</v>
          </cell>
          <cell r="B441" t="str">
            <v>w</v>
          </cell>
        </row>
        <row r="442">
          <cell r="A442" t="str">
            <v>Belana</v>
          </cell>
          <cell r="B442" t="str">
            <v>w</v>
          </cell>
        </row>
        <row r="443">
          <cell r="A443" t="str">
            <v>Belinda</v>
          </cell>
          <cell r="B443" t="str">
            <v>w</v>
          </cell>
        </row>
        <row r="444">
          <cell r="A444" t="str">
            <v>Beline</v>
          </cell>
          <cell r="B444" t="str">
            <v>w</v>
          </cell>
        </row>
        <row r="445">
          <cell r="A445" t="str">
            <v>Bell</v>
          </cell>
          <cell r="B445" t="str">
            <v>w</v>
          </cell>
        </row>
        <row r="446">
          <cell r="A446" t="str">
            <v>Bella</v>
          </cell>
          <cell r="B446" t="str">
            <v>w</v>
          </cell>
        </row>
        <row r="447">
          <cell r="A447" t="str">
            <v>Ben</v>
          </cell>
          <cell r="B447" t="str">
            <v>m</v>
          </cell>
        </row>
        <row r="448">
          <cell r="A448" t="str">
            <v>Bendix</v>
          </cell>
          <cell r="B448" t="str">
            <v>m</v>
          </cell>
        </row>
        <row r="449">
          <cell r="A449" t="str">
            <v>Benedetta</v>
          </cell>
          <cell r="B449" t="str">
            <v>w</v>
          </cell>
        </row>
        <row r="450">
          <cell r="A450" t="str">
            <v>Benedict</v>
          </cell>
          <cell r="B450" t="str">
            <v>m</v>
          </cell>
        </row>
        <row r="451">
          <cell r="A451" t="str">
            <v>Benedicta</v>
          </cell>
          <cell r="B451" t="str">
            <v>w</v>
          </cell>
        </row>
        <row r="452">
          <cell r="A452" t="str">
            <v>Benedikt</v>
          </cell>
          <cell r="B452" t="str">
            <v>m</v>
          </cell>
        </row>
        <row r="453">
          <cell r="A453" t="str">
            <v>Benedikta</v>
          </cell>
          <cell r="B453" t="str">
            <v>w</v>
          </cell>
        </row>
        <row r="454">
          <cell r="A454" t="str">
            <v>Benediktus</v>
          </cell>
          <cell r="B454" t="str">
            <v>m</v>
          </cell>
        </row>
        <row r="455">
          <cell r="A455" t="str">
            <v>Bengt</v>
          </cell>
          <cell r="B455" t="str">
            <v>m</v>
          </cell>
        </row>
        <row r="456">
          <cell r="A456" t="str">
            <v>Beni</v>
          </cell>
          <cell r="B456" t="str">
            <v>m</v>
          </cell>
        </row>
        <row r="457">
          <cell r="A457" t="str">
            <v>Benita</v>
          </cell>
          <cell r="B457" t="str">
            <v>w</v>
          </cell>
        </row>
        <row r="458">
          <cell r="A458" t="str">
            <v>Benito</v>
          </cell>
          <cell r="B458" t="str">
            <v>m</v>
          </cell>
        </row>
        <row r="459">
          <cell r="A459" t="str">
            <v>Benjamin</v>
          </cell>
          <cell r="B459" t="str">
            <v>m</v>
          </cell>
        </row>
        <row r="460">
          <cell r="A460" t="str">
            <v>Benjamino</v>
          </cell>
          <cell r="B460" t="str">
            <v>m</v>
          </cell>
        </row>
        <row r="461">
          <cell r="A461" t="str">
            <v>Bennet</v>
          </cell>
          <cell r="B461" t="str">
            <v>m</v>
          </cell>
        </row>
        <row r="462">
          <cell r="A462" t="str">
            <v>Benno</v>
          </cell>
          <cell r="B462" t="str">
            <v>m</v>
          </cell>
        </row>
        <row r="463">
          <cell r="A463" t="str">
            <v>Benny</v>
          </cell>
          <cell r="B463" t="str">
            <v>m</v>
          </cell>
        </row>
        <row r="464">
          <cell r="A464" t="str">
            <v>Beno</v>
          </cell>
          <cell r="B464" t="str">
            <v>m</v>
          </cell>
        </row>
        <row r="465">
          <cell r="A465" t="str">
            <v>Bente</v>
          </cell>
          <cell r="B465" t="str">
            <v>m</v>
          </cell>
        </row>
        <row r="466">
          <cell r="A466" t="str">
            <v>Bente</v>
          </cell>
          <cell r="B466" t="str">
            <v>w</v>
          </cell>
        </row>
        <row r="467">
          <cell r="A467" t="str">
            <v>Beppo</v>
          </cell>
          <cell r="B467" t="str">
            <v>m</v>
          </cell>
        </row>
        <row r="468">
          <cell r="A468" t="str">
            <v>Berdine</v>
          </cell>
          <cell r="B468" t="str">
            <v>w</v>
          </cell>
        </row>
        <row r="469">
          <cell r="A469" t="str">
            <v>Berengar</v>
          </cell>
          <cell r="B469" t="str">
            <v>m</v>
          </cell>
        </row>
        <row r="470">
          <cell r="A470" t="str">
            <v>Berengaria</v>
          </cell>
          <cell r="B470" t="str">
            <v>w</v>
          </cell>
        </row>
        <row r="471">
          <cell r="A471" t="str">
            <v>Berenger</v>
          </cell>
          <cell r="B471" t="str">
            <v>m</v>
          </cell>
        </row>
        <row r="472">
          <cell r="A472" t="str">
            <v>Berenice</v>
          </cell>
          <cell r="B472" t="str">
            <v>w</v>
          </cell>
        </row>
        <row r="473">
          <cell r="A473" t="str">
            <v>Berenike</v>
          </cell>
          <cell r="B473" t="str">
            <v>w</v>
          </cell>
        </row>
        <row r="474">
          <cell r="A474" t="str">
            <v>Berit</v>
          </cell>
          <cell r="B474" t="str">
            <v>m</v>
          </cell>
        </row>
        <row r="475">
          <cell r="A475" t="str">
            <v>Berit</v>
          </cell>
          <cell r="B475" t="str">
            <v>w</v>
          </cell>
        </row>
        <row r="476">
          <cell r="A476" t="str">
            <v>Bernadette</v>
          </cell>
          <cell r="B476" t="str">
            <v>w</v>
          </cell>
        </row>
        <row r="477">
          <cell r="A477" t="str">
            <v>Bernard</v>
          </cell>
          <cell r="B477" t="str">
            <v>m</v>
          </cell>
        </row>
        <row r="478">
          <cell r="A478" t="str">
            <v>Bernarde</v>
          </cell>
          <cell r="B478" t="str">
            <v>w</v>
          </cell>
        </row>
        <row r="479">
          <cell r="A479" t="str">
            <v>Bernardo</v>
          </cell>
          <cell r="B479" t="str">
            <v>m</v>
          </cell>
        </row>
        <row r="480">
          <cell r="A480" t="str">
            <v>Bernd</v>
          </cell>
          <cell r="B480" t="str">
            <v>m</v>
          </cell>
        </row>
        <row r="481">
          <cell r="A481" t="str">
            <v>Bernd H.</v>
          </cell>
          <cell r="B481" t="str">
            <v>m</v>
          </cell>
        </row>
        <row r="482">
          <cell r="A482" t="str">
            <v>Berne</v>
          </cell>
          <cell r="B482" t="str">
            <v>m</v>
          </cell>
        </row>
        <row r="483">
          <cell r="A483" t="str">
            <v>Bernhard</v>
          </cell>
          <cell r="B483" t="str">
            <v>m</v>
          </cell>
        </row>
        <row r="484">
          <cell r="A484" t="str">
            <v>Bernhardine</v>
          </cell>
          <cell r="B484" t="str">
            <v>w</v>
          </cell>
        </row>
        <row r="485">
          <cell r="A485" t="str">
            <v>Bernhardt</v>
          </cell>
          <cell r="B485" t="str">
            <v>m</v>
          </cell>
        </row>
        <row r="486">
          <cell r="A486" t="str">
            <v>Bernice</v>
          </cell>
          <cell r="B486" t="str">
            <v>w</v>
          </cell>
        </row>
        <row r="487">
          <cell r="A487" t="str">
            <v>Bernie</v>
          </cell>
          <cell r="B487" t="str">
            <v>m</v>
          </cell>
        </row>
        <row r="488">
          <cell r="A488" t="str">
            <v>Bernt</v>
          </cell>
          <cell r="B488" t="str">
            <v>m</v>
          </cell>
        </row>
        <row r="489">
          <cell r="A489" t="str">
            <v>Bert</v>
          </cell>
          <cell r="B489" t="str">
            <v>m</v>
          </cell>
        </row>
        <row r="490">
          <cell r="A490" t="str">
            <v>Berta</v>
          </cell>
          <cell r="B490" t="str">
            <v>w</v>
          </cell>
        </row>
        <row r="491">
          <cell r="A491" t="str">
            <v>Berte</v>
          </cell>
          <cell r="B491" t="str">
            <v>w</v>
          </cell>
        </row>
        <row r="492">
          <cell r="A492" t="str">
            <v>Bertha</v>
          </cell>
          <cell r="B492" t="str">
            <v>w</v>
          </cell>
        </row>
        <row r="493">
          <cell r="A493" t="str">
            <v>Berthe</v>
          </cell>
          <cell r="B493" t="str">
            <v>w</v>
          </cell>
        </row>
        <row r="494">
          <cell r="A494" t="str">
            <v>Berthold</v>
          </cell>
          <cell r="B494" t="str">
            <v>m</v>
          </cell>
        </row>
        <row r="495">
          <cell r="A495" t="str">
            <v>Berthoud</v>
          </cell>
          <cell r="B495" t="str">
            <v>m</v>
          </cell>
        </row>
        <row r="496">
          <cell r="A496" t="str">
            <v>Berti</v>
          </cell>
          <cell r="B496" t="str">
            <v>m</v>
          </cell>
        </row>
        <row r="497">
          <cell r="A497" t="str">
            <v>Bertie</v>
          </cell>
          <cell r="B497" t="str">
            <v>m</v>
          </cell>
        </row>
        <row r="498">
          <cell r="A498" t="str">
            <v>Bertie</v>
          </cell>
          <cell r="B498" t="str">
            <v>w</v>
          </cell>
        </row>
        <row r="499">
          <cell r="A499" t="str">
            <v>Bertina</v>
          </cell>
          <cell r="B499" t="str">
            <v>w</v>
          </cell>
        </row>
        <row r="500">
          <cell r="A500" t="str">
            <v>Bertold</v>
          </cell>
          <cell r="B500" t="str">
            <v>m</v>
          </cell>
        </row>
        <row r="501">
          <cell r="A501" t="str">
            <v>Bertolt</v>
          </cell>
          <cell r="B501" t="str">
            <v>m</v>
          </cell>
        </row>
        <row r="502">
          <cell r="A502" t="str">
            <v>Bertram</v>
          </cell>
          <cell r="B502" t="str">
            <v>m</v>
          </cell>
        </row>
        <row r="503">
          <cell r="A503" t="str">
            <v>Bertran</v>
          </cell>
          <cell r="B503" t="str">
            <v>m</v>
          </cell>
        </row>
        <row r="504">
          <cell r="A504" t="str">
            <v>Bertrand</v>
          </cell>
          <cell r="B504" t="str">
            <v>m</v>
          </cell>
        </row>
        <row r="505">
          <cell r="A505" t="str">
            <v>Berty</v>
          </cell>
          <cell r="B505" t="str">
            <v>m</v>
          </cell>
        </row>
        <row r="506">
          <cell r="A506" t="str">
            <v>Berty</v>
          </cell>
          <cell r="B506" t="str">
            <v>w</v>
          </cell>
        </row>
        <row r="507">
          <cell r="A507" t="str">
            <v>Bessy</v>
          </cell>
          <cell r="B507" t="str">
            <v>w</v>
          </cell>
        </row>
        <row r="508">
          <cell r="A508" t="str">
            <v>Betti</v>
          </cell>
          <cell r="B508" t="str">
            <v>w</v>
          </cell>
        </row>
        <row r="509">
          <cell r="A509" t="str">
            <v>Bettina</v>
          </cell>
          <cell r="B509" t="str">
            <v>w</v>
          </cell>
        </row>
        <row r="510">
          <cell r="A510" t="str">
            <v>Beverly</v>
          </cell>
          <cell r="B510" t="str">
            <v>w</v>
          </cell>
        </row>
        <row r="511">
          <cell r="A511" t="str">
            <v>Bianca</v>
          </cell>
          <cell r="B511" t="str">
            <v>w</v>
          </cell>
        </row>
        <row r="512">
          <cell r="A512" t="str">
            <v>Bianka</v>
          </cell>
          <cell r="B512" t="str">
            <v>w</v>
          </cell>
        </row>
        <row r="513">
          <cell r="A513" t="str">
            <v>Bibi</v>
          </cell>
          <cell r="B513" t="str">
            <v>w</v>
          </cell>
        </row>
        <row r="514">
          <cell r="A514" t="str">
            <v>Bibijana</v>
          </cell>
          <cell r="B514" t="str">
            <v>w</v>
          </cell>
        </row>
        <row r="515">
          <cell r="A515" t="str">
            <v>Bille</v>
          </cell>
          <cell r="B515" t="str">
            <v>w</v>
          </cell>
        </row>
        <row r="516">
          <cell r="A516" t="str">
            <v>Billie</v>
          </cell>
          <cell r="B516" t="str">
            <v>w</v>
          </cell>
        </row>
        <row r="517">
          <cell r="A517" t="str">
            <v>Billy</v>
          </cell>
          <cell r="B517" t="str">
            <v>w</v>
          </cell>
        </row>
        <row r="518">
          <cell r="A518" t="str">
            <v>Bina</v>
          </cell>
          <cell r="B518" t="str">
            <v>w</v>
          </cell>
        </row>
        <row r="519">
          <cell r="A519" t="str">
            <v>Bine</v>
          </cell>
          <cell r="B519" t="str">
            <v>w</v>
          </cell>
        </row>
        <row r="520">
          <cell r="A520" t="str">
            <v>Bing</v>
          </cell>
          <cell r="B520" t="str">
            <v>m</v>
          </cell>
        </row>
        <row r="521">
          <cell r="A521" t="str">
            <v>Binga</v>
          </cell>
          <cell r="B521" t="str">
            <v>w</v>
          </cell>
        </row>
        <row r="522">
          <cell r="A522" t="str">
            <v>Binia</v>
          </cell>
          <cell r="B522" t="str">
            <v>w</v>
          </cell>
        </row>
        <row r="523">
          <cell r="A523" t="str">
            <v>Birger</v>
          </cell>
          <cell r="B523" t="str">
            <v>w</v>
          </cell>
        </row>
        <row r="524">
          <cell r="A524" t="str">
            <v>Birgit</v>
          </cell>
          <cell r="B524" t="str">
            <v>w</v>
          </cell>
        </row>
        <row r="525">
          <cell r="A525" t="str">
            <v>Birgitt</v>
          </cell>
          <cell r="B525" t="str">
            <v>w</v>
          </cell>
        </row>
        <row r="526">
          <cell r="A526" t="str">
            <v>Birgitta</v>
          </cell>
          <cell r="B526" t="str">
            <v>w</v>
          </cell>
        </row>
        <row r="527">
          <cell r="A527" t="str">
            <v>Birke</v>
          </cell>
          <cell r="B527" t="str">
            <v>w</v>
          </cell>
        </row>
        <row r="528">
          <cell r="A528" t="str">
            <v>Birte</v>
          </cell>
          <cell r="B528" t="str">
            <v>w</v>
          </cell>
        </row>
        <row r="529">
          <cell r="A529" t="str">
            <v>Bjarne</v>
          </cell>
          <cell r="B529" t="str">
            <v>m</v>
          </cell>
        </row>
        <row r="530">
          <cell r="A530" t="str">
            <v>Bjorn</v>
          </cell>
          <cell r="B530" t="str">
            <v>m</v>
          </cell>
        </row>
        <row r="531">
          <cell r="A531" t="str">
            <v>Björn</v>
          </cell>
          <cell r="B531" t="str">
            <v>m</v>
          </cell>
        </row>
        <row r="532">
          <cell r="A532" t="str">
            <v>Blandina</v>
          </cell>
          <cell r="B532" t="str">
            <v>w</v>
          </cell>
        </row>
        <row r="533">
          <cell r="A533" t="str">
            <v>Blanka</v>
          </cell>
          <cell r="B533" t="str">
            <v>w</v>
          </cell>
        </row>
        <row r="534">
          <cell r="A534" t="str">
            <v>Blenda</v>
          </cell>
          <cell r="B534" t="str">
            <v>w</v>
          </cell>
        </row>
        <row r="535">
          <cell r="A535" t="str">
            <v>Bo</v>
          </cell>
          <cell r="B535" t="str">
            <v>w</v>
          </cell>
        </row>
        <row r="536">
          <cell r="A536" t="str">
            <v>Bob</v>
          </cell>
          <cell r="B536" t="str">
            <v>m</v>
          </cell>
        </row>
        <row r="537">
          <cell r="A537" t="str">
            <v>Bobby-Jo</v>
          </cell>
          <cell r="B537" t="str">
            <v>m</v>
          </cell>
        </row>
        <row r="538">
          <cell r="A538" t="str">
            <v>Bodil</v>
          </cell>
          <cell r="B538" t="str">
            <v>m</v>
          </cell>
        </row>
        <row r="539">
          <cell r="A539" t="str">
            <v>Bodin</v>
          </cell>
          <cell r="B539" t="str">
            <v>m</v>
          </cell>
        </row>
        <row r="540">
          <cell r="A540" t="str">
            <v>Bodo</v>
          </cell>
          <cell r="B540" t="str">
            <v>m</v>
          </cell>
        </row>
        <row r="541">
          <cell r="A541" t="str">
            <v>Bogart</v>
          </cell>
          <cell r="B541" t="str">
            <v>m</v>
          </cell>
        </row>
        <row r="542">
          <cell r="A542" t="str">
            <v>Bogdan</v>
          </cell>
          <cell r="B542" t="str">
            <v>m</v>
          </cell>
        </row>
        <row r="543">
          <cell r="A543" t="str">
            <v>Bojana</v>
          </cell>
          <cell r="B543" t="str">
            <v>w</v>
          </cell>
        </row>
        <row r="544">
          <cell r="A544" t="str">
            <v>Bojena</v>
          </cell>
          <cell r="B544" t="str">
            <v>w</v>
          </cell>
        </row>
        <row r="545">
          <cell r="A545" t="str">
            <v>Bonham</v>
          </cell>
          <cell r="B545" t="str">
            <v>m</v>
          </cell>
        </row>
        <row r="546">
          <cell r="A546" t="str">
            <v>Boniface</v>
          </cell>
          <cell r="B546" t="str">
            <v>m</v>
          </cell>
        </row>
        <row r="547">
          <cell r="A547" t="str">
            <v>Bonifacius</v>
          </cell>
          <cell r="B547" t="str">
            <v>m</v>
          </cell>
        </row>
        <row r="548">
          <cell r="A548" t="str">
            <v>Bonifatius</v>
          </cell>
          <cell r="B548" t="str">
            <v>m</v>
          </cell>
        </row>
        <row r="549">
          <cell r="A549" t="str">
            <v>Bonifaz</v>
          </cell>
          <cell r="B549" t="str">
            <v>m</v>
          </cell>
        </row>
        <row r="550">
          <cell r="A550" t="str">
            <v>Booth</v>
          </cell>
          <cell r="B550" t="str">
            <v>m</v>
          </cell>
        </row>
        <row r="551">
          <cell r="A551" t="str">
            <v>Boothe</v>
          </cell>
          <cell r="B551" t="str">
            <v>m</v>
          </cell>
        </row>
        <row r="552">
          <cell r="A552" t="str">
            <v>Boris</v>
          </cell>
          <cell r="B552" t="str">
            <v>m</v>
          </cell>
        </row>
        <row r="553">
          <cell r="A553" t="str">
            <v>Borissa</v>
          </cell>
          <cell r="B553" t="str">
            <v>w</v>
          </cell>
        </row>
        <row r="554">
          <cell r="A554" t="str">
            <v>Borris</v>
          </cell>
          <cell r="B554" t="str">
            <v>m</v>
          </cell>
        </row>
        <row r="555">
          <cell r="A555" t="str">
            <v>Bosco</v>
          </cell>
          <cell r="B555" t="str">
            <v>m</v>
          </cell>
        </row>
        <row r="556">
          <cell r="A556" t="str">
            <v>Bosse</v>
          </cell>
          <cell r="B556" t="str">
            <v>m</v>
          </cell>
        </row>
        <row r="557">
          <cell r="A557" t="str">
            <v>Bosso</v>
          </cell>
          <cell r="B557" t="str">
            <v>m</v>
          </cell>
        </row>
        <row r="558">
          <cell r="A558" t="str">
            <v>Both</v>
          </cell>
          <cell r="B558" t="str">
            <v>m</v>
          </cell>
        </row>
        <row r="559">
          <cell r="A559" t="str">
            <v>Botho</v>
          </cell>
          <cell r="B559" t="str">
            <v>m</v>
          </cell>
        </row>
        <row r="560">
          <cell r="A560" t="str">
            <v>Boto</v>
          </cell>
          <cell r="B560" t="str">
            <v>m</v>
          </cell>
        </row>
        <row r="561">
          <cell r="A561" t="str">
            <v>Bozo</v>
          </cell>
          <cell r="B561" t="str">
            <v>m</v>
          </cell>
        </row>
        <row r="562">
          <cell r="A562" t="str">
            <v>Bradley</v>
          </cell>
          <cell r="B562" t="str">
            <v>m</v>
          </cell>
        </row>
        <row r="563">
          <cell r="A563" t="str">
            <v>Brecht</v>
          </cell>
          <cell r="B563" t="str">
            <v>m</v>
          </cell>
        </row>
        <row r="564">
          <cell r="A564" t="str">
            <v>Brenda</v>
          </cell>
          <cell r="B564" t="str">
            <v>w</v>
          </cell>
        </row>
        <row r="565">
          <cell r="A565" t="str">
            <v>Brian</v>
          </cell>
          <cell r="B565" t="str">
            <v>m</v>
          </cell>
        </row>
        <row r="566">
          <cell r="A566" t="str">
            <v>Brianna</v>
          </cell>
          <cell r="B566" t="str">
            <v>w</v>
          </cell>
        </row>
        <row r="567">
          <cell r="A567" t="str">
            <v>Bridget</v>
          </cell>
          <cell r="B567" t="str">
            <v>w</v>
          </cell>
        </row>
        <row r="568">
          <cell r="A568" t="str">
            <v>Brigitta</v>
          </cell>
          <cell r="B568" t="str">
            <v>w</v>
          </cell>
        </row>
        <row r="569">
          <cell r="A569" t="str">
            <v>Brigitte</v>
          </cell>
          <cell r="B569" t="str">
            <v>w</v>
          </cell>
        </row>
        <row r="570">
          <cell r="A570" t="str">
            <v>Brisco</v>
          </cell>
          <cell r="B570" t="str">
            <v>m</v>
          </cell>
        </row>
        <row r="571">
          <cell r="A571" t="str">
            <v>Brita</v>
          </cell>
          <cell r="B571" t="str">
            <v>w</v>
          </cell>
        </row>
        <row r="572">
          <cell r="A572" t="str">
            <v>Britt</v>
          </cell>
          <cell r="B572" t="str">
            <v>w</v>
          </cell>
        </row>
        <row r="573">
          <cell r="A573" t="str">
            <v>Britta</v>
          </cell>
          <cell r="B573" t="str">
            <v>w</v>
          </cell>
        </row>
        <row r="574">
          <cell r="A574" t="str">
            <v>Bronja</v>
          </cell>
          <cell r="B574" t="str">
            <v>w</v>
          </cell>
        </row>
        <row r="575">
          <cell r="A575" t="str">
            <v>Bronwen</v>
          </cell>
          <cell r="B575" t="str">
            <v>w</v>
          </cell>
        </row>
        <row r="576">
          <cell r="A576" t="str">
            <v>Bronwyn</v>
          </cell>
          <cell r="B576" t="str">
            <v>w</v>
          </cell>
        </row>
        <row r="577">
          <cell r="A577" t="str">
            <v>Brunhild</v>
          </cell>
          <cell r="B577" t="str">
            <v>w</v>
          </cell>
        </row>
        <row r="578">
          <cell r="A578" t="str">
            <v>Brunhilda</v>
          </cell>
          <cell r="B578" t="str">
            <v>w</v>
          </cell>
        </row>
        <row r="579">
          <cell r="A579" t="str">
            <v>Brunhilde</v>
          </cell>
          <cell r="B579" t="str">
            <v>w</v>
          </cell>
        </row>
        <row r="580">
          <cell r="A580" t="str">
            <v>Bruno</v>
          </cell>
          <cell r="B580" t="str">
            <v>m</v>
          </cell>
        </row>
        <row r="581">
          <cell r="A581" t="str">
            <v>Burghard</v>
          </cell>
          <cell r="B581" t="str">
            <v>m</v>
          </cell>
        </row>
        <row r="582">
          <cell r="A582" t="str">
            <v>Burghart</v>
          </cell>
          <cell r="B582" t="str">
            <v>m</v>
          </cell>
        </row>
        <row r="583">
          <cell r="A583" t="str">
            <v>Burgi</v>
          </cell>
          <cell r="B583" t="str">
            <v>w</v>
          </cell>
        </row>
        <row r="584">
          <cell r="A584" t="str">
            <v>Burkard</v>
          </cell>
          <cell r="B584" t="str">
            <v>m</v>
          </cell>
        </row>
        <row r="585">
          <cell r="A585" t="str">
            <v>Burkhard</v>
          </cell>
          <cell r="B585" t="str">
            <v>m</v>
          </cell>
        </row>
        <row r="586">
          <cell r="A586" t="str">
            <v>Burkhart</v>
          </cell>
          <cell r="B586" t="str">
            <v>m</v>
          </cell>
        </row>
        <row r="587">
          <cell r="A587" t="str">
            <v>Caeser</v>
          </cell>
          <cell r="B587" t="str">
            <v>m</v>
          </cell>
        </row>
        <row r="588">
          <cell r="A588" t="str">
            <v>Cain</v>
          </cell>
          <cell r="B588" t="str">
            <v>m</v>
          </cell>
        </row>
        <row r="589">
          <cell r="A589" t="str">
            <v>Caio</v>
          </cell>
          <cell r="B589" t="str">
            <v>m</v>
          </cell>
        </row>
        <row r="590">
          <cell r="A590" t="str">
            <v>Caitlin</v>
          </cell>
          <cell r="B590" t="str">
            <v>w</v>
          </cell>
        </row>
        <row r="591">
          <cell r="A591" t="str">
            <v>Caja</v>
          </cell>
          <cell r="B591" t="str">
            <v>w</v>
          </cell>
        </row>
        <row r="592">
          <cell r="A592" t="str">
            <v>Calliste</v>
          </cell>
          <cell r="B592" t="str">
            <v>m</v>
          </cell>
        </row>
        <row r="593">
          <cell r="A593" t="str">
            <v>Callixtus</v>
          </cell>
          <cell r="B593" t="str">
            <v>m</v>
          </cell>
        </row>
        <row r="594">
          <cell r="A594" t="str">
            <v>Calvin</v>
          </cell>
          <cell r="B594" t="str">
            <v>m</v>
          </cell>
        </row>
        <row r="595">
          <cell r="A595" t="str">
            <v>Camilla</v>
          </cell>
          <cell r="B595" t="str">
            <v>w</v>
          </cell>
        </row>
        <row r="596">
          <cell r="A596" t="str">
            <v>Camille</v>
          </cell>
          <cell r="B596" t="str">
            <v>w</v>
          </cell>
        </row>
        <row r="597">
          <cell r="A597" t="str">
            <v>Cara</v>
          </cell>
          <cell r="B597" t="str">
            <v>w</v>
          </cell>
        </row>
        <row r="598">
          <cell r="A598" t="str">
            <v>Carel</v>
          </cell>
          <cell r="B598" t="str">
            <v>m</v>
          </cell>
        </row>
        <row r="599">
          <cell r="A599" t="str">
            <v>Carin</v>
          </cell>
          <cell r="B599" t="str">
            <v>w</v>
          </cell>
        </row>
        <row r="600">
          <cell r="A600" t="str">
            <v>Carina</v>
          </cell>
          <cell r="B600" t="str">
            <v>w</v>
          </cell>
        </row>
        <row r="601">
          <cell r="A601" t="str">
            <v>Carl</v>
          </cell>
          <cell r="B601" t="str">
            <v>m</v>
          </cell>
        </row>
        <row r="602">
          <cell r="A602" t="str">
            <v>Carla</v>
          </cell>
          <cell r="B602" t="str">
            <v>w</v>
          </cell>
        </row>
        <row r="603">
          <cell r="A603" t="str">
            <v>Carlo</v>
          </cell>
          <cell r="B603" t="str">
            <v>m</v>
          </cell>
        </row>
        <row r="604">
          <cell r="A604" t="str">
            <v>Carlos</v>
          </cell>
          <cell r="B604" t="str">
            <v>m</v>
          </cell>
        </row>
        <row r="605">
          <cell r="A605" t="str">
            <v>Carlota</v>
          </cell>
          <cell r="B605" t="str">
            <v>w</v>
          </cell>
        </row>
        <row r="606">
          <cell r="A606" t="str">
            <v>Carlotta</v>
          </cell>
          <cell r="B606" t="str">
            <v>w</v>
          </cell>
        </row>
        <row r="607">
          <cell r="A607" t="str">
            <v>Carmela</v>
          </cell>
          <cell r="B607" t="str">
            <v>w</v>
          </cell>
        </row>
        <row r="608">
          <cell r="A608" t="str">
            <v>Carmelia</v>
          </cell>
          <cell r="B608" t="str">
            <v>w</v>
          </cell>
        </row>
        <row r="609">
          <cell r="A609" t="str">
            <v>Carmen</v>
          </cell>
          <cell r="B609" t="str">
            <v>w</v>
          </cell>
        </row>
        <row r="610">
          <cell r="A610" t="str">
            <v>Caro</v>
          </cell>
          <cell r="B610" t="str">
            <v>w</v>
          </cell>
        </row>
        <row r="611">
          <cell r="A611" t="str">
            <v>Carol</v>
          </cell>
          <cell r="B611" t="str">
            <v>m</v>
          </cell>
        </row>
        <row r="612">
          <cell r="A612" t="str">
            <v>Carola</v>
          </cell>
          <cell r="B612" t="str">
            <v>w</v>
          </cell>
        </row>
        <row r="613">
          <cell r="A613" t="str">
            <v>Carolin</v>
          </cell>
          <cell r="B613" t="str">
            <v>w</v>
          </cell>
        </row>
        <row r="614">
          <cell r="A614" t="str">
            <v>Carolina</v>
          </cell>
          <cell r="B614" t="str">
            <v>w</v>
          </cell>
        </row>
        <row r="615">
          <cell r="A615" t="str">
            <v>Caroline</v>
          </cell>
          <cell r="B615" t="str">
            <v>w</v>
          </cell>
        </row>
        <row r="616">
          <cell r="A616" t="str">
            <v>Carry</v>
          </cell>
          <cell r="B616" t="str">
            <v>w</v>
          </cell>
        </row>
        <row r="617">
          <cell r="A617" t="str">
            <v>Carsta</v>
          </cell>
          <cell r="B617" t="str">
            <v>w</v>
          </cell>
        </row>
        <row r="618">
          <cell r="A618" t="str">
            <v>Carsten</v>
          </cell>
          <cell r="B618" t="str">
            <v>m</v>
          </cell>
        </row>
        <row r="619">
          <cell r="A619" t="str">
            <v>Carter</v>
          </cell>
          <cell r="B619" t="str">
            <v>m</v>
          </cell>
        </row>
        <row r="620">
          <cell r="A620" t="str">
            <v>Caschi</v>
          </cell>
          <cell r="B620" t="str">
            <v>m</v>
          </cell>
        </row>
        <row r="621">
          <cell r="A621" t="str">
            <v>Casimir</v>
          </cell>
          <cell r="B621" t="str">
            <v>m</v>
          </cell>
        </row>
        <row r="622">
          <cell r="A622" t="str">
            <v>Caspar</v>
          </cell>
          <cell r="B622" t="str">
            <v>m</v>
          </cell>
        </row>
        <row r="623">
          <cell r="A623" t="str">
            <v>Cassandra</v>
          </cell>
          <cell r="B623" t="str">
            <v>w</v>
          </cell>
        </row>
        <row r="624">
          <cell r="A624" t="str">
            <v>Castor</v>
          </cell>
          <cell r="B624" t="str">
            <v>m</v>
          </cell>
        </row>
        <row r="625">
          <cell r="A625" t="str">
            <v>Cataldo</v>
          </cell>
          <cell r="B625" t="str">
            <v>m</v>
          </cell>
        </row>
        <row r="626">
          <cell r="A626" t="str">
            <v>Catharina</v>
          </cell>
          <cell r="B626" t="str">
            <v>w</v>
          </cell>
        </row>
        <row r="627">
          <cell r="A627" t="str">
            <v>Cathérine</v>
          </cell>
          <cell r="B627" t="str">
            <v>w</v>
          </cell>
        </row>
        <row r="628">
          <cell r="A628" t="str">
            <v>Cathleen</v>
          </cell>
          <cell r="B628" t="str">
            <v>w</v>
          </cell>
        </row>
        <row r="629">
          <cell r="A629" t="str">
            <v>Cathrin</v>
          </cell>
          <cell r="B629" t="str">
            <v>w</v>
          </cell>
        </row>
        <row r="630">
          <cell r="A630" t="str">
            <v>Cäzilie</v>
          </cell>
          <cell r="B630" t="str">
            <v>w</v>
          </cell>
        </row>
        <row r="631">
          <cell r="A631" t="str">
            <v>Cecco</v>
          </cell>
          <cell r="B631" t="str">
            <v>m</v>
          </cell>
        </row>
        <row r="632">
          <cell r="A632" t="str">
            <v>Cecilie</v>
          </cell>
          <cell r="B632" t="str">
            <v>w</v>
          </cell>
        </row>
        <row r="633">
          <cell r="A633" t="str">
            <v>Cedric</v>
          </cell>
          <cell r="B633" t="str">
            <v>m</v>
          </cell>
        </row>
        <row r="634">
          <cell r="A634" t="str">
            <v>Cedrine</v>
          </cell>
          <cell r="B634" t="str">
            <v>w</v>
          </cell>
        </row>
        <row r="635">
          <cell r="A635" t="str">
            <v>Celeste</v>
          </cell>
          <cell r="B635" t="str">
            <v>w</v>
          </cell>
        </row>
        <row r="636">
          <cell r="A636" t="str">
            <v>Celestino</v>
          </cell>
          <cell r="B636" t="str">
            <v>m</v>
          </cell>
        </row>
        <row r="637">
          <cell r="A637" t="str">
            <v>Celina</v>
          </cell>
          <cell r="B637" t="str">
            <v>w</v>
          </cell>
        </row>
        <row r="638">
          <cell r="A638" t="str">
            <v>Celine</v>
          </cell>
          <cell r="B638" t="str">
            <v>w</v>
          </cell>
        </row>
        <row r="639">
          <cell r="A639" t="str">
            <v>Cellina</v>
          </cell>
          <cell r="B639" t="str">
            <v>w</v>
          </cell>
        </row>
        <row r="640">
          <cell r="A640" t="str">
            <v>Cerdic</v>
          </cell>
          <cell r="B640" t="str">
            <v>m</v>
          </cell>
        </row>
        <row r="641">
          <cell r="A641" t="str">
            <v>Chantal</v>
          </cell>
          <cell r="B641" t="str">
            <v>w</v>
          </cell>
        </row>
        <row r="642">
          <cell r="A642" t="str">
            <v>Charis</v>
          </cell>
          <cell r="B642" t="str">
            <v>w</v>
          </cell>
        </row>
        <row r="643">
          <cell r="A643" t="str">
            <v>Charlene</v>
          </cell>
          <cell r="B643" t="str">
            <v>w</v>
          </cell>
        </row>
        <row r="644">
          <cell r="A644" t="str">
            <v>Charles</v>
          </cell>
          <cell r="B644" t="str">
            <v>m</v>
          </cell>
        </row>
        <row r="645">
          <cell r="A645" t="str">
            <v>Charley</v>
          </cell>
          <cell r="B645" t="str">
            <v>m</v>
          </cell>
        </row>
        <row r="646">
          <cell r="A646" t="str">
            <v>Charlie</v>
          </cell>
          <cell r="B646" t="str">
            <v>m</v>
          </cell>
        </row>
        <row r="647">
          <cell r="A647" t="str">
            <v>Charlotte</v>
          </cell>
          <cell r="B647" t="str">
            <v>w</v>
          </cell>
        </row>
        <row r="648">
          <cell r="A648" t="str">
            <v>Charly</v>
          </cell>
          <cell r="B648" t="str">
            <v>m</v>
          </cell>
        </row>
        <row r="649">
          <cell r="A649" t="str">
            <v>Cheyenne</v>
          </cell>
          <cell r="B649" t="str">
            <v>w</v>
          </cell>
        </row>
        <row r="650">
          <cell r="A650" t="str">
            <v>Chiara</v>
          </cell>
          <cell r="B650" t="str">
            <v>w</v>
          </cell>
        </row>
        <row r="651">
          <cell r="A651" t="str">
            <v>Chlarimonda</v>
          </cell>
          <cell r="B651" t="str">
            <v>w</v>
          </cell>
        </row>
        <row r="652">
          <cell r="A652" t="str">
            <v>Chlarimonde</v>
          </cell>
          <cell r="B652" t="str">
            <v>w</v>
          </cell>
        </row>
        <row r="653">
          <cell r="A653" t="str">
            <v>Chloe</v>
          </cell>
          <cell r="B653" t="str">
            <v>w</v>
          </cell>
        </row>
        <row r="654">
          <cell r="A654" t="str">
            <v>Chlorinde</v>
          </cell>
          <cell r="B654" t="str">
            <v>w</v>
          </cell>
        </row>
        <row r="655">
          <cell r="A655" t="str">
            <v>Chloris</v>
          </cell>
          <cell r="B655" t="str">
            <v>w</v>
          </cell>
        </row>
        <row r="656">
          <cell r="A656" t="str">
            <v>Chlothilde</v>
          </cell>
          <cell r="B656" t="str">
            <v>w</v>
          </cell>
        </row>
        <row r="657">
          <cell r="A657" t="str">
            <v>Chrestien</v>
          </cell>
          <cell r="B657" t="str">
            <v>m</v>
          </cell>
        </row>
        <row r="658">
          <cell r="A658" t="str">
            <v>Chris</v>
          </cell>
          <cell r="B658" t="str">
            <v>m</v>
          </cell>
        </row>
        <row r="659">
          <cell r="A659" t="str">
            <v>Christa</v>
          </cell>
          <cell r="B659" t="str">
            <v>w</v>
          </cell>
        </row>
        <row r="660">
          <cell r="A660" t="str">
            <v>Christel</v>
          </cell>
          <cell r="B660" t="str">
            <v>w</v>
          </cell>
        </row>
        <row r="661">
          <cell r="A661" t="str">
            <v>Christian</v>
          </cell>
          <cell r="B661" t="str">
            <v>m</v>
          </cell>
        </row>
        <row r="662">
          <cell r="A662" t="str">
            <v>Christian Rolf</v>
          </cell>
          <cell r="B662" t="str">
            <v>m</v>
          </cell>
        </row>
        <row r="663">
          <cell r="A663" t="str">
            <v>Christiana</v>
          </cell>
          <cell r="B663" t="str">
            <v>w</v>
          </cell>
        </row>
        <row r="664">
          <cell r="A664" t="str">
            <v>Christiane</v>
          </cell>
          <cell r="B664" t="str">
            <v>w</v>
          </cell>
        </row>
        <row r="665">
          <cell r="A665" t="str">
            <v>Christin</v>
          </cell>
          <cell r="B665" t="str">
            <v>w</v>
          </cell>
        </row>
        <row r="666">
          <cell r="A666" t="str">
            <v>Christina</v>
          </cell>
          <cell r="B666" t="str">
            <v>w</v>
          </cell>
        </row>
        <row r="667">
          <cell r="A667" t="str">
            <v>Christine</v>
          </cell>
          <cell r="B667" t="str">
            <v>w</v>
          </cell>
        </row>
        <row r="668">
          <cell r="A668" t="str">
            <v>Christinus</v>
          </cell>
          <cell r="B668" t="str">
            <v>m</v>
          </cell>
        </row>
        <row r="669">
          <cell r="A669" t="str">
            <v>Christof</v>
          </cell>
          <cell r="B669" t="str">
            <v>m</v>
          </cell>
        </row>
        <row r="670">
          <cell r="A670" t="str">
            <v>Christoph</v>
          </cell>
          <cell r="B670" t="str">
            <v>m</v>
          </cell>
        </row>
        <row r="671">
          <cell r="A671" t="str">
            <v>Christopher</v>
          </cell>
          <cell r="B671" t="str">
            <v>m</v>
          </cell>
        </row>
        <row r="672">
          <cell r="A672" t="str">
            <v>Christopherus</v>
          </cell>
          <cell r="B672" t="str">
            <v>m</v>
          </cell>
        </row>
        <row r="673">
          <cell r="A673" t="str">
            <v>Cicilina</v>
          </cell>
          <cell r="B673" t="str">
            <v>w</v>
          </cell>
        </row>
        <row r="674">
          <cell r="A674" t="str">
            <v>Cilia</v>
          </cell>
          <cell r="B674" t="str">
            <v>w</v>
          </cell>
        </row>
        <row r="675">
          <cell r="A675" t="str">
            <v>Cilli</v>
          </cell>
          <cell r="B675" t="str">
            <v>w</v>
          </cell>
        </row>
        <row r="676">
          <cell r="A676" t="str">
            <v>Cindy</v>
          </cell>
          <cell r="B676" t="str">
            <v>w</v>
          </cell>
        </row>
        <row r="677">
          <cell r="A677" t="str">
            <v>Cinzia</v>
          </cell>
          <cell r="B677" t="str">
            <v>w</v>
          </cell>
        </row>
        <row r="678">
          <cell r="A678" t="str">
            <v>Cira</v>
          </cell>
          <cell r="B678" t="str">
            <v>w</v>
          </cell>
        </row>
        <row r="679">
          <cell r="A679" t="str">
            <v>Claas</v>
          </cell>
          <cell r="B679" t="str">
            <v>m</v>
          </cell>
        </row>
        <row r="680">
          <cell r="A680" t="str">
            <v>Clara</v>
          </cell>
          <cell r="B680" t="str">
            <v>w</v>
          </cell>
        </row>
        <row r="681">
          <cell r="A681" t="str">
            <v>Clare</v>
          </cell>
          <cell r="B681" t="str">
            <v>w</v>
          </cell>
        </row>
        <row r="682">
          <cell r="A682" t="str">
            <v>Clarimond</v>
          </cell>
          <cell r="B682" t="str">
            <v>w</v>
          </cell>
        </row>
        <row r="683">
          <cell r="A683" t="str">
            <v>Clarimonda</v>
          </cell>
          <cell r="B683" t="str">
            <v>w</v>
          </cell>
        </row>
        <row r="684">
          <cell r="A684" t="str">
            <v>Clarimonde</v>
          </cell>
          <cell r="B684" t="str">
            <v>w</v>
          </cell>
        </row>
        <row r="685">
          <cell r="A685" t="str">
            <v>Clarissa</v>
          </cell>
          <cell r="B685" t="str">
            <v>w</v>
          </cell>
        </row>
        <row r="686">
          <cell r="A686" t="str">
            <v>Claudia</v>
          </cell>
          <cell r="B686" t="str">
            <v>w</v>
          </cell>
        </row>
        <row r="687">
          <cell r="A687" t="str">
            <v>Claudine</v>
          </cell>
          <cell r="B687" t="str">
            <v>w</v>
          </cell>
        </row>
        <row r="688">
          <cell r="A688" t="str">
            <v>Claudio</v>
          </cell>
          <cell r="B688" t="str">
            <v>m</v>
          </cell>
        </row>
        <row r="689">
          <cell r="A689" t="str">
            <v>Claudius</v>
          </cell>
          <cell r="B689" t="str">
            <v>m</v>
          </cell>
        </row>
        <row r="690">
          <cell r="A690" t="str">
            <v>Claus</v>
          </cell>
          <cell r="B690" t="str">
            <v>m</v>
          </cell>
        </row>
        <row r="691">
          <cell r="A691" t="str">
            <v>Claus-Dieter</v>
          </cell>
          <cell r="B691" t="str">
            <v>m</v>
          </cell>
        </row>
        <row r="692">
          <cell r="A692" t="str">
            <v>Claus-Peter</v>
          </cell>
          <cell r="B692" t="str">
            <v>m</v>
          </cell>
        </row>
        <row r="693">
          <cell r="A693" t="str">
            <v>Claus-Ralf</v>
          </cell>
          <cell r="B693" t="str">
            <v>m</v>
          </cell>
        </row>
        <row r="694">
          <cell r="A694" t="str">
            <v>Clemens</v>
          </cell>
          <cell r="B694" t="str">
            <v>m</v>
          </cell>
        </row>
        <row r="695">
          <cell r="A695" t="str">
            <v>Clement</v>
          </cell>
          <cell r="B695" t="str">
            <v>m</v>
          </cell>
        </row>
        <row r="696">
          <cell r="A696" t="str">
            <v>Clementia</v>
          </cell>
          <cell r="B696" t="str">
            <v>w</v>
          </cell>
        </row>
        <row r="697">
          <cell r="A697" t="str">
            <v>Clementina</v>
          </cell>
          <cell r="B697" t="str">
            <v>w</v>
          </cell>
        </row>
        <row r="698">
          <cell r="A698" t="str">
            <v>Clementine</v>
          </cell>
          <cell r="B698" t="str">
            <v>w</v>
          </cell>
        </row>
        <row r="699">
          <cell r="A699" t="str">
            <v>Cleopas</v>
          </cell>
          <cell r="B699" t="str">
            <v>m</v>
          </cell>
        </row>
        <row r="700">
          <cell r="A700" t="str">
            <v>Cliff</v>
          </cell>
          <cell r="B700" t="str">
            <v>m</v>
          </cell>
        </row>
        <row r="701">
          <cell r="A701" t="str">
            <v>Clodia</v>
          </cell>
          <cell r="B701" t="str">
            <v>w</v>
          </cell>
        </row>
        <row r="702">
          <cell r="A702" t="str">
            <v>Clothilda</v>
          </cell>
          <cell r="B702" t="str">
            <v>w</v>
          </cell>
        </row>
        <row r="703">
          <cell r="A703" t="str">
            <v>Clothilde</v>
          </cell>
          <cell r="B703" t="str">
            <v>w</v>
          </cell>
        </row>
        <row r="704">
          <cell r="A704" t="str">
            <v>Clotilda</v>
          </cell>
          <cell r="B704" t="str">
            <v>w</v>
          </cell>
        </row>
        <row r="705">
          <cell r="A705" t="str">
            <v>Clotilde</v>
          </cell>
          <cell r="B705" t="str">
            <v>w</v>
          </cell>
        </row>
        <row r="706">
          <cell r="A706" t="str">
            <v>Clovis</v>
          </cell>
          <cell r="B706" t="str">
            <v>m</v>
          </cell>
        </row>
        <row r="707">
          <cell r="A707" t="str">
            <v>Cohen</v>
          </cell>
          <cell r="B707" t="str">
            <v>m</v>
          </cell>
        </row>
        <row r="708">
          <cell r="A708" t="str">
            <v>Coleta</v>
          </cell>
          <cell r="B708" t="str">
            <v>w</v>
          </cell>
        </row>
        <row r="709">
          <cell r="A709" t="str">
            <v>Coletta</v>
          </cell>
          <cell r="B709" t="str">
            <v>w</v>
          </cell>
        </row>
        <row r="710">
          <cell r="A710" t="str">
            <v>Colette</v>
          </cell>
          <cell r="B710" t="str">
            <v>w</v>
          </cell>
        </row>
        <row r="711">
          <cell r="A711" t="str">
            <v>Coljar</v>
          </cell>
          <cell r="B711" t="str">
            <v>m</v>
          </cell>
        </row>
        <row r="712">
          <cell r="A712" t="str">
            <v>Collin</v>
          </cell>
          <cell r="B712" t="str">
            <v>m</v>
          </cell>
        </row>
        <row r="713">
          <cell r="A713" t="str">
            <v>Con</v>
          </cell>
          <cell r="B713" t="str">
            <v>m</v>
          </cell>
        </row>
        <row r="714">
          <cell r="A714" t="str">
            <v>Conner</v>
          </cell>
          <cell r="B714" t="str">
            <v>m</v>
          </cell>
        </row>
        <row r="715">
          <cell r="A715" t="str">
            <v>Conni</v>
          </cell>
          <cell r="B715" t="str">
            <v>m</v>
          </cell>
        </row>
        <row r="716">
          <cell r="A716" t="str">
            <v>Conni</v>
          </cell>
          <cell r="B716" t="str">
            <v>w</v>
          </cell>
        </row>
        <row r="717">
          <cell r="A717" t="str">
            <v>Connie</v>
          </cell>
          <cell r="B717" t="str">
            <v>m</v>
          </cell>
        </row>
        <row r="718">
          <cell r="A718" t="str">
            <v>Connie</v>
          </cell>
          <cell r="B718" t="str">
            <v>w</v>
          </cell>
        </row>
        <row r="719">
          <cell r="A719" t="str">
            <v>Conny</v>
          </cell>
          <cell r="B719" t="str">
            <v>m</v>
          </cell>
        </row>
        <row r="720">
          <cell r="A720" t="str">
            <v>Conrad</v>
          </cell>
          <cell r="B720" t="str">
            <v>m</v>
          </cell>
        </row>
        <row r="721">
          <cell r="A721" t="str">
            <v>Conrada</v>
          </cell>
          <cell r="B721" t="str">
            <v>w</v>
          </cell>
        </row>
        <row r="722">
          <cell r="A722" t="str">
            <v>Conradina</v>
          </cell>
          <cell r="B722" t="str">
            <v>w</v>
          </cell>
        </row>
        <row r="723">
          <cell r="A723" t="str">
            <v>Conradine</v>
          </cell>
          <cell r="B723" t="str">
            <v>w</v>
          </cell>
        </row>
        <row r="724">
          <cell r="A724" t="str">
            <v>Constance</v>
          </cell>
          <cell r="B724" t="str">
            <v>w</v>
          </cell>
        </row>
        <row r="725">
          <cell r="A725" t="str">
            <v>Constantin</v>
          </cell>
          <cell r="B725" t="str">
            <v>m</v>
          </cell>
        </row>
        <row r="726">
          <cell r="A726" t="str">
            <v>Constantinus</v>
          </cell>
          <cell r="B726" t="str">
            <v>m</v>
          </cell>
        </row>
        <row r="727">
          <cell r="A727" t="str">
            <v>Constanze</v>
          </cell>
          <cell r="B727" t="str">
            <v>w</v>
          </cell>
        </row>
        <row r="728">
          <cell r="A728" t="str">
            <v>Cora</v>
          </cell>
          <cell r="B728" t="str">
            <v>w</v>
          </cell>
        </row>
        <row r="729">
          <cell r="A729" t="str">
            <v>Corbinian</v>
          </cell>
          <cell r="B729" t="str">
            <v>m</v>
          </cell>
        </row>
        <row r="730">
          <cell r="A730" t="str">
            <v>Cordalles</v>
          </cell>
          <cell r="B730" t="str">
            <v>m</v>
          </cell>
        </row>
        <row r="731">
          <cell r="A731" t="str">
            <v>Cordelia</v>
          </cell>
          <cell r="B731" t="str">
            <v>w</v>
          </cell>
        </row>
        <row r="732">
          <cell r="A732" t="str">
            <v>Cordula</v>
          </cell>
          <cell r="B732" t="str">
            <v>w</v>
          </cell>
        </row>
        <row r="733">
          <cell r="A733" t="str">
            <v>Corina</v>
          </cell>
          <cell r="B733" t="str">
            <v>w</v>
          </cell>
        </row>
        <row r="734">
          <cell r="A734" t="str">
            <v>Corinna</v>
          </cell>
          <cell r="B734" t="str">
            <v>w</v>
          </cell>
        </row>
        <row r="735">
          <cell r="A735" t="str">
            <v>Cornelia</v>
          </cell>
          <cell r="B735" t="str">
            <v>w</v>
          </cell>
        </row>
        <row r="736">
          <cell r="A736" t="str">
            <v>Cornelio</v>
          </cell>
          <cell r="B736" t="str">
            <v>m</v>
          </cell>
        </row>
        <row r="737">
          <cell r="A737" t="str">
            <v>Cornelius</v>
          </cell>
          <cell r="B737" t="str">
            <v>m</v>
          </cell>
        </row>
        <row r="738">
          <cell r="A738" t="str">
            <v>Corney</v>
          </cell>
          <cell r="B738" t="str">
            <v>w</v>
          </cell>
        </row>
        <row r="739">
          <cell r="A739" t="str">
            <v>Cort</v>
          </cell>
          <cell r="B739" t="str">
            <v>m</v>
          </cell>
        </row>
        <row r="740">
          <cell r="A740" t="str">
            <v>Cosima</v>
          </cell>
          <cell r="B740" t="str">
            <v>w</v>
          </cell>
        </row>
        <row r="741">
          <cell r="A741" t="str">
            <v>Cosma</v>
          </cell>
          <cell r="B741" t="str">
            <v>w</v>
          </cell>
        </row>
        <row r="742">
          <cell r="A742" t="str">
            <v>Curt</v>
          </cell>
          <cell r="B742" t="str">
            <v>m</v>
          </cell>
        </row>
        <row r="743">
          <cell r="A743" t="str">
            <v>Cyprienne</v>
          </cell>
          <cell r="B743" t="str">
            <v>w</v>
          </cell>
        </row>
        <row r="744">
          <cell r="A744" t="str">
            <v>Cyrill</v>
          </cell>
          <cell r="B744" t="str">
            <v>m</v>
          </cell>
        </row>
        <row r="745">
          <cell r="A745" t="str">
            <v>Cyrillus</v>
          </cell>
          <cell r="B745" t="str">
            <v>m</v>
          </cell>
        </row>
        <row r="746">
          <cell r="A746" t="str">
            <v>Dabbert</v>
          </cell>
          <cell r="B746" t="str">
            <v>m</v>
          </cell>
        </row>
        <row r="747">
          <cell r="A747" t="str">
            <v>Dag</v>
          </cell>
          <cell r="B747" t="str">
            <v>m</v>
          </cell>
        </row>
        <row r="748">
          <cell r="A748" t="str">
            <v>Daggy</v>
          </cell>
          <cell r="B748" t="str">
            <v>w</v>
          </cell>
        </row>
        <row r="749">
          <cell r="A749" t="str">
            <v>Dagmar</v>
          </cell>
          <cell r="B749" t="str">
            <v>w</v>
          </cell>
        </row>
        <row r="750">
          <cell r="A750" t="str">
            <v>Dagmara</v>
          </cell>
          <cell r="B750" t="str">
            <v>w</v>
          </cell>
        </row>
        <row r="751">
          <cell r="A751" t="str">
            <v>Dagny</v>
          </cell>
          <cell r="B751" t="str">
            <v>w</v>
          </cell>
        </row>
        <row r="752">
          <cell r="A752" t="str">
            <v>Dagobert</v>
          </cell>
          <cell r="B752" t="str">
            <v>m</v>
          </cell>
        </row>
        <row r="753">
          <cell r="A753" t="str">
            <v>Daisy</v>
          </cell>
          <cell r="B753" t="str">
            <v>w</v>
          </cell>
        </row>
        <row r="754">
          <cell r="A754" t="str">
            <v>Dajana</v>
          </cell>
          <cell r="B754" t="str">
            <v>w</v>
          </cell>
        </row>
        <row r="755">
          <cell r="A755" t="str">
            <v>Dale</v>
          </cell>
          <cell r="B755" t="str">
            <v>m</v>
          </cell>
        </row>
        <row r="756">
          <cell r="A756" t="str">
            <v>Dale</v>
          </cell>
          <cell r="B756" t="str">
            <v>w</v>
          </cell>
        </row>
        <row r="757">
          <cell r="A757" t="str">
            <v>Damian</v>
          </cell>
          <cell r="B757" t="str">
            <v>m</v>
          </cell>
        </row>
        <row r="758">
          <cell r="A758" t="str">
            <v>Damiana</v>
          </cell>
          <cell r="B758" t="str">
            <v>w</v>
          </cell>
        </row>
        <row r="759">
          <cell r="A759" t="str">
            <v>Damiano</v>
          </cell>
          <cell r="B759" t="str">
            <v>m</v>
          </cell>
        </row>
        <row r="760">
          <cell r="A760" t="str">
            <v>Damien</v>
          </cell>
          <cell r="B760" t="str">
            <v>m</v>
          </cell>
        </row>
        <row r="761">
          <cell r="A761" t="str">
            <v>Dan</v>
          </cell>
          <cell r="B761" t="str">
            <v>m</v>
          </cell>
        </row>
        <row r="762">
          <cell r="A762" t="str">
            <v>Dana</v>
          </cell>
          <cell r="B762" t="str">
            <v>w</v>
          </cell>
        </row>
        <row r="763">
          <cell r="A763" t="str">
            <v>Dandelion</v>
          </cell>
          <cell r="B763" t="str">
            <v>m</v>
          </cell>
        </row>
        <row r="764">
          <cell r="A764" t="str">
            <v>Dane</v>
          </cell>
          <cell r="B764" t="str">
            <v>m</v>
          </cell>
        </row>
        <row r="765">
          <cell r="A765" t="str">
            <v>Dania</v>
          </cell>
          <cell r="B765" t="str">
            <v>w</v>
          </cell>
        </row>
        <row r="766">
          <cell r="A766" t="str">
            <v>Daniel</v>
          </cell>
          <cell r="B766" t="str">
            <v>m</v>
          </cell>
        </row>
        <row r="767">
          <cell r="A767" t="str">
            <v>Daniela</v>
          </cell>
          <cell r="B767" t="str">
            <v>w</v>
          </cell>
        </row>
        <row r="768">
          <cell r="A768" t="str">
            <v>Danielle</v>
          </cell>
          <cell r="B768" t="str">
            <v>w</v>
          </cell>
        </row>
        <row r="769">
          <cell r="A769" t="str">
            <v>Danilo</v>
          </cell>
          <cell r="B769" t="str">
            <v>m</v>
          </cell>
        </row>
        <row r="770">
          <cell r="A770" t="str">
            <v>Danja</v>
          </cell>
          <cell r="B770" t="str">
            <v>w</v>
          </cell>
        </row>
        <row r="771">
          <cell r="A771" t="str">
            <v>Danny</v>
          </cell>
          <cell r="B771" t="str">
            <v>m</v>
          </cell>
        </row>
        <row r="772">
          <cell r="A772" t="str">
            <v>Danny</v>
          </cell>
          <cell r="B772" t="str">
            <v>w</v>
          </cell>
        </row>
        <row r="773">
          <cell r="A773" t="str">
            <v>Daphne</v>
          </cell>
          <cell r="B773" t="str">
            <v>w</v>
          </cell>
        </row>
        <row r="774">
          <cell r="A774" t="str">
            <v>Darek</v>
          </cell>
          <cell r="B774" t="str">
            <v>m</v>
          </cell>
        </row>
        <row r="775">
          <cell r="A775" t="str">
            <v>Daria</v>
          </cell>
          <cell r="B775" t="str">
            <v>w</v>
          </cell>
        </row>
        <row r="776">
          <cell r="A776" t="str">
            <v>Darian</v>
          </cell>
          <cell r="B776" t="str">
            <v>m</v>
          </cell>
        </row>
        <row r="777">
          <cell r="A777" t="str">
            <v>Dario</v>
          </cell>
          <cell r="B777" t="str">
            <v>m</v>
          </cell>
        </row>
        <row r="778">
          <cell r="A778" t="str">
            <v>Darius</v>
          </cell>
          <cell r="B778" t="str">
            <v>m</v>
          </cell>
        </row>
        <row r="779">
          <cell r="A779" t="str">
            <v>Darko</v>
          </cell>
          <cell r="B779" t="str">
            <v>m</v>
          </cell>
        </row>
        <row r="780">
          <cell r="A780" t="str">
            <v>Darlene</v>
          </cell>
          <cell r="B780" t="str">
            <v>w</v>
          </cell>
        </row>
        <row r="781">
          <cell r="A781" t="str">
            <v>Dave</v>
          </cell>
          <cell r="B781" t="str">
            <v>m</v>
          </cell>
        </row>
        <row r="782">
          <cell r="A782" t="str">
            <v>David</v>
          </cell>
          <cell r="B782" t="str">
            <v>m</v>
          </cell>
        </row>
        <row r="783">
          <cell r="A783" t="str">
            <v>Davy</v>
          </cell>
          <cell r="B783" t="str">
            <v>m</v>
          </cell>
        </row>
        <row r="784">
          <cell r="A784" t="str">
            <v>Dawina</v>
          </cell>
          <cell r="B784" t="str">
            <v>w</v>
          </cell>
        </row>
        <row r="785">
          <cell r="A785" t="str">
            <v>Dayadi</v>
          </cell>
          <cell r="B785" t="str">
            <v>m</v>
          </cell>
        </row>
        <row r="786">
          <cell r="A786" t="str">
            <v>Dea</v>
          </cell>
          <cell r="B786" t="str">
            <v>w</v>
          </cell>
        </row>
        <row r="787">
          <cell r="A787" t="str">
            <v>Dean</v>
          </cell>
          <cell r="B787" t="str">
            <v>m</v>
          </cell>
        </row>
        <row r="788">
          <cell r="A788" t="str">
            <v>Debby</v>
          </cell>
          <cell r="B788" t="str">
            <v>w</v>
          </cell>
        </row>
        <row r="789">
          <cell r="A789" t="str">
            <v>Debora</v>
          </cell>
          <cell r="B789" t="str">
            <v>w</v>
          </cell>
        </row>
        <row r="790">
          <cell r="A790" t="str">
            <v>Deborah</v>
          </cell>
          <cell r="B790" t="str">
            <v>w</v>
          </cell>
        </row>
        <row r="791">
          <cell r="A791" t="str">
            <v>Debra</v>
          </cell>
          <cell r="B791" t="str">
            <v>w</v>
          </cell>
        </row>
        <row r="792">
          <cell r="A792" t="str">
            <v>Dedrick</v>
          </cell>
          <cell r="B792" t="str">
            <v>m</v>
          </cell>
        </row>
        <row r="793">
          <cell r="A793" t="str">
            <v>Deik</v>
          </cell>
          <cell r="B793" t="str">
            <v>w</v>
          </cell>
        </row>
        <row r="794">
          <cell r="A794" t="str">
            <v>Dela</v>
          </cell>
          <cell r="B794" t="str">
            <v>w</v>
          </cell>
        </row>
        <row r="795">
          <cell r="A795" t="str">
            <v>Dele</v>
          </cell>
          <cell r="B795" t="str">
            <v>w</v>
          </cell>
        </row>
        <row r="796">
          <cell r="A796" t="str">
            <v>Delfine</v>
          </cell>
          <cell r="B796" t="str">
            <v>w</v>
          </cell>
        </row>
        <row r="797">
          <cell r="A797" t="str">
            <v>Delfino</v>
          </cell>
          <cell r="B797" t="str">
            <v>m</v>
          </cell>
        </row>
        <row r="798">
          <cell r="A798" t="str">
            <v>Delia</v>
          </cell>
          <cell r="B798" t="str">
            <v>w</v>
          </cell>
        </row>
        <row r="799">
          <cell r="A799" t="str">
            <v>Della</v>
          </cell>
          <cell r="B799" t="str">
            <v>w</v>
          </cell>
        </row>
        <row r="800">
          <cell r="A800" t="str">
            <v>Delphina</v>
          </cell>
          <cell r="B800" t="str">
            <v>w</v>
          </cell>
        </row>
        <row r="801">
          <cell r="A801" t="str">
            <v>Delphine</v>
          </cell>
          <cell r="B801" t="str">
            <v>w</v>
          </cell>
        </row>
        <row r="802">
          <cell r="A802" t="str">
            <v>Demetrius</v>
          </cell>
          <cell r="B802" t="str">
            <v>m</v>
          </cell>
        </row>
        <row r="803">
          <cell r="A803" t="str">
            <v>Denis</v>
          </cell>
          <cell r="B803" t="str">
            <v>m</v>
          </cell>
        </row>
        <row r="804">
          <cell r="A804" t="str">
            <v>Denise</v>
          </cell>
          <cell r="B804" t="str">
            <v>w</v>
          </cell>
        </row>
        <row r="805">
          <cell r="A805" t="str">
            <v>Deniz</v>
          </cell>
          <cell r="B805" t="str">
            <v>m</v>
          </cell>
        </row>
        <row r="806">
          <cell r="A806" t="str">
            <v>Dennis</v>
          </cell>
          <cell r="B806" t="str">
            <v>m</v>
          </cell>
        </row>
        <row r="807">
          <cell r="A807" t="str">
            <v>Derck</v>
          </cell>
          <cell r="B807" t="str">
            <v>m</v>
          </cell>
        </row>
        <row r="808">
          <cell r="A808" t="str">
            <v>Dereck</v>
          </cell>
          <cell r="B808" t="str">
            <v>m</v>
          </cell>
        </row>
        <row r="809">
          <cell r="A809" t="str">
            <v>Derek</v>
          </cell>
          <cell r="B809" t="str">
            <v>m</v>
          </cell>
        </row>
        <row r="810">
          <cell r="A810" t="str">
            <v>Dereka</v>
          </cell>
          <cell r="B810" t="str">
            <v>w</v>
          </cell>
        </row>
        <row r="811">
          <cell r="A811" t="str">
            <v>Derica</v>
          </cell>
          <cell r="B811" t="str">
            <v>w</v>
          </cell>
        </row>
        <row r="812">
          <cell r="A812" t="str">
            <v>Derick</v>
          </cell>
          <cell r="B812" t="str">
            <v>m</v>
          </cell>
        </row>
        <row r="813">
          <cell r="A813" t="str">
            <v>Dericka</v>
          </cell>
          <cell r="B813" t="str">
            <v>w</v>
          </cell>
        </row>
        <row r="814">
          <cell r="A814" t="str">
            <v>Derik</v>
          </cell>
          <cell r="B814" t="str">
            <v>m</v>
          </cell>
        </row>
        <row r="815">
          <cell r="A815" t="str">
            <v>Derk</v>
          </cell>
          <cell r="B815" t="str">
            <v>m</v>
          </cell>
        </row>
        <row r="816">
          <cell r="A816" t="str">
            <v>Derrek</v>
          </cell>
          <cell r="B816" t="str">
            <v>m</v>
          </cell>
        </row>
        <row r="817">
          <cell r="A817" t="str">
            <v>Derrica</v>
          </cell>
          <cell r="B817" t="str">
            <v>w</v>
          </cell>
        </row>
        <row r="818">
          <cell r="A818" t="str">
            <v>Derrick</v>
          </cell>
          <cell r="B818" t="str">
            <v>m</v>
          </cell>
        </row>
        <row r="819">
          <cell r="A819" t="str">
            <v>Derrik</v>
          </cell>
          <cell r="B819" t="str">
            <v>m</v>
          </cell>
        </row>
        <row r="820">
          <cell r="A820" t="str">
            <v>Derry</v>
          </cell>
          <cell r="B820" t="str">
            <v>m</v>
          </cell>
        </row>
        <row r="821">
          <cell r="A821" t="str">
            <v>Deryck</v>
          </cell>
          <cell r="B821" t="str">
            <v>m</v>
          </cell>
        </row>
        <row r="822">
          <cell r="A822" t="str">
            <v>Deryk</v>
          </cell>
          <cell r="B822" t="str">
            <v>m</v>
          </cell>
        </row>
        <row r="823">
          <cell r="A823" t="str">
            <v>Desideria</v>
          </cell>
          <cell r="B823" t="str">
            <v>w</v>
          </cell>
        </row>
        <row r="824">
          <cell r="A824" t="str">
            <v>Detlef</v>
          </cell>
          <cell r="B824" t="str">
            <v>m</v>
          </cell>
        </row>
        <row r="825">
          <cell r="A825" t="str">
            <v>Detlev</v>
          </cell>
          <cell r="B825" t="str">
            <v>m</v>
          </cell>
        </row>
        <row r="826">
          <cell r="A826" t="str">
            <v>Devin</v>
          </cell>
          <cell r="B826" t="str">
            <v>m</v>
          </cell>
        </row>
        <row r="827">
          <cell r="A827" t="str">
            <v>Diana</v>
          </cell>
          <cell r="B827" t="str">
            <v>w</v>
          </cell>
        </row>
        <row r="828">
          <cell r="A828" t="str">
            <v>Diandra</v>
          </cell>
          <cell r="B828" t="str">
            <v>w</v>
          </cell>
        </row>
        <row r="829">
          <cell r="A829" t="str">
            <v>Diane</v>
          </cell>
          <cell r="B829" t="str">
            <v>w</v>
          </cell>
        </row>
        <row r="830">
          <cell r="A830" t="str">
            <v>Dick</v>
          </cell>
          <cell r="B830" t="str">
            <v>w</v>
          </cell>
        </row>
        <row r="831">
          <cell r="A831" t="str">
            <v>Dickie</v>
          </cell>
          <cell r="B831" t="str">
            <v>w</v>
          </cell>
        </row>
        <row r="832">
          <cell r="A832" t="str">
            <v>Diederich</v>
          </cell>
          <cell r="B832" t="str">
            <v>m</v>
          </cell>
        </row>
        <row r="833">
          <cell r="A833" t="str">
            <v>Diedrich</v>
          </cell>
          <cell r="B833" t="str">
            <v>m</v>
          </cell>
        </row>
        <row r="834">
          <cell r="A834" t="str">
            <v>Diego</v>
          </cell>
          <cell r="B834" t="str">
            <v>m</v>
          </cell>
        </row>
        <row r="835">
          <cell r="A835" t="str">
            <v>Dieter</v>
          </cell>
          <cell r="B835" t="str">
            <v>m</v>
          </cell>
        </row>
        <row r="836">
          <cell r="A836" t="str">
            <v>Diethelm</v>
          </cell>
          <cell r="B836" t="str">
            <v>m</v>
          </cell>
        </row>
        <row r="837">
          <cell r="A837" t="str">
            <v>Diether</v>
          </cell>
          <cell r="B837" t="str">
            <v>m</v>
          </cell>
        </row>
        <row r="838">
          <cell r="A838" t="str">
            <v>Dietmar</v>
          </cell>
          <cell r="B838" t="str">
            <v>m</v>
          </cell>
        </row>
        <row r="839">
          <cell r="A839" t="str">
            <v>Dietrich</v>
          </cell>
          <cell r="B839" t="str">
            <v>m</v>
          </cell>
        </row>
        <row r="840">
          <cell r="A840" t="str">
            <v>Dimitri</v>
          </cell>
          <cell r="B840" t="str">
            <v>m</v>
          </cell>
        </row>
        <row r="841">
          <cell r="A841" t="str">
            <v>Dimitrij</v>
          </cell>
          <cell r="B841" t="str">
            <v>m</v>
          </cell>
        </row>
        <row r="842">
          <cell r="A842" t="str">
            <v>Dina</v>
          </cell>
          <cell r="B842" t="str">
            <v>w</v>
          </cell>
        </row>
        <row r="843">
          <cell r="A843" t="str">
            <v>Dirk</v>
          </cell>
          <cell r="B843" t="str">
            <v>m</v>
          </cell>
        </row>
        <row r="844">
          <cell r="A844" t="str">
            <v>Ditmar</v>
          </cell>
          <cell r="B844" t="str">
            <v>m</v>
          </cell>
        </row>
        <row r="845">
          <cell r="A845" t="str">
            <v>Ditrich</v>
          </cell>
          <cell r="B845" t="str">
            <v>m</v>
          </cell>
        </row>
        <row r="846">
          <cell r="A846" t="str">
            <v>Dittmar</v>
          </cell>
          <cell r="B846" t="str">
            <v>m</v>
          </cell>
        </row>
        <row r="847">
          <cell r="A847" t="str">
            <v>Dodo</v>
          </cell>
          <cell r="B847" t="str">
            <v>w</v>
          </cell>
        </row>
        <row r="848">
          <cell r="A848" t="str">
            <v>Dolf</v>
          </cell>
          <cell r="B848" t="str">
            <v>m</v>
          </cell>
        </row>
        <row r="849">
          <cell r="A849" t="str">
            <v>Dolores</v>
          </cell>
          <cell r="B849" t="str">
            <v>w</v>
          </cell>
        </row>
        <row r="850">
          <cell r="A850" t="str">
            <v>Dolph</v>
          </cell>
          <cell r="B850" t="str">
            <v>m</v>
          </cell>
        </row>
        <row r="851">
          <cell r="A851" t="str">
            <v>Domenic</v>
          </cell>
          <cell r="B851" t="str">
            <v>m</v>
          </cell>
        </row>
        <row r="852">
          <cell r="A852" t="str">
            <v>Domenica</v>
          </cell>
          <cell r="B852" t="str">
            <v>w</v>
          </cell>
        </row>
        <row r="853">
          <cell r="A853" t="str">
            <v>Domenico</v>
          </cell>
          <cell r="B853" t="str">
            <v>m</v>
          </cell>
        </row>
        <row r="854">
          <cell r="A854" t="str">
            <v>Domian</v>
          </cell>
          <cell r="B854" t="str">
            <v>m</v>
          </cell>
        </row>
        <row r="855">
          <cell r="A855" t="str">
            <v>Domingo</v>
          </cell>
          <cell r="B855" t="str">
            <v>m</v>
          </cell>
        </row>
        <row r="856">
          <cell r="A856" t="str">
            <v>Dominica</v>
          </cell>
          <cell r="B856" t="str">
            <v>w</v>
          </cell>
        </row>
        <row r="857">
          <cell r="A857" t="str">
            <v>Dominik</v>
          </cell>
          <cell r="B857" t="str">
            <v>m</v>
          </cell>
        </row>
        <row r="858">
          <cell r="A858" t="str">
            <v>Dominika</v>
          </cell>
          <cell r="B858" t="str">
            <v>w</v>
          </cell>
        </row>
        <row r="859">
          <cell r="A859" t="str">
            <v>Dominikus</v>
          </cell>
          <cell r="B859" t="str">
            <v>m</v>
          </cell>
        </row>
        <row r="860">
          <cell r="A860" t="str">
            <v>Dominique</v>
          </cell>
          <cell r="B860" t="str">
            <v>w</v>
          </cell>
        </row>
        <row r="861">
          <cell r="A861" t="str">
            <v>Don</v>
          </cell>
          <cell r="B861" t="str">
            <v>m</v>
          </cell>
        </row>
        <row r="862">
          <cell r="A862" t="str">
            <v>Donald</v>
          </cell>
          <cell r="B862" t="str">
            <v>m</v>
          </cell>
        </row>
        <row r="863">
          <cell r="A863" t="str">
            <v>Donat</v>
          </cell>
          <cell r="B863" t="str">
            <v>m</v>
          </cell>
        </row>
        <row r="864">
          <cell r="A864" t="str">
            <v>Donatello</v>
          </cell>
          <cell r="B864" t="str">
            <v>m</v>
          </cell>
        </row>
        <row r="865">
          <cell r="A865" t="str">
            <v>Donato</v>
          </cell>
          <cell r="B865" t="str">
            <v>m</v>
          </cell>
        </row>
        <row r="866">
          <cell r="A866" t="str">
            <v>Donatus</v>
          </cell>
          <cell r="B866" t="str">
            <v>m</v>
          </cell>
        </row>
        <row r="867">
          <cell r="A867" t="str">
            <v>Dora</v>
          </cell>
          <cell r="B867" t="str">
            <v>w</v>
          </cell>
        </row>
        <row r="868">
          <cell r="A868" t="str">
            <v>Dorchen</v>
          </cell>
          <cell r="B868" t="str">
            <v>w</v>
          </cell>
        </row>
        <row r="869">
          <cell r="A869" t="str">
            <v>Doreen</v>
          </cell>
          <cell r="B869" t="str">
            <v>w</v>
          </cell>
        </row>
        <row r="870">
          <cell r="A870" t="str">
            <v>Dorette</v>
          </cell>
          <cell r="B870" t="str">
            <v>w</v>
          </cell>
        </row>
        <row r="871">
          <cell r="A871" t="str">
            <v>Dorian</v>
          </cell>
          <cell r="B871" t="str">
            <v>m</v>
          </cell>
        </row>
        <row r="872">
          <cell r="A872" t="str">
            <v>Dorika</v>
          </cell>
          <cell r="B872" t="str">
            <v>w</v>
          </cell>
        </row>
        <row r="873">
          <cell r="A873" t="str">
            <v>Doris</v>
          </cell>
          <cell r="B873" t="str">
            <v>w</v>
          </cell>
        </row>
        <row r="874">
          <cell r="A874" t="str">
            <v>Dorkas</v>
          </cell>
          <cell r="B874" t="str">
            <v>m</v>
          </cell>
        </row>
        <row r="875">
          <cell r="A875" t="str">
            <v>Dorkas</v>
          </cell>
          <cell r="B875" t="str">
            <v>w</v>
          </cell>
        </row>
        <row r="876">
          <cell r="A876" t="str">
            <v>Doro</v>
          </cell>
          <cell r="B876" t="str">
            <v>w</v>
          </cell>
        </row>
        <row r="877">
          <cell r="A877" t="str">
            <v>Dorothe</v>
          </cell>
          <cell r="B877" t="str">
            <v>w</v>
          </cell>
        </row>
        <row r="878">
          <cell r="A878" t="str">
            <v>Dorothea</v>
          </cell>
          <cell r="B878" t="str">
            <v>w</v>
          </cell>
        </row>
        <row r="879">
          <cell r="A879" t="str">
            <v>Dorothee</v>
          </cell>
          <cell r="B879" t="str">
            <v>w</v>
          </cell>
        </row>
        <row r="880">
          <cell r="A880" t="str">
            <v>Dorothy</v>
          </cell>
          <cell r="B880" t="str">
            <v>w</v>
          </cell>
        </row>
        <row r="881">
          <cell r="A881" t="str">
            <v>Dortas</v>
          </cell>
          <cell r="B881" t="str">
            <v>w</v>
          </cell>
        </row>
        <row r="882">
          <cell r="A882" t="str">
            <v>Dörte</v>
          </cell>
          <cell r="B882" t="str">
            <v>w</v>
          </cell>
        </row>
        <row r="883">
          <cell r="A883" t="str">
            <v>Dorthee</v>
          </cell>
          <cell r="B883" t="str">
            <v>w</v>
          </cell>
        </row>
        <row r="884">
          <cell r="A884" t="str">
            <v>Dortje</v>
          </cell>
          <cell r="B884" t="str">
            <v>w</v>
          </cell>
        </row>
        <row r="885">
          <cell r="A885" t="str">
            <v>Douglas</v>
          </cell>
          <cell r="B885" t="str">
            <v>m</v>
          </cell>
        </row>
        <row r="886">
          <cell r="A886" t="str">
            <v>Dr.</v>
          </cell>
          <cell r="B886" t="str">
            <v>m</v>
          </cell>
        </row>
        <row r="887">
          <cell r="A887" t="str">
            <v>Dr.,</v>
          </cell>
          <cell r="B887" t="str">
            <v>w</v>
          </cell>
        </row>
        <row r="888">
          <cell r="A888" t="str">
            <v>Dragan</v>
          </cell>
          <cell r="B888" t="str">
            <v>m</v>
          </cell>
        </row>
        <row r="889">
          <cell r="A889" t="str">
            <v>Dragana</v>
          </cell>
          <cell r="B889" t="str">
            <v>w</v>
          </cell>
        </row>
        <row r="890">
          <cell r="A890" t="str">
            <v>Drago</v>
          </cell>
          <cell r="B890" t="str">
            <v>m</v>
          </cell>
        </row>
        <row r="891">
          <cell r="A891" t="str">
            <v>Druella</v>
          </cell>
          <cell r="B891" t="str">
            <v>w</v>
          </cell>
        </row>
        <row r="892">
          <cell r="A892" t="str">
            <v>Druilla</v>
          </cell>
          <cell r="B892" t="str">
            <v>w</v>
          </cell>
        </row>
        <row r="893">
          <cell r="A893" t="str">
            <v>Duncan</v>
          </cell>
          <cell r="B893" t="str">
            <v>m</v>
          </cell>
        </row>
        <row r="894">
          <cell r="A894" t="str">
            <v>Dunja</v>
          </cell>
          <cell r="B894" t="str">
            <v>w</v>
          </cell>
        </row>
        <row r="895">
          <cell r="A895" t="str">
            <v>Dustin</v>
          </cell>
          <cell r="B895" t="str">
            <v>m</v>
          </cell>
        </row>
        <row r="896">
          <cell r="A896" t="str">
            <v>Duston</v>
          </cell>
          <cell r="B896" t="str">
            <v>m</v>
          </cell>
        </row>
        <row r="897">
          <cell r="A897" t="str">
            <v>Dusty</v>
          </cell>
          <cell r="B897" t="str">
            <v>m</v>
          </cell>
        </row>
        <row r="898">
          <cell r="A898" t="str">
            <v>Dustyn</v>
          </cell>
          <cell r="B898" t="str">
            <v>m</v>
          </cell>
        </row>
        <row r="899">
          <cell r="A899" t="str">
            <v>Dwight</v>
          </cell>
          <cell r="B899" t="str">
            <v>m</v>
          </cell>
        </row>
        <row r="900">
          <cell r="A900" t="str">
            <v>Eada</v>
          </cell>
          <cell r="B900" t="str">
            <v>w</v>
          </cell>
        </row>
        <row r="901">
          <cell r="A901" t="str">
            <v>Ebbo</v>
          </cell>
          <cell r="B901" t="str">
            <v>m</v>
          </cell>
        </row>
        <row r="902">
          <cell r="A902" t="str">
            <v>Eberhard</v>
          </cell>
          <cell r="B902" t="str">
            <v>m</v>
          </cell>
        </row>
        <row r="903">
          <cell r="A903" t="str">
            <v>Eckart</v>
          </cell>
          <cell r="B903" t="str">
            <v>m</v>
          </cell>
        </row>
        <row r="904">
          <cell r="A904" t="str">
            <v>Eckbert</v>
          </cell>
          <cell r="B904" t="str">
            <v>m</v>
          </cell>
        </row>
        <row r="905">
          <cell r="A905" t="str">
            <v>Eckehart</v>
          </cell>
          <cell r="B905" t="str">
            <v>m</v>
          </cell>
        </row>
        <row r="906">
          <cell r="A906" t="str">
            <v>Eckhard</v>
          </cell>
          <cell r="B906" t="str">
            <v>m</v>
          </cell>
        </row>
        <row r="907">
          <cell r="A907" t="str">
            <v>Eckhart</v>
          </cell>
          <cell r="B907" t="str">
            <v>m</v>
          </cell>
        </row>
        <row r="908">
          <cell r="A908" t="str">
            <v>Ed</v>
          </cell>
          <cell r="B908" t="str">
            <v>m</v>
          </cell>
        </row>
        <row r="909">
          <cell r="A909" t="str">
            <v>Edda</v>
          </cell>
          <cell r="B909" t="str">
            <v>w</v>
          </cell>
        </row>
        <row r="910">
          <cell r="A910" t="str">
            <v>Eddy</v>
          </cell>
          <cell r="B910" t="str">
            <v>m</v>
          </cell>
        </row>
        <row r="911">
          <cell r="A911" t="str">
            <v>Ede</v>
          </cell>
          <cell r="B911" t="str">
            <v>m</v>
          </cell>
        </row>
        <row r="912">
          <cell r="A912" t="str">
            <v>Edel</v>
          </cell>
          <cell r="B912" t="str">
            <v>m</v>
          </cell>
        </row>
        <row r="913">
          <cell r="A913" t="str">
            <v>Edelgard</v>
          </cell>
          <cell r="B913" t="str">
            <v>w</v>
          </cell>
        </row>
        <row r="914">
          <cell r="A914" t="str">
            <v>Edelhart</v>
          </cell>
          <cell r="B914" t="str">
            <v>m</v>
          </cell>
        </row>
        <row r="915">
          <cell r="A915" t="str">
            <v>Edeline</v>
          </cell>
          <cell r="B915" t="str">
            <v>w</v>
          </cell>
        </row>
        <row r="916">
          <cell r="A916" t="str">
            <v>Edeltrud</v>
          </cell>
          <cell r="B916" t="str">
            <v>w</v>
          </cell>
        </row>
        <row r="917">
          <cell r="A917" t="str">
            <v>Edgar</v>
          </cell>
          <cell r="B917" t="str">
            <v>m</v>
          </cell>
        </row>
        <row r="918">
          <cell r="A918" t="str">
            <v>Edith</v>
          </cell>
          <cell r="B918" t="str">
            <v>w</v>
          </cell>
        </row>
        <row r="919">
          <cell r="A919" t="str">
            <v>Editha</v>
          </cell>
          <cell r="B919" t="str">
            <v>w</v>
          </cell>
        </row>
        <row r="920">
          <cell r="A920" t="str">
            <v>Edithe</v>
          </cell>
          <cell r="B920" t="str">
            <v>w</v>
          </cell>
        </row>
        <row r="921">
          <cell r="A921" t="str">
            <v>Edmar</v>
          </cell>
          <cell r="B921" t="str">
            <v>m</v>
          </cell>
        </row>
        <row r="922">
          <cell r="A922" t="str">
            <v>Edmond</v>
          </cell>
          <cell r="B922" t="str">
            <v>m</v>
          </cell>
        </row>
        <row r="923">
          <cell r="A923" t="str">
            <v>Edmund</v>
          </cell>
          <cell r="B923" t="str">
            <v>m</v>
          </cell>
        </row>
        <row r="924">
          <cell r="A924" t="str">
            <v>Edo</v>
          </cell>
          <cell r="B924" t="str">
            <v>m</v>
          </cell>
        </row>
        <row r="925">
          <cell r="A925" t="str">
            <v>Eduard</v>
          </cell>
          <cell r="B925" t="str">
            <v>m</v>
          </cell>
        </row>
        <row r="926">
          <cell r="A926" t="str">
            <v>Edvard</v>
          </cell>
          <cell r="B926" t="str">
            <v>m</v>
          </cell>
        </row>
        <row r="927">
          <cell r="A927" t="str">
            <v>Edward</v>
          </cell>
          <cell r="B927" t="str">
            <v>m</v>
          </cell>
        </row>
        <row r="928">
          <cell r="A928" t="str">
            <v>Edwin</v>
          </cell>
          <cell r="B928" t="str">
            <v>m</v>
          </cell>
        </row>
        <row r="929">
          <cell r="A929" t="str">
            <v>Effi</v>
          </cell>
          <cell r="B929" t="str">
            <v>w</v>
          </cell>
        </row>
        <row r="930">
          <cell r="A930" t="str">
            <v>Efraim</v>
          </cell>
          <cell r="B930" t="str">
            <v>m</v>
          </cell>
        </row>
        <row r="931">
          <cell r="A931" t="str">
            <v>Efrem</v>
          </cell>
          <cell r="B931" t="str">
            <v>m</v>
          </cell>
        </row>
        <row r="932">
          <cell r="A932" t="str">
            <v>Eftimios</v>
          </cell>
          <cell r="B932" t="str">
            <v>m</v>
          </cell>
        </row>
        <row r="933">
          <cell r="A933" t="str">
            <v>Egan</v>
          </cell>
          <cell r="B933" t="str">
            <v>m</v>
          </cell>
        </row>
        <row r="934">
          <cell r="A934" t="str">
            <v>Egbert</v>
          </cell>
          <cell r="B934" t="str">
            <v>m</v>
          </cell>
        </row>
        <row r="935">
          <cell r="A935" t="str">
            <v>Egbert-Hagen</v>
          </cell>
          <cell r="B935" t="str">
            <v>m</v>
          </cell>
        </row>
        <row r="936">
          <cell r="A936" t="str">
            <v>Egbrecht</v>
          </cell>
          <cell r="B936" t="str">
            <v>m</v>
          </cell>
        </row>
        <row r="937">
          <cell r="A937" t="str">
            <v>Egidius</v>
          </cell>
          <cell r="B937" t="str">
            <v>m</v>
          </cell>
        </row>
        <row r="938">
          <cell r="A938" t="str">
            <v>Egnatius</v>
          </cell>
          <cell r="B938" t="str">
            <v>m</v>
          </cell>
        </row>
        <row r="939">
          <cell r="A939" t="str">
            <v>Egon</v>
          </cell>
          <cell r="B939" t="str">
            <v>m</v>
          </cell>
        </row>
        <row r="940">
          <cell r="A940" t="str">
            <v>Ehrhard</v>
          </cell>
          <cell r="B940" t="str">
            <v>m</v>
          </cell>
        </row>
        <row r="941">
          <cell r="A941" t="str">
            <v>Eicren</v>
          </cell>
          <cell r="B941" t="str">
            <v>m</v>
          </cell>
        </row>
        <row r="942">
          <cell r="A942" t="str">
            <v>Eike</v>
          </cell>
          <cell r="B942" t="str">
            <v>m</v>
          </cell>
        </row>
        <row r="943">
          <cell r="A943" t="str">
            <v>Eila</v>
          </cell>
          <cell r="B943" t="str">
            <v>w</v>
          </cell>
        </row>
        <row r="944">
          <cell r="A944" t="str">
            <v>Eileen</v>
          </cell>
          <cell r="B944" t="str">
            <v>w</v>
          </cell>
        </row>
        <row r="945">
          <cell r="A945" t="str">
            <v>Ekbrecht</v>
          </cell>
          <cell r="B945" t="str">
            <v>m</v>
          </cell>
        </row>
        <row r="946">
          <cell r="A946" t="str">
            <v>Ela</v>
          </cell>
          <cell r="B946" t="str">
            <v>w</v>
          </cell>
        </row>
        <row r="947">
          <cell r="A947" t="str">
            <v>Elber</v>
          </cell>
          <cell r="B947" t="str">
            <v>w</v>
          </cell>
        </row>
        <row r="948">
          <cell r="A948" t="str">
            <v>Elbert</v>
          </cell>
          <cell r="B948" t="str">
            <v>m</v>
          </cell>
        </row>
        <row r="949">
          <cell r="A949" t="str">
            <v>Elberta</v>
          </cell>
          <cell r="B949" t="str">
            <v>w</v>
          </cell>
        </row>
        <row r="950">
          <cell r="A950" t="str">
            <v>Elda</v>
          </cell>
          <cell r="B950" t="str">
            <v>w</v>
          </cell>
        </row>
        <row r="951">
          <cell r="A951" t="str">
            <v>Eldon</v>
          </cell>
          <cell r="B951" t="str">
            <v>m</v>
          </cell>
        </row>
        <row r="952">
          <cell r="A952" t="str">
            <v>Eldrida</v>
          </cell>
          <cell r="B952" t="str">
            <v>w</v>
          </cell>
        </row>
        <row r="953">
          <cell r="A953" t="str">
            <v>Eleanor</v>
          </cell>
          <cell r="B953" t="str">
            <v>w</v>
          </cell>
        </row>
        <row r="954">
          <cell r="A954" t="str">
            <v>Eleasar</v>
          </cell>
          <cell r="B954" t="str">
            <v>m</v>
          </cell>
        </row>
        <row r="955">
          <cell r="A955" t="str">
            <v>Eleazar</v>
          </cell>
          <cell r="B955" t="str">
            <v>m</v>
          </cell>
        </row>
        <row r="956">
          <cell r="A956" t="str">
            <v>Elektra</v>
          </cell>
          <cell r="B956" t="str">
            <v>w</v>
          </cell>
        </row>
        <row r="957">
          <cell r="A957" t="str">
            <v>Elena</v>
          </cell>
          <cell r="B957" t="str">
            <v>w</v>
          </cell>
        </row>
        <row r="958">
          <cell r="A958" t="str">
            <v>Eleonora</v>
          </cell>
          <cell r="B958" t="str">
            <v>w</v>
          </cell>
        </row>
        <row r="959">
          <cell r="A959" t="str">
            <v>Eleonore</v>
          </cell>
          <cell r="B959" t="str">
            <v>w</v>
          </cell>
        </row>
        <row r="960">
          <cell r="A960" t="str">
            <v>Elery</v>
          </cell>
          <cell r="B960" t="str">
            <v>m</v>
          </cell>
        </row>
        <row r="961">
          <cell r="A961" t="str">
            <v>Elfi</v>
          </cell>
          <cell r="B961" t="str">
            <v>w</v>
          </cell>
        </row>
        <row r="962">
          <cell r="A962" t="str">
            <v>Elfie</v>
          </cell>
          <cell r="B962" t="str">
            <v>w</v>
          </cell>
        </row>
        <row r="963">
          <cell r="A963" t="str">
            <v>Elfreda</v>
          </cell>
          <cell r="B963" t="str">
            <v>w</v>
          </cell>
        </row>
        <row r="964">
          <cell r="A964" t="str">
            <v>Elfrida</v>
          </cell>
          <cell r="B964" t="str">
            <v>w</v>
          </cell>
        </row>
        <row r="965">
          <cell r="A965" t="str">
            <v>Elfrieda</v>
          </cell>
          <cell r="B965" t="str">
            <v>w</v>
          </cell>
        </row>
        <row r="966">
          <cell r="A966" t="str">
            <v>Elfriede</v>
          </cell>
          <cell r="B966" t="str">
            <v>w</v>
          </cell>
        </row>
        <row r="967">
          <cell r="A967" t="str">
            <v>Elga</v>
          </cell>
          <cell r="B967" t="str">
            <v>w</v>
          </cell>
        </row>
        <row r="968">
          <cell r="A968" t="str">
            <v>Elia</v>
          </cell>
          <cell r="B968" t="str">
            <v>m</v>
          </cell>
        </row>
        <row r="969">
          <cell r="A969" t="str">
            <v>Elian</v>
          </cell>
          <cell r="B969" t="str">
            <v>m</v>
          </cell>
        </row>
        <row r="970">
          <cell r="A970" t="str">
            <v>Eliane</v>
          </cell>
          <cell r="B970" t="str">
            <v>w</v>
          </cell>
        </row>
        <row r="971">
          <cell r="A971" t="str">
            <v>Elias</v>
          </cell>
          <cell r="B971" t="str">
            <v>m</v>
          </cell>
        </row>
        <row r="972">
          <cell r="A972" t="str">
            <v>Elija</v>
          </cell>
          <cell r="B972" t="str">
            <v>m</v>
          </cell>
        </row>
        <row r="973">
          <cell r="A973" t="str">
            <v>Elin</v>
          </cell>
          <cell r="B973" t="str">
            <v>w</v>
          </cell>
        </row>
        <row r="974">
          <cell r="A974" t="str">
            <v>Elina</v>
          </cell>
          <cell r="B974" t="str">
            <v>w</v>
          </cell>
        </row>
        <row r="975">
          <cell r="A975" t="str">
            <v>Elionore</v>
          </cell>
          <cell r="B975" t="str">
            <v>w</v>
          </cell>
        </row>
        <row r="976">
          <cell r="A976" t="str">
            <v>Elisa</v>
          </cell>
          <cell r="B976" t="str">
            <v>w</v>
          </cell>
        </row>
        <row r="977">
          <cell r="A977" t="str">
            <v>Elisabet</v>
          </cell>
          <cell r="B977" t="str">
            <v>w</v>
          </cell>
        </row>
        <row r="978">
          <cell r="A978" t="str">
            <v>Elisabeth</v>
          </cell>
          <cell r="B978" t="str">
            <v>w</v>
          </cell>
        </row>
        <row r="979">
          <cell r="A979" t="str">
            <v>Elisabetta</v>
          </cell>
          <cell r="B979" t="str">
            <v>w</v>
          </cell>
        </row>
        <row r="980">
          <cell r="A980" t="str">
            <v>Elise</v>
          </cell>
          <cell r="B980" t="str">
            <v>w</v>
          </cell>
        </row>
        <row r="981">
          <cell r="A981" t="str">
            <v>Elka</v>
          </cell>
          <cell r="B981" t="str">
            <v>w</v>
          </cell>
        </row>
        <row r="982">
          <cell r="A982" t="str">
            <v>Elke</v>
          </cell>
          <cell r="B982" t="str">
            <v>w</v>
          </cell>
        </row>
        <row r="983">
          <cell r="A983" t="str">
            <v>Ella</v>
          </cell>
          <cell r="B983" t="str">
            <v>w</v>
          </cell>
        </row>
        <row r="984">
          <cell r="A984" t="str">
            <v>Ellen</v>
          </cell>
          <cell r="B984" t="str">
            <v>w</v>
          </cell>
        </row>
        <row r="985">
          <cell r="A985" t="str">
            <v>Ellerey</v>
          </cell>
          <cell r="B985" t="str">
            <v>m</v>
          </cell>
        </row>
        <row r="986">
          <cell r="A986" t="str">
            <v>Ellery</v>
          </cell>
          <cell r="B986" t="str">
            <v>m</v>
          </cell>
        </row>
        <row r="987">
          <cell r="A987" t="str">
            <v>Elli</v>
          </cell>
          <cell r="B987" t="str">
            <v>w</v>
          </cell>
        </row>
        <row r="988">
          <cell r="A988" t="str">
            <v>Elmar</v>
          </cell>
          <cell r="B988" t="str">
            <v>m</v>
          </cell>
        </row>
        <row r="989">
          <cell r="A989" t="str">
            <v>Elmina</v>
          </cell>
          <cell r="B989" t="str">
            <v>w</v>
          </cell>
        </row>
        <row r="990">
          <cell r="A990" t="str">
            <v>Elmo</v>
          </cell>
          <cell r="B990" t="str">
            <v>m</v>
          </cell>
        </row>
        <row r="991">
          <cell r="A991" t="str">
            <v>Elon</v>
          </cell>
          <cell r="B991" t="str">
            <v>m</v>
          </cell>
        </row>
        <row r="992">
          <cell r="A992" t="str">
            <v>Elred</v>
          </cell>
          <cell r="B992" t="str">
            <v>m</v>
          </cell>
        </row>
        <row r="993">
          <cell r="A993" t="str">
            <v>Elric</v>
          </cell>
          <cell r="B993" t="str">
            <v>m</v>
          </cell>
        </row>
        <row r="994">
          <cell r="A994" t="str">
            <v>Elrica</v>
          </cell>
          <cell r="B994" t="str">
            <v>w</v>
          </cell>
        </row>
        <row r="995">
          <cell r="A995" t="str">
            <v>Elsa</v>
          </cell>
          <cell r="B995" t="str">
            <v>w</v>
          </cell>
        </row>
        <row r="996">
          <cell r="A996" t="str">
            <v>Elsbeth</v>
          </cell>
          <cell r="B996" t="str">
            <v>w</v>
          </cell>
        </row>
        <row r="997">
          <cell r="A997" t="str">
            <v>Else</v>
          </cell>
          <cell r="B997" t="str">
            <v>w</v>
          </cell>
        </row>
        <row r="998">
          <cell r="A998" t="str">
            <v>Elvira</v>
          </cell>
          <cell r="B998" t="str">
            <v>w</v>
          </cell>
        </row>
        <row r="999">
          <cell r="A999" t="str">
            <v>Elvire</v>
          </cell>
          <cell r="B999" t="str">
            <v>w</v>
          </cell>
        </row>
        <row r="1000">
          <cell r="A1000" t="str">
            <v>Elvis</v>
          </cell>
          <cell r="B1000" t="str">
            <v>m</v>
          </cell>
        </row>
        <row r="1001">
          <cell r="A1001" t="str">
            <v>Elzbieta</v>
          </cell>
          <cell r="B1001" t="str">
            <v>w</v>
          </cell>
        </row>
        <row r="1002">
          <cell r="A1002" t="str">
            <v>Ema</v>
          </cell>
          <cell r="B1002" t="str">
            <v>w</v>
          </cell>
        </row>
        <row r="1003">
          <cell r="A1003" t="str">
            <v>Emanuel</v>
          </cell>
          <cell r="B1003" t="str">
            <v>m</v>
          </cell>
        </row>
        <row r="1004">
          <cell r="A1004" t="str">
            <v>Emanuela</v>
          </cell>
          <cell r="B1004" t="str">
            <v>w</v>
          </cell>
        </row>
        <row r="1005">
          <cell r="A1005" t="str">
            <v>Emelina</v>
          </cell>
          <cell r="B1005" t="str">
            <v>w</v>
          </cell>
        </row>
        <row r="1006">
          <cell r="A1006" t="str">
            <v>Emeline</v>
          </cell>
          <cell r="B1006" t="str">
            <v>w</v>
          </cell>
        </row>
        <row r="1007">
          <cell r="A1007" t="str">
            <v>Emelka</v>
          </cell>
          <cell r="B1007" t="str">
            <v>w</v>
          </cell>
        </row>
        <row r="1008">
          <cell r="A1008" t="str">
            <v>Emelyne</v>
          </cell>
          <cell r="B1008" t="str">
            <v>w</v>
          </cell>
        </row>
        <row r="1009">
          <cell r="A1009" t="str">
            <v>Emerson</v>
          </cell>
          <cell r="B1009" t="str">
            <v>m</v>
          </cell>
        </row>
        <row r="1010">
          <cell r="A1010" t="str">
            <v>Emery</v>
          </cell>
          <cell r="B1010" t="str">
            <v>m</v>
          </cell>
        </row>
        <row r="1011">
          <cell r="A1011" t="str">
            <v>Emil</v>
          </cell>
          <cell r="B1011" t="str">
            <v>m</v>
          </cell>
        </row>
        <row r="1012">
          <cell r="A1012" t="str">
            <v>Emile</v>
          </cell>
          <cell r="B1012" t="str">
            <v>m</v>
          </cell>
        </row>
        <row r="1013">
          <cell r="A1013" t="str">
            <v>Emilia</v>
          </cell>
          <cell r="B1013" t="str">
            <v>w</v>
          </cell>
        </row>
        <row r="1014">
          <cell r="A1014" t="str">
            <v>Emilie</v>
          </cell>
          <cell r="B1014" t="str">
            <v>w</v>
          </cell>
        </row>
        <row r="1015">
          <cell r="A1015" t="str">
            <v>Emilio</v>
          </cell>
          <cell r="B1015" t="str">
            <v>m</v>
          </cell>
        </row>
        <row r="1016">
          <cell r="A1016" t="str">
            <v>Emily</v>
          </cell>
          <cell r="B1016" t="str">
            <v>w</v>
          </cell>
        </row>
        <row r="1017">
          <cell r="A1017" t="str">
            <v>Emlyn</v>
          </cell>
          <cell r="B1017" t="str">
            <v>m</v>
          </cell>
        </row>
        <row r="1018">
          <cell r="A1018" t="str">
            <v>Emma</v>
          </cell>
          <cell r="B1018" t="str">
            <v>w</v>
          </cell>
        </row>
        <row r="1019">
          <cell r="A1019" t="str">
            <v>Emmaline</v>
          </cell>
          <cell r="B1019" t="str">
            <v>w</v>
          </cell>
        </row>
        <row r="1020">
          <cell r="A1020" t="str">
            <v>Emmanuel</v>
          </cell>
          <cell r="B1020" t="str">
            <v>m</v>
          </cell>
        </row>
        <row r="1021">
          <cell r="A1021" t="str">
            <v>Emmeline</v>
          </cell>
          <cell r="B1021" t="str">
            <v>w</v>
          </cell>
        </row>
        <row r="1022">
          <cell r="A1022" t="str">
            <v>Emmerich</v>
          </cell>
          <cell r="B1022" t="str">
            <v>m</v>
          </cell>
        </row>
        <row r="1023">
          <cell r="A1023" t="str">
            <v>Emmery</v>
          </cell>
          <cell r="B1023" t="str">
            <v>m</v>
          </cell>
        </row>
        <row r="1024">
          <cell r="A1024" t="str">
            <v>Emmi</v>
          </cell>
          <cell r="B1024" t="str">
            <v>w</v>
          </cell>
        </row>
        <row r="1025">
          <cell r="A1025" t="str">
            <v>Emmy</v>
          </cell>
          <cell r="B1025" t="str">
            <v>w</v>
          </cell>
        </row>
        <row r="1026">
          <cell r="A1026" t="str">
            <v>Emory</v>
          </cell>
          <cell r="B1026" t="str">
            <v>m</v>
          </cell>
        </row>
        <row r="1027">
          <cell r="A1027" t="str">
            <v>Encarna</v>
          </cell>
          <cell r="B1027" t="str">
            <v>w</v>
          </cell>
        </row>
        <row r="1028">
          <cell r="A1028" t="str">
            <v>Endrik</v>
          </cell>
          <cell r="B1028" t="str">
            <v>m</v>
          </cell>
        </row>
        <row r="1029">
          <cell r="A1029" t="str">
            <v>Enes</v>
          </cell>
          <cell r="B1029" t="str">
            <v>m</v>
          </cell>
        </row>
        <row r="1030">
          <cell r="A1030" t="str">
            <v>Engelberga</v>
          </cell>
          <cell r="B1030" t="str">
            <v>w</v>
          </cell>
        </row>
        <row r="1031">
          <cell r="A1031" t="str">
            <v>Engelbert</v>
          </cell>
          <cell r="B1031" t="str">
            <v>m</v>
          </cell>
        </row>
        <row r="1032">
          <cell r="A1032" t="str">
            <v>Engelbert</v>
          </cell>
          <cell r="B1032" t="str">
            <v>w</v>
          </cell>
        </row>
        <row r="1033">
          <cell r="A1033" t="str">
            <v>Engelberta</v>
          </cell>
          <cell r="B1033" t="str">
            <v>w</v>
          </cell>
        </row>
        <row r="1034">
          <cell r="A1034" t="str">
            <v>Engelbertha</v>
          </cell>
          <cell r="B1034" t="str">
            <v>w</v>
          </cell>
        </row>
        <row r="1035">
          <cell r="A1035" t="str">
            <v>Engelberthe</v>
          </cell>
          <cell r="B1035" t="str">
            <v>w</v>
          </cell>
        </row>
        <row r="1036">
          <cell r="A1036" t="str">
            <v>Engelbrecht</v>
          </cell>
          <cell r="B1036" t="str">
            <v>m</v>
          </cell>
        </row>
        <row r="1037">
          <cell r="A1037" t="str">
            <v>Englebert</v>
          </cell>
          <cell r="B1037" t="str">
            <v>m</v>
          </cell>
        </row>
        <row r="1038">
          <cell r="A1038" t="str">
            <v>Ennio</v>
          </cell>
          <cell r="B1038" t="str">
            <v>m</v>
          </cell>
        </row>
        <row r="1039">
          <cell r="A1039" t="str">
            <v>Enno</v>
          </cell>
          <cell r="B1039" t="str">
            <v>m</v>
          </cell>
        </row>
        <row r="1040">
          <cell r="A1040" t="str">
            <v>Enrica</v>
          </cell>
          <cell r="B1040" t="str">
            <v>w</v>
          </cell>
        </row>
        <row r="1041">
          <cell r="A1041" t="str">
            <v>Enrico</v>
          </cell>
          <cell r="B1041" t="str">
            <v>m</v>
          </cell>
        </row>
        <row r="1042">
          <cell r="A1042" t="str">
            <v>Enrique</v>
          </cell>
          <cell r="B1042" t="str">
            <v>m</v>
          </cell>
        </row>
        <row r="1043">
          <cell r="A1043" t="str">
            <v>Enzio</v>
          </cell>
          <cell r="B1043" t="str">
            <v>m</v>
          </cell>
        </row>
        <row r="1044">
          <cell r="A1044" t="str">
            <v>Ephraim</v>
          </cell>
          <cell r="B1044" t="str">
            <v>m</v>
          </cell>
        </row>
        <row r="1045">
          <cell r="A1045" t="str">
            <v>Eppie</v>
          </cell>
          <cell r="B1045" t="str">
            <v>m</v>
          </cell>
        </row>
        <row r="1046">
          <cell r="A1046" t="str">
            <v>Eppo</v>
          </cell>
          <cell r="B1046" t="str">
            <v>m</v>
          </cell>
        </row>
        <row r="1047">
          <cell r="A1047" t="str">
            <v>Erdal</v>
          </cell>
          <cell r="B1047" t="str">
            <v>m</v>
          </cell>
        </row>
        <row r="1048">
          <cell r="A1048" t="str">
            <v>Erhard</v>
          </cell>
          <cell r="B1048" t="str">
            <v>m</v>
          </cell>
        </row>
        <row r="1049">
          <cell r="A1049" t="str">
            <v>Eri</v>
          </cell>
          <cell r="B1049" t="str">
            <v>w</v>
          </cell>
        </row>
        <row r="1050">
          <cell r="A1050" t="str">
            <v>Eric</v>
          </cell>
          <cell r="B1050" t="str">
            <v>m</v>
          </cell>
        </row>
        <row r="1051">
          <cell r="A1051" t="str">
            <v>Erich</v>
          </cell>
          <cell r="B1051" t="str">
            <v>m</v>
          </cell>
        </row>
        <row r="1052">
          <cell r="A1052" t="str">
            <v>Erick</v>
          </cell>
          <cell r="B1052" t="str">
            <v>m</v>
          </cell>
        </row>
        <row r="1053">
          <cell r="A1053" t="str">
            <v>Erik</v>
          </cell>
          <cell r="B1053" t="str">
            <v>m</v>
          </cell>
        </row>
        <row r="1054">
          <cell r="A1054" t="str">
            <v>Erika</v>
          </cell>
          <cell r="B1054" t="str">
            <v>w</v>
          </cell>
        </row>
        <row r="1055">
          <cell r="A1055" t="str">
            <v>Erma</v>
          </cell>
          <cell r="B1055" t="str">
            <v>w</v>
          </cell>
        </row>
        <row r="1056">
          <cell r="A1056" t="str">
            <v>Erme</v>
          </cell>
          <cell r="B1056" t="str">
            <v>w</v>
          </cell>
        </row>
        <row r="1057">
          <cell r="A1057" t="str">
            <v>Ermin</v>
          </cell>
          <cell r="B1057" t="str">
            <v>m</v>
          </cell>
        </row>
        <row r="1058">
          <cell r="A1058" t="str">
            <v>Ermina</v>
          </cell>
          <cell r="B1058" t="str">
            <v>w</v>
          </cell>
        </row>
        <row r="1059">
          <cell r="A1059" t="str">
            <v>Erminia</v>
          </cell>
          <cell r="B1059" t="str">
            <v>w</v>
          </cell>
        </row>
        <row r="1060">
          <cell r="A1060" t="str">
            <v>Erminie</v>
          </cell>
          <cell r="B1060" t="str">
            <v>w</v>
          </cell>
        </row>
        <row r="1061">
          <cell r="A1061" t="str">
            <v>Erna</v>
          </cell>
          <cell r="B1061" t="str">
            <v>w</v>
          </cell>
        </row>
        <row r="1062">
          <cell r="A1062" t="str">
            <v>Ernesta</v>
          </cell>
          <cell r="B1062" t="str">
            <v>w</v>
          </cell>
        </row>
        <row r="1063">
          <cell r="A1063" t="str">
            <v>Ernesto</v>
          </cell>
          <cell r="B1063" t="str">
            <v>m</v>
          </cell>
        </row>
        <row r="1064">
          <cell r="A1064" t="str">
            <v>Ernst</v>
          </cell>
          <cell r="B1064" t="str">
            <v>m</v>
          </cell>
        </row>
        <row r="1065">
          <cell r="A1065" t="str">
            <v>Ernst-Günter</v>
          </cell>
          <cell r="B1065" t="str">
            <v>m</v>
          </cell>
        </row>
        <row r="1066">
          <cell r="A1066" t="str">
            <v>Ernstina</v>
          </cell>
          <cell r="B1066" t="str">
            <v>w</v>
          </cell>
        </row>
        <row r="1067">
          <cell r="A1067" t="str">
            <v>Errol</v>
          </cell>
          <cell r="B1067" t="str">
            <v>m</v>
          </cell>
        </row>
        <row r="1068">
          <cell r="A1068" t="str">
            <v>Erwin</v>
          </cell>
          <cell r="B1068" t="str">
            <v>m</v>
          </cell>
        </row>
        <row r="1069">
          <cell r="A1069" t="str">
            <v>Esau</v>
          </cell>
          <cell r="B1069" t="str">
            <v>m</v>
          </cell>
        </row>
        <row r="1070">
          <cell r="A1070" t="str">
            <v>Esdras</v>
          </cell>
          <cell r="B1070" t="str">
            <v>w</v>
          </cell>
        </row>
        <row r="1071">
          <cell r="A1071" t="str">
            <v>Esmeralda</v>
          </cell>
          <cell r="B1071" t="str">
            <v>w</v>
          </cell>
        </row>
        <row r="1072">
          <cell r="A1072" t="str">
            <v>Esmond</v>
          </cell>
          <cell r="B1072" t="str">
            <v>m</v>
          </cell>
        </row>
        <row r="1073">
          <cell r="A1073" t="str">
            <v>Esra</v>
          </cell>
          <cell r="B1073" t="str">
            <v>w</v>
          </cell>
        </row>
        <row r="1074">
          <cell r="A1074" t="str">
            <v>Esra|</v>
          </cell>
          <cell r="B1074" t="str">
            <v>m</v>
          </cell>
        </row>
        <row r="1075">
          <cell r="A1075" t="str">
            <v>Esteban</v>
          </cell>
          <cell r="B1075" t="str">
            <v>m</v>
          </cell>
        </row>
        <row r="1076">
          <cell r="A1076" t="str">
            <v>Estella</v>
          </cell>
          <cell r="B1076" t="str">
            <v>w</v>
          </cell>
        </row>
        <row r="1077">
          <cell r="A1077" t="str">
            <v>Estelle</v>
          </cell>
          <cell r="B1077" t="str">
            <v>w</v>
          </cell>
        </row>
        <row r="1078">
          <cell r="A1078" t="str">
            <v>Ester</v>
          </cell>
          <cell r="B1078" t="str">
            <v>w</v>
          </cell>
        </row>
        <row r="1079">
          <cell r="A1079" t="str">
            <v>Estevan</v>
          </cell>
          <cell r="B1079" t="str">
            <v>m</v>
          </cell>
        </row>
        <row r="1080">
          <cell r="A1080" t="str">
            <v>Esther</v>
          </cell>
          <cell r="B1080" t="str">
            <v>w</v>
          </cell>
        </row>
        <row r="1081">
          <cell r="A1081" t="str">
            <v>Estrella</v>
          </cell>
          <cell r="B1081" t="str">
            <v>w</v>
          </cell>
        </row>
        <row r="1082">
          <cell r="A1082" t="str">
            <v>Estrid</v>
          </cell>
          <cell r="B1082" t="str">
            <v>w</v>
          </cell>
        </row>
        <row r="1083">
          <cell r="A1083" t="str">
            <v>Etelka</v>
          </cell>
          <cell r="B1083" t="str">
            <v>w</v>
          </cell>
        </row>
        <row r="1084">
          <cell r="A1084" t="str">
            <v>Ethel</v>
          </cell>
          <cell r="B1084" t="str">
            <v>w</v>
          </cell>
        </row>
        <row r="1085">
          <cell r="A1085" t="str">
            <v>Ethelbert</v>
          </cell>
          <cell r="B1085" t="str">
            <v>m</v>
          </cell>
        </row>
        <row r="1086">
          <cell r="A1086" t="str">
            <v>Ethelda</v>
          </cell>
          <cell r="B1086" t="str">
            <v>w</v>
          </cell>
        </row>
        <row r="1087">
          <cell r="A1087" t="str">
            <v>Ethelinda</v>
          </cell>
          <cell r="B1087" t="str">
            <v>w</v>
          </cell>
        </row>
        <row r="1088">
          <cell r="A1088" t="str">
            <v>Etheline</v>
          </cell>
          <cell r="B1088" t="str">
            <v>w</v>
          </cell>
        </row>
        <row r="1089">
          <cell r="A1089" t="str">
            <v>Ethelred</v>
          </cell>
          <cell r="B1089" t="str">
            <v>m</v>
          </cell>
        </row>
        <row r="1090">
          <cell r="A1090" t="str">
            <v>Ethyl</v>
          </cell>
          <cell r="B1090" t="str">
            <v>w</v>
          </cell>
        </row>
        <row r="1091">
          <cell r="A1091" t="str">
            <v>Ethylyn</v>
          </cell>
          <cell r="B1091" t="str">
            <v>w</v>
          </cell>
        </row>
        <row r="1092">
          <cell r="A1092" t="str">
            <v>Etta</v>
          </cell>
          <cell r="B1092" t="str">
            <v>w</v>
          </cell>
        </row>
        <row r="1093">
          <cell r="A1093" t="str">
            <v>Eudokia</v>
          </cell>
          <cell r="B1093" t="str">
            <v>w</v>
          </cell>
        </row>
        <row r="1094">
          <cell r="A1094" t="str">
            <v>Eudoxia</v>
          </cell>
          <cell r="B1094" t="str">
            <v>w</v>
          </cell>
        </row>
        <row r="1095">
          <cell r="A1095" t="str">
            <v>Eufemia</v>
          </cell>
          <cell r="B1095" t="str">
            <v>w</v>
          </cell>
        </row>
        <row r="1096">
          <cell r="A1096" t="str">
            <v>Eufemio</v>
          </cell>
          <cell r="B1096" t="str">
            <v>m</v>
          </cell>
        </row>
        <row r="1097">
          <cell r="A1097" t="str">
            <v>Eugen</v>
          </cell>
          <cell r="B1097" t="str">
            <v>m</v>
          </cell>
        </row>
        <row r="1098">
          <cell r="A1098" t="str">
            <v>Eugenia</v>
          </cell>
          <cell r="B1098" t="str">
            <v>w</v>
          </cell>
        </row>
        <row r="1099">
          <cell r="A1099" t="str">
            <v>Eugenie</v>
          </cell>
          <cell r="B1099" t="str">
            <v>w</v>
          </cell>
        </row>
        <row r="1100">
          <cell r="A1100" t="str">
            <v>Euphemia</v>
          </cell>
          <cell r="B1100" t="str">
            <v>w</v>
          </cell>
        </row>
        <row r="1101">
          <cell r="A1101" t="str">
            <v>Euphemius</v>
          </cell>
          <cell r="B1101" t="str">
            <v>m</v>
          </cell>
        </row>
        <row r="1102">
          <cell r="A1102" t="str">
            <v>Euphrasia</v>
          </cell>
          <cell r="B1102" t="str">
            <v>w</v>
          </cell>
        </row>
        <row r="1103">
          <cell r="A1103" t="str">
            <v>Eusebia</v>
          </cell>
          <cell r="B1103" t="str">
            <v>w</v>
          </cell>
        </row>
        <row r="1104">
          <cell r="A1104" t="str">
            <v>Ev</v>
          </cell>
          <cell r="B1104" t="str">
            <v>w</v>
          </cell>
        </row>
        <row r="1105">
          <cell r="A1105" t="str">
            <v>Eva</v>
          </cell>
          <cell r="B1105" t="str">
            <v>w</v>
          </cell>
        </row>
        <row r="1106">
          <cell r="A1106" t="str">
            <v>Eva-maria</v>
          </cell>
          <cell r="B1106" t="str">
            <v>w</v>
          </cell>
        </row>
        <row r="1107">
          <cell r="A1107" t="str">
            <v>Evan</v>
          </cell>
          <cell r="B1107" t="str">
            <v>m</v>
          </cell>
        </row>
        <row r="1108">
          <cell r="A1108" t="str">
            <v>Evangelina</v>
          </cell>
          <cell r="B1108" t="str">
            <v>w</v>
          </cell>
        </row>
        <row r="1109">
          <cell r="A1109" t="str">
            <v>Evangeline</v>
          </cell>
          <cell r="B1109" t="str">
            <v>w</v>
          </cell>
        </row>
        <row r="1110">
          <cell r="A1110" t="str">
            <v>Evchen</v>
          </cell>
          <cell r="B1110" t="str">
            <v>w</v>
          </cell>
        </row>
        <row r="1111">
          <cell r="A1111" t="str">
            <v>Eve</v>
          </cell>
          <cell r="B1111" t="str">
            <v>w</v>
          </cell>
        </row>
        <row r="1112">
          <cell r="A1112" t="str">
            <v>Evelin</v>
          </cell>
          <cell r="B1112" t="str">
            <v>w</v>
          </cell>
        </row>
        <row r="1113">
          <cell r="A1113" t="str">
            <v>Evelina</v>
          </cell>
          <cell r="B1113" t="str">
            <v>w</v>
          </cell>
        </row>
        <row r="1114">
          <cell r="A1114" t="str">
            <v>Eveline</v>
          </cell>
          <cell r="B1114" t="str">
            <v>w</v>
          </cell>
        </row>
        <row r="1115">
          <cell r="A1115" t="str">
            <v>Evelyn</v>
          </cell>
          <cell r="B1115" t="str">
            <v>w</v>
          </cell>
        </row>
        <row r="1116">
          <cell r="A1116" t="str">
            <v>Evelyne</v>
          </cell>
          <cell r="B1116" t="str">
            <v>w</v>
          </cell>
        </row>
        <row r="1117">
          <cell r="A1117" t="str">
            <v>Evi</v>
          </cell>
          <cell r="B1117" t="str">
            <v>w</v>
          </cell>
        </row>
        <row r="1118">
          <cell r="A1118" t="str">
            <v>Evita</v>
          </cell>
          <cell r="B1118" t="str">
            <v>w</v>
          </cell>
        </row>
        <row r="1119">
          <cell r="A1119" t="str">
            <v>Ewald</v>
          </cell>
          <cell r="B1119" t="str">
            <v>m</v>
          </cell>
        </row>
        <row r="1120">
          <cell r="A1120" t="str">
            <v>Ewelina</v>
          </cell>
          <cell r="B1120" t="str">
            <v>w</v>
          </cell>
        </row>
        <row r="1121">
          <cell r="A1121" t="str">
            <v>Eyvind</v>
          </cell>
          <cell r="B1121" t="str">
            <v>m</v>
          </cell>
        </row>
        <row r="1122">
          <cell r="A1122" t="str">
            <v>Ezechiel</v>
          </cell>
          <cell r="B1122" t="str">
            <v>m</v>
          </cell>
        </row>
        <row r="1123">
          <cell r="A1123" t="str">
            <v>Ezra</v>
          </cell>
          <cell r="B1123" t="str">
            <v>w</v>
          </cell>
        </row>
        <row r="1124">
          <cell r="A1124" t="str">
            <v>Fabia</v>
          </cell>
          <cell r="B1124" t="str">
            <v>w</v>
          </cell>
        </row>
        <row r="1125">
          <cell r="A1125" t="str">
            <v>Fabian</v>
          </cell>
          <cell r="B1125" t="str">
            <v>m</v>
          </cell>
        </row>
        <row r="1126">
          <cell r="A1126" t="str">
            <v>Fabiana</v>
          </cell>
          <cell r="B1126" t="str">
            <v>w</v>
          </cell>
        </row>
        <row r="1127">
          <cell r="A1127" t="str">
            <v>Fabiano</v>
          </cell>
          <cell r="B1127" t="str">
            <v>m</v>
          </cell>
        </row>
        <row r="1128">
          <cell r="A1128" t="str">
            <v>Fabianus</v>
          </cell>
          <cell r="B1128" t="str">
            <v>m</v>
          </cell>
        </row>
        <row r="1129">
          <cell r="A1129" t="str">
            <v>Fabien</v>
          </cell>
          <cell r="B1129" t="str">
            <v>m</v>
          </cell>
        </row>
        <row r="1130">
          <cell r="A1130" t="str">
            <v>Fabienne</v>
          </cell>
          <cell r="B1130" t="str">
            <v>w</v>
          </cell>
        </row>
        <row r="1131">
          <cell r="A1131" t="str">
            <v>Fabio</v>
          </cell>
          <cell r="B1131" t="str">
            <v>m</v>
          </cell>
        </row>
        <row r="1132">
          <cell r="A1132" t="str">
            <v>Fabiola</v>
          </cell>
          <cell r="B1132" t="str">
            <v>w</v>
          </cell>
        </row>
        <row r="1133">
          <cell r="A1133" t="str">
            <v>Fabius</v>
          </cell>
          <cell r="B1133" t="str">
            <v>m</v>
          </cell>
        </row>
        <row r="1134">
          <cell r="A1134" t="str">
            <v>Fae</v>
          </cell>
          <cell r="B1134" t="str">
            <v>w</v>
          </cell>
        </row>
        <row r="1135">
          <cell r="A1135" t="str">
            <v>Faith</v>
          </cell>
          <cell r="B1135" t="str">
            <v>w</v>
          </cell>
        </row>
        <row r="1136">
          <cell r="A1136" t="str">
            <v>Faithe</v>
          </cell>
          <cell r="B1136" t="str">
            <v>w</v>
          </cell>
        </row>
        <row r="1137">
          <cell r="A1137" t="str">
            <v>Falk</v>
          </cell>
          <cell r="B1137" t="str">
            <v>m</v>
          </cell>
        </row>
        <row r="1138">
          <cell r="A1138" t="str">
            <v>Falko</v>
          </cell>
          <cell r="B1138" t="str">
            <v>m</v>
          </cell>
        </row>
        <row r="1139">
          <cell r="A1139" t="str">
            <v>Fara</v>
          </cell>
          <cell r="B1139" t="str">
            <v>w</v>
          </cell>
        </row>
        <row r="1140">
          <cell r="A1140" t="str">
            <v>Farald</v>
          </cell>
          <cell r="B1140" t="str">
            <v>m</v>
          </cell>
        </row>
        <row r="1141">
          <cell r="A1141" t="str">
            <v>Faralda</v>
          </cell>
          <cell r="B1141" t="str">
            <v>w</v>
          </cell>
        </row>
        <row r="1142">
          <cell r="A1142" t="str">
            <v>Faralt</v>
          </cell>
          <cell r="B1142" t="str">
            <v>m</v>
          </cell>
        </row>
        <row r="1143">
          <cell r="A1143" t="str">
            <v>Faramond</v>
          </cell>
          <cell r="B1143" t="str">
            <v>m</v>
          </cell>
        </row>
        <row r="1144">
          <cell r="A1144" t="str">
            <v>Farand</v>
          </cell>
          <cell r="B1144" t="str">
            <v>m</v>
          </cell>
        </row>
        <row r="1145">
          <cell r="A1145" t="str">
            <v>Farant</v>
          </cell>
          <cell r="B1145" t="str">
            <v>m</v>
          </cell>
        </row>
        <row r="1146">
          <cell r="A1146" t="str">
            <v>Farold</v>
          </cell>
          <cell r="B1146" t="str">
            <v>m</v>
          </cell>
        </row>
        <row r="1147">
          <cell r="A1147" t="str">
            <v>Farolt</v>
          </cell>
          <cell r="B1147" t="str">
            <v>m</v>
          </cell>
        </row>
        <row r="1148">
          <cell r="A1148" t="str">
            <v>Farrand</v>
          </cell>
          <cell r="B1148" t="str">
            <v>m</v>
          </cell>
        </row>
        <row r="1149">
          <cell r="A1149" t="str">
            <v>Faruk</v>
          </cell>
          <cell r="B1149" t="str">
            <v>m</v>
          </cell>
        </row>
        <row r="1150">
          <cell r="A1150" t="str">
            <v>Fastrada</v>
          </cell>
          <cell r="B1150" t="str">
            <v>w</v>
          </cell>
        </row>
        <row r="1151">
          <cell r="A1151" t="str">
            <v>Fatima</v>
          </cell>
          <cell r="B1151" t="str">
            <v>w</v>
          </cell>
        </row>
        <row r="1152">
          <cell r="A1152" t="str">
            <v>Fatime</v>
          </cell>
          <cell r="B1152" t="str">
            <v>w</v>
          </cell>
        </row>
        <row r="1153">
          <cell r="A1153" t="str">
            <v>Fatma</v>
          </cell>
          <cell r="B1153" t="str">
            <v>w</v>
          </cell>
        </row>
        <row r="1154">
          <cell r="A1154" t="str">
            <v>Faust</v>
          </cell>
          <cell r="B1154" t="str">
            <v>m</v>
          </cell>
        </row>
        <row r="1155">
          <cell r="A1155" t="str">
            <v>Fausta</v>
          </cell>
          <cell r="B1155" t="str">
            <v>w</v>
          </cell>
        </row>
        <row r="1156">
          <cell r="A1156" t="str">
            <v>Faustina</v>
          </cell>
          <cell r="B1156" t="str">
            <v>w</v>
          </cell>
        </row>
        <row r="1157">
          <cell r="A1157" t="str">
            <v>Faustine</v>
          </cell>
          <cell r="B1157" t="str">
            <v>w</v>
          </cell>
        </row>
        <row r="1158">
          <cell r="A1158" t="str">
            <v>Faustino</v>
          </cell>
          <cell r="B1158" t="str">
            <v>m</v>
          </cell>
        </row>
        <row r="1159">
          <cell r="A1159" t="str">
            <v>Faustinus</v>
          </cell>
          <cell r="B1159" t="str">
            <v>m</v>
          </cell>
        </row>
        <row r="1160">
          <cell r="A1160" t="str">
            <v>Fausto</v>
          </cell>
          <cell r="B1160" t="str">
            <v>m</v>
          </cell>
        </row>
        <row r="1161">
          <cell r="A1161" t="str">
            <v>Faustus</v>
          </cell>
          <cell r="B1161" t="str">
            <v>m</v>
          </cell>
        </row>
        <row r="1162">
          <cell r="A1162" t="str">
            <v>Fay</v>
          </cell>
          <cell r="B1162" t="str">
            <v>w</v>
          </cell>
        </row>
        <row r="1163">
          <cell r="A1163" t="str">
            <v>Faye</v>
          </cell>
          <cell r="B1163" t="str">
            <v>w</v>
          </cell>
        </row>
        <row r="1164">
          <cell r="A1164" t="str">
            <v>Federica</v>
          </cell>
          <cell r="B1164" t="str">
            <v>w</v>
          </cell>
        </row>
        <row r="1165">
          <cell r="A1165" t="str">
            <v>Federico</v>
          </cell>
          <cell r="B1165" t="str">
            <v>m</v>
          </cell>
        </row>
        <row r="1166">
          <cell r="A1166" t="str">
            <v>Federiga</v>
          </cell>
          <cell r="B1166" t="str">
            <v>w</v>
          </cell>
        </row>
        <row r="1167">
          <cell r="A1167" t="str">
            <v>Federigo</v>
          </cell>
          <cell r="B1167" t="str">
            <v>m</v>
          </cell>
        </row>
        <row r="1168">
          <cell r="A1168" t="str">
            <v>Fedor</v>
          </cell>
          <cell r="B1168" t="str">
            <v>m</v>
          </cell>
        </row>
        <row r="1169">
          <cell r="A1169" t="str">
            <v>Fedora</v>
          </cell>
          <cell r="B1169" t="str">
            <v>w</v>
          </cell>
        </row>
        <row r="1170">
          <cell r="A1170" t="str">
            <v>Felda</v>
          </cell>
          <cell r="B1170" t="str">
            <v>w</v>
          </cell>
        </row>
        <row r="1171">
          <cell r="A1171" t="str">
            <v>Feli</v>
          </cell>
          <cell r="B1171" t="str">
            <v>w</v>
          </cell>
        </row>
        <row r="1172">
          <cell r="A1172" t="str">
            <v>Felicia</v>
          </cell>
          <cell r="B1172" t="str">
            <v>w</v>
          </cell>
        </row>
        <row r="1173">
          <cell r="A1173" t="str">
            <v>Felicitas</v>
          </cell>
          <cell r="B1173" t="str">
            <v>w</v>
          </cell>
        </row>
        <row r="1174">
          <cell r="A1174" t="str">
            <v>Felina</v>
          </cell>
          <cell r="B1174" t="str">
            <v>w</v>
          </cell>
        </row>
        <row r="1175">
          <cell r="A1175" t="str">
            <v>Felix</v>
          </cell>
          <cell r="B1175" t="str">
            <v>m</v>
          </cell>
        </row>
        <row r="1176">
          <cell r="A1176" t="str">
            <v>Felizian</v>
          </cell>
          <cell r="B1176" t="str">
            <v>m</v>
          </cell>
        </row>
        <row r="1177">
          <cell r="A1177" t="str">
            <v>Felizitas</v>
          </cell>
          <cell r="B1177" t="str">
            <v>w</v>
          </cell>
        </row>
        <row r="1178">
          <cell r="A1178" t="str">
            <v>Ferd</v>
          </cell>
          <cell r="B1178" t="str">
            <v>m</v>
          </cell>
        </row>
        <row r="1179">
          <cell r="A1179" t="str">
            <v>Ferdel</v>
          </cell>
          <cell r="B1179" t="str">
            <v>m</v>
          </cell>
        </row>
        <row r="1180">
          <cell r="A1180" t="str">
            <v>Ferdi</v>
          </cell>
          <cell r="B1180" t="str">
            <v>m</v>
          </cell>
        </row>
        <row r="1181">
          <cell r="A1181" t="str">
            <v>Ferdie</v>
          </cell>
          <cell r="B1181" t="str">
            <v>m</v>
          </cell>
        </row>
        <row r="1182">
          <cell r="A1182" t="str">
            <v>Ferdinand</v>
          </cell>
          <cell r="B1182" t="str">
            <v>m</v>
          </cell>
        </row>
        <row r="1183">
          <cell r="A1183" t="str">
            <v>Ferdinanda</v>
          </cell>
          <cell r="B1183" t="str">
            <v>w</v>
          </cell>
        </row>
        <row r="1184">
          <cell r="A1184" t="str">
            <v>Ferdinando</v>
          </cell>
          <cell r="B1184" t="str">
            <v>m</v>
          </cell>
        </row>
        <row r="1185">
          <cell r="A1185" t="str">
            <v>Ferdy</v>
          </cell>
          <cell r="B1185" t="str">
            <v>m</v>
          </cell>
        </row>
        <row r="1186">
          <cell r="A1186" t="str">
            <v>Fernand</v>
          </cell>
          <cell r="B1186" t="str">
            <v>m</v>
          </cell>
        </row>
        <row r="1187">
          <cell r="A1187" t="str">
            <v>Fernanda</v>
          </cell>
          <cell r="B1187" t="str">
            <v>w</v>
          </cell>
        </row>
        <row r="1188">
          <cell r="A1188" t="str">
            <v>Fernandina</v>
          </cell>
          <cell r="B1188" t="str">
            <v>w</v>
          </cell>
        </row>
        <row r="1189">
          <cell r="A1189" t="str">
            <v>Fernando</v>
          </cell>
          <cell r="B1189" t="str">
            <v>m</v>
          </cell>
        </row>
        <row r="1190">
          <cell r="A1190" t="str">
            <v>Ferrand</v>
          </cell>
          <cell r="B1190" t="str">
            <v>m</v>
          </cell>
        </row>
        <row r="1191">
          <cell r="A1191" t="str">
            <v>Fester</v>
          </cell>
          <cell r="B1191" t="str">
            <v>m</v>
          </cell>
        </row>
        <row r="1192">
          <cell r="A1192" t="str">
            <v>Fidel</v>
          </cell>
          <cell r="B1192" t="str">
            <v>m</v>
          </cell>
        </row>
        <row r="1193">
          <cell r="A1193" t="str">
            <v>Fidelia</v>
          </cell>
          <cell r="B1193" t="str">
            <v>w</v>
          </cell>
        </row>
        <row r="1194">
          <cell r="A1194" t="str">
            <v>Fidelio</v>
          </cell>
          <cell r="B1194" t="str">
            <v>m</v>
          </cell>
        </row>
        <row r="1195">
          <cell r="A1195" t="str">
            <v>Fidelis</v>
          </cell>
          <cell r="B1195" t="str">
            <v>m</v>
          </cell>
        </row>
        <row r="1196">
          <cell r="A1196" t="str">
            <v>Fidelius</v>
          </cell>
          <cell r="B1196" t="str">
            <v>m</v>
          </cell>
        </row>
        <row r="1197">
          <cell r="A1197" t="str">
            <v>Fiete</v>
          </cell>
          <cell r="B1197" t="str">
            <v>m</v>
          </cell>
        </row>
        <row r="1198">
          <cell r="A1198" t="str">
            <v>Filip</v>
          </cell>
          <cell r="B1198" t="str">
            <v>m</v>
          </cell>
        </row>
        <row r="1199">
          <cell r="A1199" t="str">
            <v>Filippo</v>
          </cell>
          <cell r="B1199" t="str">
            <v>m</v>
          </cell>
        </row>
        <row r="1200">
          <cell r="A1200" t="str">
            <v>Filiz</v>
          </cell>
          <cell r="B1200" t="str">
            <v>m</v>
          </cell>
        </row>
        <row r="1201">
          <cell r="A1201" t="str">
            <v>Finetta</v>
          </cell>
          <cell r="B1201" t="str">
            <v>w</v>
          </cell>
        </row>
        <row r="1202">
          <cell r="A1202" t="str">
            <v>Finja</v>
          </cell>
          <cell r="B1202" t="str">
            <v>w</v>
          </cell>
        </row>
        <row r="1203">
          <cell r="A1203" t="str">
            <v>Finn</v>
          </cell>
          <cell r="B1203" t="str">
            <v>m</v>
          </cell>
        </row>
        <row r="1204">
          <cell r="A1204" t="str">
            <v>Finnja</v>
          </cell>
          <cell r="B1204" t="str">
            <v>w</v>
          </cell>
        </row>
        <row r="1205">
          <cell r="A1205" t="str">
            <v>Fiona</v>
          </cell>
          <cell r="B1205" t="str">
            <v>w</v>
          </cell>
        </row>
        <row r="1206">
          <cell r="A1206" t="str">
            <v>Fjodora</v>
          </cell>
          <cell r="B1206" t="str">
            <v>w</v>
          </cell>
        </row>
        <row r="1207">
          <cell r="A1207" t="str">
            <v>Flemming</v>
          </cell>
          <cell r="B1207" t="str">
            <v>m</v>
          </cell>
        </row>
        <row r="1208">
          <cell r="A1208" t="str">
            <v>Fleurette</v>
          </cell>
          <cell r="B1208" t="str">
            <v>w</v>
          </cell>
        </row>
        <row r="1209">
          <cell r="A1209" t="str">
            <v>Flora</v>
          </cell>
          <cell r="B1209" t="str">
            <v>w</v>
          </cell>
        </row>
        <row r="1210">
          <cell r="A1210" t="str">
            <v>Florence</v>
          </cell>
          <cell r="B1210" t="str">
            <v>w</v>
          </cell>
        </row>
        <row r="1211">
          <cell r="A1211" t="str">
            <v>Florens</v>
          </cell>
          <cell r="B1211" t="str">
            <v>m</v>
          </cell>
        </row>
        <row r="1212">
          <cell r="A1212" t="str">
            <v>Florentia</v>
          </cell>
          <cell r="B1212" t="str">
            <v>w</v>
          </cell>
        </row>
        <row r="1213">
          <cell r="A1213" t="str">
            <v>Florentin</v>
          </cell>
          <cell r="B1213" t="str">
            <v>m</v>
          </cell>
        </row>
        <row r="1214">
          <cell r="A1214" t="str">
            <v>Florentinus</v>
          </cell>
          <cell r="B1214" t="str">
            <v>m</v>
          </cell>
        </row>
        <row r="1215">
          <cell r="A1215" t="str">
            <v>Florentus</v>
          </cell>
          <cell r="B1215" t="str">
            <v>m</v>
          </cell>
        </row>
        <row r="1216">
          <cell r="A1216" t="str">
            <v>Florenz</v>
          </cell>
          <cell r="B1216" t="str">
            <v>m</v>
          </cell>
        </row>
        <row r="1217">
          <cell r="A1217" t="str">
            <v>Florenzia</v>
          </cell>
          <cell r="B1217" t="str">
            <v>w</v>
          </cell>
        </row>
        <row r="1218">
          <cell r="A1218" t="str">
            <v>Florestan</v>
          </cell>
          <cell r="B1218" t="str">
            <v>m</v>
          </cell>
        </row>
        <row r="1219">
          <cell r="A1219" t="str">
            <v>Floretta</v>
          </cell>
          <cell r="B1219" t="str">
            <v>w</v>
          </cell>
        </row>
        <row r="1220">
          <cell r="A1220" t="str">
            <v>Florette</v>
          </cell>
          <cell r="B1220" t="str">
            <v>w</v>
          </cell>
        </row>
        <row r="1221">
          <cell r="A1221" t="str">
            <v>Flori</v>
          </cell>
          <cell r="B1221" t="str">
            <v>m</v>
          </cell>
        </row>
        <row r="1222">
          <cell r="A1222" t="str">
            <v>Florian</v>
          </cell>
          <cell r="B1222" t="str">
            <v>m</v>
          </cell>
        </row>
        <row r="1223">
          <cell r="A1223" t="str">
            <v>Florianus</v>
          </cell>
          <cell r="B1223" t="str">
            <v>m</v>
          </cell>
        </row>
        <row r="1224">
          <cell r="A1224" t="str">
            <v>Floridus</v>
          </cell>
          <cell r="B1224" t="str">
            <v>m</v>
          </cell>
        </row>
        <row r="1225">
          <cell r="A1225" t="str">
            <v>Florin</v>
          </cell>
          <cell r="B1225" t="str">
            <v>m</v>
          </cell>
        </row>
        <row r="1226">
          <cell r="A1226" t="str">
            <v>Florina</v>
          </cell>
          <cell r="B1226" t="str">
            <v>w</v>
          </cell>
        </row>
        <row r="1227">
          <cell r="A1227" t="str">
            <v>Floris</v>
          </cell>
          <cell r="B1227" t="str">
            <v>m</v>
          </cell>
        </row>
        <row r="1228">
          <cell r="A1228" t="str">
            <v>Florus</v>
          </cell>
          <cell r="B1228" t="str">
            <v>m</v>
          </cell>
        </row>
        <row r="1229">
          <cell r="A1229" t="str">
            <v>Flurin</v>
          </cell>
          <cell r="B1229" t="str">
            <v>m</v>
          </cell>
        </row>
        <row r="1230">
          <cell r="A1230" t="str">
            <v>Fokje</v>
          </cell>
          <cell r="B1230" t="str">
            <v>w</v>
          </cell>
        </row>
        <row r="1231">
          <cell r="A1231" t="str">
            <v>Folker</v>
          </cell>
          <cell r="B1231" t="str">
            <v>m</v>
          </cell>
        </row>
        <row r="1232">
          <cell r="A1232" t="str">
            <v>Folkher</v>
          </cell>
          <cell r="B1232" t="str">
            <v>m</v>
          </cell>
        </row>
        <row r="1233">
          <cell r="A1233" t="str">
            <v>Folkmar</v>
          </cell>
          <cell r="B1233" t="str">
            <v>m</v>
          </cell>
        </row>
        <row r="1234">
          <cell r="A1234" t="str">
            <v>Fortuna</v>
          </cell>
          <cell r="B1234" t="str">
            <v>w</v>
          </cell>
        </row>
        <row r="1235">
          <cell r="A1235" t="str">
            <v>Fortunat</v>
          </cell>
          <cell r="B1235" t="str">
            <v>w</v>
          </cell>
        </row>
        <row r="1236">
          <cell r="A1236" t="str">
            <v>Franca</v>
          </cell>
          <cell r="B1236" t="str">
            <v>w</v>
          </cell>
        </row>
        <row r="1237">
          <cell r="A1237" t="str">
            <v>Frances</v>
          </cell>
          <cell r="B1237" t="str">
            <v>w</v>
          </cell>
        </row>
        <row r="1238">
          <cell r="A1238" t="str">
            <v>Francesca</v>
          </cell>
          <cell r="B1238" t="str">
            <v>w</v>
          </cell>
        </row>
        <row r="1239">
          <cell r="A1239" t="str">
            <v>Francesco</v>
          </cell>
          <cell r="B1239" t="str">
            <v>m</v>
          </cell>
        </row>
        <row r="1240">
          <cell r="A1240" t="str">
            <v>Francis</v>
          </cell>
          <cell r="B1240" t="str">
            <v>m</v>
          </cell>
        </row>
        <row r="1241">
          <cell r="A1241" t="str">
            <v>Franciscus</v>
          </cell>
          <cell r="B1241" t="str">
            <v>m</v>
          </cell>
        </row>
        <row r="1242">
          <cell r="A1242" t="str">
            <v>Franco</v>
          </cell>
          <cell r="B1242" t="str">
            <v>m</v>
          </cell>
        </row>
        <row r="1243">
          <cell r="A1243" t="str">
            <v>Franek</v>
          </cell>
          <cell r="B1243" t="str">
            <v>m</v>
          </cell>
        </row>
        <row r="1244">
          <cell r="A1244" t="str">
            <v>Franja</v>
          </cell>
          <cell r="B1244" t="str">
            <v>w</v>
          </cell>
        </row>
        <row r="1245">
          <cell r="A1245" t="str">
            <v>Frank</v>
          </cell>
          <cell r="B1245" t="str">
            <v>m</v>
          </cell>
        </row>
        <row r="1246">
          <cell r="A1246" t="str">
            <v>Franka</v>
          </cell>
          <cell r="B1246" t="str">
            <v>w</v>
          </cell>
        </row>
        <row r="1247">
          <cell r="A1247" t="str">
            <v>Franke</v>
          </cell>
          <cell r="B1247" t="str">
            <v>m</v>
          </cell>
        </row>
        <row r="1248">
          <cell r="A1248" t="str">
            <v>Franko</v>
          </cell>
          <cell r="B1248" t="str">
            <v>m</v>
          </cell>
        </row>
        <row r="1249">
          <cell r="A1249" t="str">
            <v>Fransiska</v>
          </cell>
          <cell r="B1249" t="str">
            <v>w</v>
          </cell>
        </row>
        <row r="1250">
          <cell r="A1250" t="str">
            <v>Frantisek</v>
          </cell>
          <cell r="B1250" t="str">
            <v>m</v>
          </cell>
        </row>
        <row r="1251">
          <cell r="A1251" t="str">
            <v>Franz</v>
          </cell>
          <cell r="B1251" t="str">
            <v>m</v>
          </cell>
        </row>
        <row r="1252">
          <cell r="A1252" t="str">
            <v>Franzi</v>
          </cell>
          <cell r="B1252" t="str">
            <v>w</v>
          </cell>
        </row>
        <row r="1253">
          <cell r="A1253" t="str">
            <v>Franziska</v>
          </cell>
          <cell r="B1253" t="str">
            <v>w</v>
          </cell>
        </row>
        <row r="1254">
          <cell r="A1254" t="str">
            <v>Franziskus</v>
          </cell>
          <cell r="B1254" t="str">
            <v>m</v>
          </cell>
        </row>
        <row r="1255">
          <cell r="A1255" t="str">
            <v>Franz-Josef</v>
          </cell>
          <cell r="B1255" t="str">
            <v>m</v>
          </cell>
        </row>
        <row r="1256">
          <cell r="A1256" t="str">
            <v>Franz-Peter</v>
          </cell>
          <cell r="B1256" t="str">
            <v>m</v>
          </cell>
        </row>
        <row r="1257">
          <cell r="A1257" t="str">
            <v>Franz-Rudolf</v>
          </cell>
          <cell r="B1257" t="str">
            <v>m</v>
          </cell>
        </row>
        <row r="1258">
          <cell r="A1258" t="str">
            <v>Frauke</v>
          </cell>
          <cell r="B1258" t="str">
            <v>w</v>
          </cell>
        </row>
        <row r="1259">
          <cell r="A1259" t="str">
            <v>Frauwa</v>
          </cell>
          <cell r="B1259" t="str">
            <v>w</v>
          </cell>
        </row>
        <row r="1260">
          <cell r="A1260" t="str">
            <v>Frawa</v>
          </cell>
          <cell r="B1260" t="str">
            <v>w</v>
          </cell>
        </row>
        <row r="1261">
          <cell r="A1261" t="str">
            <v>Fred</v>
          </cell>
          <cell r="B1261" t="str">
            <v>m</v>
          </cell>
        </row>
        <row r="1262">
          <cell r="A1262" t="str">
            <v>Freda</v>
          </cell>
          <cell r="B1262" t="str">
            <v>w</v>
          </cell>
        </row>
        <row r="1263">
          <cell r="A1263" t="str">
            <v>Freddie</v>
          </cell>
          <cell r="B1263" t="str">
            <v>m</v>
          </cell>
        </row>
        <row r="1264">
          <cell r="A1264" t="str">
            <v>Freddie</v>
          </cell>
          <cell r="B1264" t="str">
            <v>w</v>
          </cell>
        </row>
        <row r="1265">
          <cell r="A1265" t="str">
            <v>Freddy</v>
          </cell>
          <cell r="B1265" t="str">
            <v>m</v>
          </cell>
        </row>
        <row r="1266">
          <cell r="A1266" t="str">
            <v>Frederic</v>
          </cell>
          <cell r="B1266" t="str">
            <v>m</v>
          </cell>
        </row>
        <row r="1267">
          <cell r="A1267" t="str">
            <v>Frederick</v>
          </cell>
          <cell r="B1267" t="str">
            <v>m</v>
          </cell>
        </row>
        <row r="1268">
          <cell r="A1268" t="str">
            <v>Fredi</v>
          </cell>
          <cell r="B1268" t="str">
            <v>m</v>
          </cell>
        </row>
        <row r="1269">
          <cell r="A1269" t="str">
            <v>Freida</v>
          </cell>
          <cell r="B1269" t="str">
            <v>w</v>
          </cell>
        </row>
        <row r="1270">
          <cell r="A1270" t="str">
            <v>Freidhelm</v>
          </cell>
          <cell r="B1270" t="str">
            <v>m</v>
          </cell>
        </row>
        <row r="1271">
          <cell r="A1271" t="str">
            <v>Fremont</v>
          </cell>
          <cell r="B1271" t="str">
            <v>m</v>
          </cell>
        </row>
        <row r="1272">
          <cell r="A1272" t="str">
            <v>Freya</v>
          </cell>
          <cell r="B1272" t="str">
            <v>w</v>
          </cell>
        </row>
        <row r="1273">
          <cell r="A1273" t="str">
            <v>Frida</v>
          </cell>
          <cell r="B1273" t="str">
            <v>w</v>
          </cell>
        </row>
        <row r="1274">
          <cell r="A1274" t="str">
            <v>Fridericus</v>
          </cell>
          <cell r="B1274" t="str">
            <v>m</v>
          </cell>
        </row>
        <row r="1275">
          <cell r="A1275" t="str">
            <v>Fridolin</v>
          </cell>
          <cell r="B1275" t="str">
            <v>m</v>
          </cell>
        </row>
        <row r="1276">
          <cell r="A1276" t="str">
            <v>Frieda</v>
          </cell>
          <cell r="B1276" t="str">
            <v>w</v>
          </cell>
        </row>
        <row r="1277">
          <cell r="A1277" t="str">
            <v>Friedel</v>
          </cell>
          <cell r="B1277" t="str">
            <v>m</v>
          </cell>
        </row>
        <row r="1278">
          <cell r="A1278" t="str">
            <v>Frieder</v>
          </cell>
          <cell r="B1278" t="str">
            <v>m</v>
          </cell>
        </row>
        <row r="1279">
          <cell r="A1279" t="str">
            <v>Friederika</v>
          </cell>
          <cell r="B1279" t="str">
            <v>w</v>
          </cell>
        </row>
        <row r="1280">
          <cell r="A1280" t="str">
            <v>Friederike</v>
          </cell>
          <cell r="B1280" t="str">
            <v>w</v>
          </cell>
        </row>
        <row r="1281">
          <cell r="A1281" t="str">
            <v>Friederun</v>
          </cell>
          <cell r="B1281" t="str">
            <v>m</v>
          </cell>
        </row>
        <row r="1282">
          <cell r="A1282" t="str">
            <v>Friedhelm</v>
          </cell>
          <cell r="B1282" t="str">
            <v>m</v>
          </cell>
        </row>
        <row r="1283">
          <cell r="A1283" t="str">
            <v>Friedl</v>
          </cell>
          <cell r="B1283" t="str">
            <v>m</v>
          </cell>
        </row>
        <row r="1284">
          <cell r="A1284" t="str">
            <v>Friedrich</v>
          </cell>
          <cell r="B1284" t="str">
            <v>m</v>
          </cell>
        </row>
        <row r="1285">
          <cell r="A1285" t="str">
            <v>Frithjof</v>
          </cell>
          <cell r="B1285" t="str">
            <v>m</v>
          </cell>
        </row>
        <row r="1286">
          <cell r="A1286" t="str">
            <v>Fritjof</v>
          </cell>
          <cell r="B1286" t="str">
            <v>m</v>
          </cell>
        </row>
        <row r="1287">
          <cell r="A1287" t="str">
            <v>Fritz</v>
          </cell>
          <cell r="B1287" t="str">
            <v>m</v>
          </cell>
        </row>
        <row r="1288">
          <cell r="A1288" t="str">
            <v>Fritz Rudolf</v>
          </cell>
          <cell r="B1288" t="str">
            <v>m</v>
          </cell>
        </row>
        <row r="1289">
          <cell r="A1289" t="str">
            <v>Fritzi</v>
          </cell>
          <cell r="B1289" t="str">
            <v>w</v>
          </cell>
        </row>
        <row r="1290">
          <cell r="A1290" t="str">
            <v>Fritzie</v>
          </cell>
          <cell r="B1290" t="str">
            <v>w</v>
          </cell>
        </row>
        <row r="1291">
          <cell r="A1291" t="str">
            <v>Fulbert</v>
          </cell>
          <cell r="B1291" t="str">
            <v>m</v>
          </cell>
        </row>
        <row r="1292">
          <cell r="A1292" t="str">
            <v>Fulbright</v>
          </cell>
          <cell r="B1292" t="str">
            <v>m</v>
          </cell>
        </row>
        <row r="1293">
          <cell r="A1293" t="str">
            <v>Fynn</v>
          </cell>
          <cell r="B1293" t="str">
            <v>m</v>
          </cell>
        </row>
        <row r="1294">
          <cell r="A1294" t="str">
            <v>Gabi</v>
          </cell>
          <cell r="B1294" t="str">
            <v>w</v>
          </cell>
        </row>
        <row r="1295">
          <cell r="A1295" t="str">
            <v>Gabor</v>
          </cell>
          <cell r="B1295" t="str">
            <v>m</v>
          </cell>
        </row>
        <row r="1296">
          <cell r="A1296" t="str">
            <v>Gabriel</v>
          </cell>
          <cell r="B1296" t="str">
            <v>m</v>
          </cell>
        </row>
        <row r="1297">
          <cell r="A1297" t="str">
            <v>Gabriela</v>
          </cell>
          <cell r="B1297" t="str">
            <v>w</v>
          </cell>
        </row>
        <row r="1298">
          <cell r="A1298" t="str">
            <v>Gabriele</v>
          </cell>
          <cell r="B1298" t="str">
            <v>w</v>
          </cell>
        </row>
        <row r="1299">
          <cell r="A1299" t="str">
            <v>Gabrielle</v>
          </cell>
          <cell r="B1299" t="str">
            <v>w</v>
          </cell>
        </row>
        <row r="1300">
          <cell r="A1300" t="str">
            <v>Gabriello</v>
          </cell>
          <cell r="B1300" t="str">
            <v>m</v>
          </cell>
        </row>
        <row r="1301">
          <cell r="A1301" t="str">
            <v>Gabrio</v>
          </cell>
          <cell r="B1301" t="str">
            <v>m</v>
          </cell>
        </row>
        <row r="1302">
          <cell r="A1302" t="str">
            <v>Gaby</v>
          </cell>
          <cell r="B1302" t="str">
            <v>w</v>
          </cell>
        </row>
        <row r="1303">
          <cell r="A1303" t="str">
            <v>Galatea</v>
          </cell>
          <cell r="B1303" t="str">
            <v>w</v>
          </cell>
        </row>
        <row r="1304">
          <cell r="A1304" t="str">
            <v>Galateia</v>
          </cell>
          <cell r="B1304" t="str">
            <v>w</v>
          </cell>
        </row>
        <row r="1305">
          <cell r="A1305" t="str">
            <v>Galiana</v>
          </cell>
          <cell r="B1305" t="str">
            <v>w</v>
          </cell>
        </row>
        <row r="1306">
          <cell r="A1306" t="str">
            <v>Galiena</v>
          </cell>
          <cell r="B1306" t="str">
            <v>w</v>
          </cell>
        </row>
        <row r="1307">
          <cell r="A1307" t="str">
            <v>Galina</v>
          </cell>
          <cell r="B1307" t="str">
            <v>w</v>
          </cell>
        </row>
        <row r="1308">
          <cell r="A1308" t="str">
            <v>Gall</v>
          </cell>
          <cell r="B1308" t="str">
            <v>m</v>
          </cell>
        </row>
        <row r="1309">
          <cell r="A1309" t="str">
            <v>Galli</v>
          </cell>
          <cell r="B1309" t="str">
            <v>m</v>
          </cell>
        </row>
        <row r="1310">
          <cell r="A1310" t="str">
            <v>Gallo</v>
          </cell>
          <cell r="B1310" t="str">
            <v>m</v>
          </cell>
        </row>
        <row r="1311">
          <cell r="A1311" t="str">
            <v>Gallus</v>
          </cell>
          <cell r="B1311" t="str">
            <v>m</v>
          </cell>
        </row>
        <row r="1312">
          <cell r="A1312" t="str">
            <v>Ganja</v>
          </cell>
          <cell r="B1312" t="str">
            <v>w</v>
          </cell>
        </row>
        <row r="1313">
          <cell r="A1313" t="str">
            <v>Gard</v>
          </cell>
          <cell r="B1313" t="str">
            <v>m</v>
          </cell>
        </row>
        <row r="1314">
          <cell r="A1314" t="str">
            <v>Garner</v>
          </cell>
          <cell r="B1314" t="str">
            <v>m</v>
          </cell>
        </row>
        <row r="1315">
          <cell r="A1315" t="str">
            <v>Garnett</v>
          </cell>
          <cell r="B1315" t="str">
            <v>w</v>
          </cell>
        </row>
        <row r="1316">
          <cell r="A1316" t="str">
            <v>Garnier</v>
          </cell>
          <cell r="B1316" t="str">
            <v>m</v>
          </cell>
        </row>
        <row r="1317">
          <cell r="A1317" t="str">
            <v>Garvin</v>
          </cell>
          <cell r="B1317" t="str">
            <v>m</v>
          </cell>
        </row>
        <row r="1318">
          <cell r="A1318" t="str">
            <v>Gaspard</v>
          </cell>
          <cell r="B1318" t="str">
            <v>m</v>
          </cell>
        </row>
        <row r="1319">
          <cell r="A1319" t="str">
            <v>Gaston</v>
          </cell>
          <cell r="B1319" t="str">
            <v>m</v>
          </cell>
        </row>
        <row r="1320">
          <cell r="A1320" t="str">
            <v>Gatty</v>
          </cell>
          <cell r="B1320" t="str">
            <v>w</v>
          </cell>
        </row>
        <row r="1321">
          <cell r="A1321" t="str">
            <v>Gautier</v>
          </cell>
          <cell r="B1321" t="str">
            <v>m</v>
          </cell>
        </row>
        <row r="1322">
          <cell r="A1322" t="str">
            <v>Gavin</v>
          </cell>
          <cell r="B1322" t="str">
            <v>m</v>
          </cell>
        </row>
        <row r="1323">
          <cell r="A1323" t="str">
            <v>Gebbo</v>
          </cell>
          <cell r="B1323" t="str">
            <v>m</v>
          </cell>
        </row>
        <row r="1324">
          <cell r="A1324" t="str">
            <v>Gebert</v>
          </cell>
          <cell r="B1324" t="str">
            <v>m</v>
          </cell>
        </row>
        <row r="1325">
          <cell r="A1325" t="str">
            <v>Gebhard</v>
          </cell>
          <cell r="B1325" t="str">
            <v>m</v>
          </cell>
        </row>
        <row r="1326">
          <cell r="A1326" t="str">
            <v>Gedeon</v>
          </cell>
          <cell r="B1326" t="str">
            <v>m</v>
          </cell>
        </row>
        <row r="1327">
          <cell r="A1327" t="str">
            <v>Gedion</v>
          </cell>
          <cell r="B1327" t="str">
            <v>m</v>
          </cell>
        </row>
        <row r="1328">
          <cell r="A1328" t="str">
            <v>Gehrt</v>
          </cell>
          <cell r="B1328" t="str">
            <v>m</v>
          </cell>
        </row>
        <row r="1329">
          <cell r="A1329" t="str">
            <v>Genia</v>
          </cell>
          <cell r="B1329" t="str">
            <v>w</v>
          </cell>
        </row>
        <row r="1330">
          <cell r="A1330" t="str">
            <v>Genie</v>
          </cell>
          <cell r="B1330" t="str">
            <v>w</v>
          </cell>
        </row>
        <row r="1331">
          <cell r="A1331" t="str">
            <v>Genovefa</v>
          </cell>
          <cell r="B1331" t="str">
            <v>w</v>
          </cell>
        </row>
        <row r="1332">
          <cell r="A1332" t="str">
            <v>Genoveva</v>
          </cell>
          <cell r="B1332" t="str">
            <v>w</v>
          </cell>
        </row>
        <row r="1333">
          <cell r="A1333" t="str">
            <v>Geof</v>
          </cell>
          <cell r="B1333" t="str">
            <v>m</v>
          </cell>
        </row>
        <row r="1334">
          <cell r="A1334" t="str">
            <v>Geoff</v>
          </cell>
          <cell r="B1334" t="str">
            <v>m</v>
          </cell>
        </row>
        <row r="1335">
          <cell r="A1335" t="str">
            <v>Geoffrey</v>
          </cell>
          <cell r="B1335" t="str">
            <v>m</v>
          </cell>
        </row>
        <row r="1336">
          <cell r="A1336" t="str">
            <v>Georg</v>
          </cell>
          <cell r="B1336" t="str">
            <v>m</v>
          </cell>
        </row>
        <row r="1337">
          <cell r="A1337" t="str">
            <v>George</v>
          </cell>
          <cell r="B1337" t="str">
            <v>m</v>
          </cell>
        </row>
        <row r="1338">
          <cell r="A1338" t="str">
            <v>Georgine</v>
          </cell>
          <cell r="B1338" t="str">
            <v>w</v>
          </cell>
        </row>
        <row r="1339">
          <cell r="A1339" t="str">
            <v>Georgio</v>
          </cell>
          <cell r="B1339" t="str">
            <v>m</v>
          </cell>
        </row>
        <row r="1340">
          <cell r="A1340" t="str">
            <v>Geppert</v>
          </cell>
          <cell r="B1340" t="str">
            <v>m</v>
          </cell>
        </row>
        <row r="1341">
          <cell r="A1341" t="str">
            <v>Ger</v>
          </cell>
          <cell r="B1341" t="str">
            <v>m</v>
          </cell>
        </row>
        <row r="1342">
          <cell r="A1342" t="str">
            <v>Gerald</v>
          </cell>
          <cell r="B1342" t="str">
            <v>m</v>
          </cell>
        </row>
        <row r="1343">
          <cell r="A1343" t="str">
            <v>Geraldine</v>
          </cell>
          <cell r="B1343" t="str">
            <v>w</v>
          </cell>
        </row>
        <row r="1344">
          <cell r="A1344" t="str">
            <v>Geralyn</v>
          </cell>
          <cell r="B1344" t="str">
            <v>w</v>
          </cell>
        </row>
        <row r="1345">
          <cell r="A1345" t="str">
            <v>Geralynn</v>
          </cell>
          <cell r="B1345" t="str">
            <v>w</v>
          </cell>
        </row>
        <row r="1346">
          <cell r="A1346" t="str">
            <v>Gerard</v>
          </cell>
          <cell r="B1346" t="str">
            <v>m</v>
          </cell>
        </row>
        <row r="1347">
          <cell r="A1347" t="str">
            <v>Gerardo</v>
          </cell>
          <cell r="B1347" t="str">
            <v>m</v>
          </cell>
        </row>
        <row r="1348">
          <cell r="A1348" t="str">
            <v>Gerd</v>
          </cell>
          <cell r="B1348" t="str">
            <v>m</v>
          </cell>
        </row>
        <row r="1349">
          <cell r="A1349" t="str">
            <v>Gerda</v>
          </cell>
          <cell r="B1349" t="str">
            <v>w</v>
          </cell>
        </row>
        <row r="1350">
          <cell r="A1350" t="str">
            <v>Gerde</v>
          </cell>
          <cell r="B1350" t="str">
            <v>w</v>
          </cell>
        </row>
        <row r="1351">
          <cell r="A1351" t="str">
            <v>Gerdi</v>
          </cell>
          <cell r="B1351" t="str">
            <v>w</v>
          </cell>
        </row>
        <row r="1352">
          <cell r="A1352" t="str">
            <v>Gerdie</v>
          </cell>
          <cell r="B1352" t="str">
            <v>w</v>
          </cell>
        </row>
        <row r="1353">
          <cell r="A1353" t="str">
            <v>Gere</v>
          </cell>
          <cell r="B1353" t="str">
            <v>m</v>
          </cell>
        </row>
        <row r="1354">
          <cell r="A1354" t="str">
            <v>Gereon</v>
          </cell>
          <cell r="B1354" t="str">
            <v>m</v>
          </cell>
        </row>
        <row r="1355">
          <cell r="A1355" t="str">
            <v>Gerfried</v>
          </cell>
          <cell r="B1355" t="str">
            <v>m</v>
          </cell>
        </row>
        <row r="1356">
          <cell r="A1356" t="str">
            <v>Gergard</v>
          </cell>
          <cell r="B1356" t="str">
            <v>m</v>
          </cell>
        </row>
        <row r="1357">
          <cell r="A1357" t="str">
            <v>Gerhard</v>
          </cell>
          <cell r="B1357" t="str">
            <v>m</v>
          </cell>
        </row>
        <row r="1358">
          <cell r="A1358" t="str">
            <v>Gerhardt</v>
          </cell>
          <cell r="B1358" t="str">
            <v>m</v>
          </cell>
        </row>
        <row r="1359">
          <cell r="A1359" t="str">
            <v>Gerhart</v>
          </cell>
          <cell r="B1359" t="str">
            <v>m</v>
          </cell>
        </row>
        <row r="1360">
          <cell r="A1360" t="str">
            <v>Gerion</v>
          </cell>
          <cell r="B1360" t="str">
            <v>m</v>
          </cell>
        </row>
        <row r="1361">
          <cell r="A1361" t="str">
            <v>Gerlind</v>
          </cell>
          <cell r="B1361" t="str">
            <v>w</v>
          </cell>
        </row>
        <row r="1362">
          <cell r="A1362" t="str">
            <v>Gerlinde</v>
          </cell>
          <cell r="B1362" t="str">
            <v>w</v>
          </cell>
        </row>
        <row r="1363">
          <cell r="A1363" t="str">
            <v>Gerlindis</v>
          </cell>
          <cell r="B1363" t="str">
            <v>w</v>
          </cell>
        </row>
        <row r="1364">
          <cell r="A1364" t="str">
            <v>German</v>
          </cell>
          <cell r="B1364" t="str">
            <v>m</v>
          </cell>
        </row>
        <row r="1365">
          <cell r="A1365" t="str">
            <v>Gernot</v>
          </cell>
          <cell r="B1365" t="str">
            <v>m</v>
          </cell>
        </row>
        <row r="1366">
          <cell r="A1366" t="str">
            <v>Gero</v>
          </cell>
          <cell r="B1366" t="str">
            <v>m</v>
          </cell>
        </row>
        <row r="1367">
          <cell r="A1367" t="str">
            <v>Gerold</v>
          </cell>
          <cell r="B1367" t="str">
            <v>m</v>
          </cell>
        </row>
        <row r="1368">
          <cell r="A1368" t="str">
            <v>Gerome</v>
          </cell>
          <cell r="B1368" t="str">
            <v>m</v>
          </cell>
        </row>
        <row r="1369">
          <cell r="A1369" t="str">
            <v>Geronimo</v>
          </cell>
          <cell r="B1369" t="str">
            <v>m</v>
          </cell>
        </row>
        <row r="1370">
          <cell r="A1370" t="str">
            <v>Gerrald</v>
          </cell>
          <cell r="B1370" t="str">
            <v>m</v>
          </cell>
        </row>
        <row r="1371">
          <cell r="A1371" t="str">
            <v>Gerrell</v>
          </cell>
          <cell r="B1371" t="str">
            <v>m</v>
          </cell>
        </row>
        <row r="1372">
          <cell r="A1372" t="str">
            <v>Gerrit</v>
          </cell>
          <cell r="B1372" t="str">
            <v>m</v>
          </cell>
        </row>
        <row r="1373">
          <cell r="A1373" t="str">
            <v>Gerry</v>
          </cell>
          <cell r="B1373" t="str">
            <v>m</v>
          </cell>
        </row>
        <row r="1374">
          <cell r="A1374" t="str">
            <v>Gert</v>
          </cell>
          <cell r="B1374" t="str">
            <v>m</v>
          </cell>
        </row>
        <row r="1375">
          <cell r="A1375" t="str">
            <v>Gerti</v>
          </cell>
          <cell r="B1375" t="str">
            <v>w</v>
          </cell>
        </row>
        <row r="1376">
          <cell r="A1376" t="str">
            <v>Gertraud</v>
          </cell>
          <cell r="B1376" t="str">
            <v>w</v>
          </cell>
        </row>
        <row r="1377">
          <cell r="A1377" t="str">
            <v>Gertraude</v>
          </cell>
          <cell r="B1377" t="str">
            <v>w</v>
          </cell>
        </row>
        <row r="1378">
          <cell r="A1378" t="str">
            <v>Gertraut</v>
          </cell>
          <cell r="B1378" t="str">
            <v>w</v>
          </cell>
        </row>
        <row r="1379">
          <cell r="A1379" t="str">
            <v>Gertrud</v>
          </cell>
          <cell r="B1379" t="str">
            <v>w</v>
          </cell>
        </row>
        <row r="1380">
          <cell r="A1380" t="str">
            <v>Gertrude</v>
          </cell>
          <cell r="B1380" t="str">
            <v>w</v>
          </cell>
        </row>
        <row r="1381">
          <cell r="A1381" t="str">
            <v>Gertrudis</v>
          </cell>
          <cell r="B1381" t="str">
            <v>w</v>
          </cell>
        </row>
        <row r="1382">
          <cell r="A1382" t="str">
            <v>Gervais</v>
          </cell>
          <cell r="B1382" t="str">
            <v>m</v>
          </cell>
        </row>
        <row r="1383">
          <cell r="A1383" t="str">
            <v>Gervase</v>
          </cell>
          <cell r="B1383" t="str">
            <v>m</v>
          </cell>
        </row>
        <row r="1384">
          <cell r="A1384" t="str">
            <v>Gerwald</v>
          </cell>
          <cell r="B1384" t="str">
            <v>m</v>
          </cell>
        </row>
        <row r="1385">
          <cell r="A1385" t="str">
            <v>Gerwin</v>
          </cell>
          <cell r="B1385" t="str">
            <v>m</v>
          </cell>
        </row>
        <row r="1386">
          <cell r="A1386" t="str">
            <v>Gesa</v>
          </cell>
          <cell r="B1386" t="str">
            <v>w</v>
          </cell>
        </row>
        <row r="1387">
          <cell r="A1387" t="str">
            <v>Gescha</v>
          </cell>
          <cell r="B1387" t="str">
            <v>w</v>
          </cell>
        </row>
        <row r="1388">
          <cell r="A1388" t="str">
            <v>Giacomo</v>
          </cell>
          <cell r="B1388" t="str">
            <v>m</v>
          </cell>
        </row>
        <row r="1389">
          <cell r="A1389" t="str">
            <v>Gian-Franco</v>
          </cell>
          <cell r="B1389" t="str">
            <v>m</v>
          </cell>
        </row>
        <row r="1390">
          <cell r="A1390" t="str">
            <v>Gian-Luca</v>
          </cell>
          <cell r="B1390" t="str">
            <v>m</v>
          </cell>
        </row>
        <row r="1391">
          <cell r="A1391" t="str">
            <v>Gian-Marco</v>
          </cell>
          <cell r="B1391" t="str">
            <v>m</v>
          </cell>
        </row>
        <row r="1392">
          <cell r="A1392" t="str">
            <v>Gianna</v>
          </cell>
          <cell r="B1392" t="str">
            <v>w</v>
          </cell>
        </row>
        <row r="1393">
          <cell r="A1393" t="str">
            <v>Gianni</v>
          </cell>
          <cell r="B1393" t="str">
            <v>m</v>
          </cell>
        </row>
        <row r="1394">
          <cell r="A1394" t="str">
            <v>Gideon</v>
          </cell>
          <cell r="B1394" t="str">
            <v>m</v>
          </cell>
        </row>
        <row r="1395">
          <cell r="A1395" t="str">
            <v>Gidi</v>
          </cell>
          <cell r="B1395" t="str">
            <v>m</v>
          </cell>
        </row>
        <row r="1396">
          <cell r="A1396" t="str">
            <v>Gidion</v>
          </cell>
          <cell r="B1396" t="str">
            <v>m</v>
          </cell>
        </row>
        <row r="1397">
          <cell r="A1397" t="str">
            <v>Gieselherr</v>
          </cell>
          <cell r="B1397" t="str">
            <v>m</v>
          </cell>
        </row>
        <row r="1398">
          <cell r="A1398" t="str">
            <v>Giffard</v>
          </cell>
          <cell r="B1398" t="str">
            <v>m</v>
          </cell>
        </row>
        <row r="1399">
          <cell r="A1399" t="str">
            <v>Gifferd</v>
          </cell>
          <cell r="B1399" t="str">
            <v>m</v>
          </cell>
        </row>
        <row r="1400">
          <cell r="A1400" t="str">
            <v>Gifford</v>
          </cell>
          <cell r="B1400" t="str">
            <v>m</v>
          </cell>
        </row>
        <row r="1401">
          <cell r="A1401" t="str">
            <v>Gilbert</v>
          </cell>
          <cell r="B1401" t="str">
            <v>m</v>
          </cell>
        </row>
        <row r="1402">
          <cell r="A1402" t="str">
            <v>Gilda</v>
          </cell>
          <cell r="B1402" t="str">
            <v>w</v>
          </cell>
        </row>
        <row r="1403">
          <cell r="A1403" t="str">
            <v>Gilla</v>
          </cell>
          <cell r="B1403" t="str">
            <v>w</v>
          </cell>
        </row>
        <row r="1404">
          <cell r="A1404" t="str">
            <v>Gilleasbuig</v>
          </cell>
          <cell r="B1404" t="str">
            <v>m</v>
          </cell>
        </row>
        <row r="1405">
          <cell r="A1405" t="str">
            <v>Gillian</v>
          </cell>
          <cell r="B1405" t="str">
            <v>m</v>
          </cell>
        </row>
        <row r="1406">
          <cell r="A1406" t="str">
            <v>Gina</v>
          </cell>
          <cell r="B1406" t="str">
            <v>w</v>
          </cell>
        </row>
        <row r="1407">
          <cell r="A1407" t="str">
            <v>Ginette</v>
          </cell>
          <cell r="B1407" t="str">
            <v>w</v>
          </cell>
        </row>
        <row r="1408">
          <cell r="A1408" t="str">
            <v>Gino</v>
          </cell>
          <cell r="B1408" t="str">
            <v>m</v>
          </cell>
        </row>
        <row r="1409">
          <cell r="A1409" t="str">
            <v>Giovanna</v>
          </cell>
          <cell r="B1409" t="str">
            <v>w</v>
          </cell>
        </row>
        <row r="1410">
          <cell r="A1410" t="str">
            <v>Giovanni</v>
          </cell>
          <cell r="B1410" t="str">
            <v>m</v>
          </cell>
        </row>
        <row r="1411">
          <cell r="A1411" t="str">
            <v>Gironimo</v>
          </cell>
          <cell r="B1411" t="str">
            <v>m</v>
          </cell>
        </row>
        <row r="1412">
          <cell r="A1412" t="str">
            <v>Gisela</v>
          </cell>
          <cell r="B1412" t="str">
            <v>w</v>
          </cell>
        </row>
        <row r="1413">
          <cell r="A1413" t="str">
            <v>Gisele</v>
          </cell>
          <cell r="B1413" t="str">
            <v>w</v>
          </cell>
        </row>
        <row r="1414">
          <cell r="A1414" t="str">
            <v>Gisella</v>
          </cell>
          <cell r="B1414" t="str">
            <v>w</v>
          </cell>
        </row>
        <row r="1415">
          <cell r="A1415" t="str">
            <v>Giselle</v>
          </cell>
          <cell r="B1415" t="str">
            <v>w</v>
          </cell>
        </row>
        <row r="1416">
          <cell r="A1416" t="str">
            <v>Giso</v>
          </cell>
          <cell r="B1416" t="str">
            <v>m</v>
          </cell>
        </row>
        <row r="1417">
          <cell r="A1417" t="str">
            <v>Gitta</v>
          </cell>
          <cell r="B1417" t="str">
            <v>w</v>
          </cell>
        </row>
        <row r="1418">
          <cell r="A1418" t="str">
            <v>Gitte</v>
          </cell>
          <cell r="B1418" t="str">
            <v>w</v>
          </cell>
        </row>
        <row r="1419">
          <cell r="A1419" t="str">
            <v>Giuletta</v>
          </cell>
          <cell r="B1419" t="str">
            <v>w</v>
          </cell>
        </row>
        <row r="1420">
          <cell r="A1420" t="str">
            <v>Giulia</v>
          </cell>
          <cell r="B1420" t="str">
            <v>w</v>
          </cell>
        </row>
        <row r="1421">
          <cell r="A1421" t="str">
            <v>Giuliana</v>
          </cell>
          <cell r="B1421" t="str">
            <v>w</v>
          </cell>
        </row>
        <row r="1422">
          <cell r="A1422" t="str">
            <v>Giuliano</v>
          </cell>
          <cell r="B1422" t="str">
            <v>m</v>
          </cell>
        </row>
        <row r="1423">
          <cell r="A1423" t="str">
            <v>Giulietta</v>
          </cell>
          <cell r="B1423" t="str">
            <v>w</v>
          </cell>
        </row>
        <row r="1424">
          <cell r="A1424" t="str">
            <v>Giulio</v>
          </cell>
          <cell r="B1424" t="str">
            <v>m</v>
          </cell>
        </row>
        <row r="1425">
          <cell r="A1425" t="str">
            <v>Giuseppa</v>
          </cell>
          <cell r="B1425" t="str">
            <v>w</v>
          </cell>
        </row>
        <row r="1426">
          <cell r="A1426" t="str">
            <v>Giuseppe</v>
          </cell>
          <cell r="B1426" t="str">
            <v>m</v>
          </cell>
        </row>
        <row r="1427">
          <cell r="A1427" t="str">
            <v>Giustina</v>
          </cell>
          <cell r="B1427" t="str">
            <v>w</v>
          </cell>
        </row>
        <row r="1428">
          <cell r="A1428" t="str">
            <v>Glen</v>
          </cell>
          <cell r="B1428" t="str">
            <v>m</v>
          </cell>
        </row>
        <row r="1429">
          <cell r="A1429" t="str">
            <v>Glenn</v>
          </cell>
          <cell r="B1429" t="str">
            <v>m</v>
          </cell>
        </row>
        <row r="1430">
          <cell r="A1430" t="str">
            <v>Gloria</v>
          </cell>
          <cell r="B1430" t="str">
            <v>w</v>
          </cell>
        </row>
        <row r="1431">
          <cell r="A1431" t="str">
            <v>Gloriana</v>
          </cell>
          <cell r="B1431" t="str">
            <v>w</v>
          </cell>
        </row>
        <row r="1432">
          <cell r="A1432" t="str">
            <v>Gloriosa</v>
          </cell>
          <cell r="B1432" t="str">
            <v>w</v>
          </cell>
        </row>
        <row r="1433">
          <cell r="A1433" t="str">
            <v>Godard</v>
          </cell>
          <cell r="B1433" t="str">
            <v>m</v>
          </cell>
        </row>
        <row r="1434">
          <cell r="A1434" t="str">
            <v>Godart</v>
          </cell>
          <cell r="B1434" t="str">
            <v>m</v>
          </cell>
        </row>
        <row r="1435">
          <cell r="A1435" t="str">
            <v>Goddard</v>
          </cell>
          <cell r="B1435" t="str">
            <v>m</v>
          </cell>
        </row>
        <row r="1436">
          <cell r="A1436" t="str">
            <v>Goddart</v>
          </cell>
          <cell r="B1436" t="str">
            <v>m</v>
          </cell>
        </row>
        <row r="1437">
          <cell r="A1437" t="str">
            <v>Godfrey</v>
          </cell>
          <cell r="B1437" t="str">
            <v>m</v>
          </cell>
        </row>
        <row r="1438">
          <cell r="A1438" t="str">
            <v>Goeran</v>
          </cell>
          <cell r="B1438" t="str">
            <v>m</v>
          </cell>
        </row>
        <row r="1439">
          <cell r="A1439" t="str">
            <v>Goliat</v>
          </cell>
          <cell r="B1439" t="str">
            <v>m</v>
          </cell>
        </row>
        <row r="1440">
          <cell r="A1440" t="str">
            <v>Goliath</v>
          </cell>
          <cell r="B1440" t="str">
            <v>m</v>
          </cell>
        </row>
        <row r="1441">
          <cell r="A1441" t="str">
            <v>Goran</v>
          </cell>
          <cell r="B1441" t="str">
            <v>m</v>
          </cell>
        </row>
        <row r="1442">
          <cell r="A1442" t="str">
            <v>Gordon</v>
          </cell>
          <cell r="B1442" t="str">
            <v>m</v>
          </cell>
        </row>
        <row r="1443">
          <cell r="A1443" t="str">
            <v>Gorius</v>
          </cell>
          <cell r="B1443" t="str">
            <v>m</v>
          </cell>
        </row>
        <row r="1444">
          <cell r="A1444" t="str">
            <v>Görkem</v>
          </cell>
          <cell r="B1444" t="str">
            <v>m</v>
          </cell>
        </row>
        <row r="1445">
          <cell r="A1445" t="str">
            <v>Goswin</v>
          </cell>
          <cell r="B1445" t="str">
            <v>m</v>
          </cell>
        </row>
        <row r="1446">
          <cell r="A1446" t="str">
            <v>Gotbert</v>
          </cell>
          <cell r="B1446" t="str">
            <v>m</v>
          </cell>
        </row>
        <row r="1447">
          <cell r="A1447" t="str">
            <v>Gotfrid</v>
          </cell>
          <cell r="B1447" t="str">
            <v>m</v>
          </cell>
        </row>
        <row r="1448">
          <cell r="A1448" t="str">
            <v>Gottfried</v>
          </cell>
          <cell r="B1448" t="str">
            <v>m</v>
          </cell>
        </row>
        <row r="1449">
          <cell r="A1449" t="str">
            <v>Gotthard</v>
          </cell>
          <cell r="B1449" t="str">
            <v>m</v>
          </cell>
        </row>
        <row r="1450">
          <cell r="A1450" t="str">
            <v>Gotthold</v>
          </cell>
          <cell r="B1450" t="str">
            <v>m</v>
          </cell>
        </row>
        <row r="1451">
          <cell r="A1451" t="str">
            <v>Gottlieb</v>
          </cell>
          <cell r="B1451" t="str">
            <v>m</v>
          </cell>
        </row>
        <row r="1452">
          <cell r="A1452" t="str">
            <v>Grace</v>
          </cell>
          <cell r="B1452" t="str">
            <v>w</v>
          </cell>
        </row>
        <row r="1453">
          <cell r="A1453" t="str">
            <v>Graciano</v>
          </cell>
          <cell r="B1453" t="str">
            <v>m</v>
          </cell>
        </row>
        <row r="1454">
          <cell r="A1454" t="str">
            <v>Gracy</v>
          </cell>
          <cell r="B1454" t="str">
            <v>w</v>
          </cell>
        </row>
        <row r="1455">
          <cell r="A1455" t="str">
            <v>Graeme</v>
          </cell>
          <cell r="B1455" t="str">
            <v>m</v>
          </cell>
        </row>
        <row r="1456">
          <cell r="A1456" t="str">
            <v>Graham</v>
          </cell>
          <cell r="B1456" t="str">
            <v>m</v>
          </cell>
        </row>
        <row r="1457">
          <cell r="A1457" t="str">
            <v>Grania</v>
          </cell>
          <cell r="B1457" t="str">
            <v>w</v>
          </cell>
        </row>
        <row r="1458">
          <cell r="A1458" t="str">
            <v>Gratia</v>
          </cell>
          <cell r="B1458" t="str">
            <v>w</v>
          </cell>
        </row>
        <row r="1459">
          <cell r="A1459" t="str">
            <v>Gratian</v>
          </cell>
          <cell r="B1459" t="str">
            <v>m</v>
          </cell>
        </row>
        <row r="1460">
          <cell r="A1460" t="str">
            <v>Gratianus</v>
          </cell>
          <cell r="B1460" t="str">
            <v>m</v>
          </cell>
        </row>
        <row r="1461">
          <cell r="A1461" t="str">
            <v>Grazia</v>
          </cell>
          <cell r="B1461" t="str">
            <v>w</v>
          </cell>
        </row>
        <row r="1462">
          <cell r="A1462" t="str">
            <v>Graziano</v>
          </cell>
          <cell r="B1462" t="str">
            <v>m</v>
          </cell>
        </row>
        <row r="1463">
          <cell r="A1463" t="str">
            <v>Graziella</v>
          </cell>
          <cell r="B1463" t="str">
            <v>w</v>
          </cell>
        </row>
        <row r="1464">
          <cell r="A1464" t="str">
            <v>Gregor</v>
          </cell>
          <cell r="B1464" t="str">
            <v>m</v>
          </cell>
        </row>
        <row r="1465">
          <cell r="A1465" t="str">
            <v>Gregorio</v>
          </cell>
          <cell r="B1465" t="str">
            <v>m</v>
          </cell>
        </row>
        <row r="1466">
          <cell r="A1466" t="str">
            <v>Gregory</v>
          </cell>
          <cell r="B1466" t="str">
            <v>m</v>
          </cell>
        </row>
        <row r="1467">
          <cell r="A1467" t="str">
            <v>Greta</v>
          </cell>
          <cell r="B1467" t="str">
            <v>w</v>
          </cell>
        </row>
        <row r="1468">
          <cell r="A1468" t="str">
            <v>Gretchen</v>
          </cell>
          <cell r="B1468" t="str">
            <v>w</v>
          </cell>
        </row>
        <row r="1469">
          <cell r="A1469" t="str">
            <v>Grete</v>
          </cell>
          <cell r="B1469" t="str">
            <v>w</v>
          </cell>
        </row>
        <row r="1470">
          <cell r="A1470" t="str">
            <v>Gretel</v>
          </cell>
          <cell r="B1470" t="str">
            <v>w</v>
          </cell>
        </row>
        <row r="1471">
          <cell r="A1471" t="str">
            <v>Grethe</v>
          </cell>
          <cell r="B1471" t="str">
            <v>w</v>
          </cell>
        </row>
        <row r="1472">
          <cell r="A1472" t="str">
            <v>Gretti</v>
          </cell>
          <cell r="B1472" t="str">
            <v>w</v>
          </cell>
        </row>
        <row r="1473">
          <cell r="A1473" t="str">
            <v>Grigor</v>
          </cell>
          <cell r="B1473" t="str">
            <v>m</v>
          </cell>
        </row>
        <row r="1474">
          <cell r="A1474" t="str">
            <v>Grimbald</v>
          </cell>
          <cell r="B1474" t="str">
            <v>m</v>
          </cell>
        </row>
        <row r="1475">
          <cell r="A1475" t="str">
            <v>Grischa</v>
          </cell>
          <cell r="B1475" t="str">
            <v>m</v>
          </cell>
        </row>
        <row r="1476">
          <cell r="A1476" t="str">
            <v>Griswold</v>
          </cell>
          <cell r="B1476" t="str">
            <v>m</v>
          </cell>
        </row>
        <row r="1477">
          <cell r="A1477" t="str">
            <v>Grit</v>
          </cell>
          <cell r="B1477" t="str">
            <v>w</v>
          </cell>
        </row>
        <row r="1478">
          <cell r="A1478" t="str">
            <v>Gritt</v>
          </cell>
          <cell r="B1478" t="str">
            <v>w</v>
          </cell>
        </row>
        <row r="1479">
          <cell r="A1479" t="str">
            <v>Grizelda</v>
          </cell>
          <cell r="B1479" t="str">
            <v>w</v>
          </cell>
        </row>
        <row r="1480">
          <cell r="A1480" t="str">
            <v>Gualtiero</v>
          </cell>
          <cell r="B1480" t="str">
            <v>m</v>
          </cell>
        </row>
        <row r="1481">
          <cell r="A1481" t="str">
            <v>Guarniero</v>
          </cell>
          <cell r="B1481" t="str">
            <v>m</v>
          </cell>
        </row>
        <row r="1482">
          <cell r="A1482" t="str">
            <v>Gudrun</v>
          </cell>
          <cell r="B1482" t="str">
            <v>w</v>
          </cell>
        </row>
        <row r="1483">
          <cell r="A1483" t="str">
            <v>Gudrune</v>
          </cell>
          <cell r="B1483" t="str">
            <v>w</v>
          </cell>
        </row>
        <row r="1484">
          <cell r="A1484" t="str">
            <v>Gudula</v>
          </cell>
          <cell r="B1484" t="str">
            <v>w</v>
          </cell>
        </row>
        <row r="1485">
          <cell r="A1485" t="str">
            <v>Guido</v>
          </cell>
          <cell r="B1485" t="str">
            <v>m</v>
          </cell>
        </row>
        <row r="1486">
          <cell r="A1486" t="str">
            <v>Guilla</v>
          </cell>
          <cell r="B1486" t="str">
            <v>w</v>
          </cell>
        </row>
        <row r="1487">
          <cell r="A1487" t="str">
            <v>Gulja</v>
          </cell>
          <cell r="B1487" t="str">
            <v>w</v>
          </cell>
        </row>
        <row r="1488">
          <cell r="A1488" t="str">
            <v>Gunar</v>
          </cell>
          <cell r="B1488" t="str">
            <v>m</v>
          </cell>
        </row>
        <row r="1489">
          <cell r="A1489" t="str">
            <v>Gunda</v>
          </cell>
          <cell r="B1489" t="str">
            <v>w</v>
          </cell>
        </row>
        <row r="1490">
          <cell r="A1490" t="str">
            <v>Gunde</v>
          </cell>
          <cell r="B1490" t="str">
            <v>w</v>
          </cell>
        </row>
        <row r="1491">
          <cell r="A1491" t="str">
            <v>Gundel</v>
          </cell>
          <cell r="B1491" t="str">
            <v>w</v>
          </cell>
        </row>
        <row r="1492">
          <cell r="A1492" t="str">
            <v>Gundela</v>
          </cell>
          <cell r="B1492" t="str">
            <v>w</v>
          </cell>
        </row>
        <row r="1493">
          <cell r="A1493" t="str">
            <v>Gundula</v>
          </cell>
          <cell r="B1493" t="str">
            <v>w</v>
          </cell>
        </row>
        <row r="1494">
          <cell r="A1494" t="str">
            <v>Gunhild</v>
          </cell>
          <cell r="B1494" t="str">
            <v>w</v>
          </cell>
        </row>
        <row r="1495">
          <cell r="A1495" t="str">
            <v>Gunnar</v>
          </cell>
          <cell r="B1495" t="str">
            <v>m</v>
          </cell>
        </row>
        <row r="1496">
          <cell r="A1496" t="str">
            <v>Gunner</v>
          </cell>
          <cell r="B1496" t="str">
            <v>m</v>
          </cell>
        </row>
        <row r="1497">
          <cell r="A1497" t="str">
            <v>Guntar</v>
          </cell>
          <cell r="B1497" t="str">
            <v>m</v>
          </cell>
        </row>
        <row r="1498">
          <cell r="A1498" t="str">
            <v>Gunter</v>
          </cell>
          <cell r="B1498" t="str">
            <v>m</v>
          </cell>
        </row>
        <row r="1499">
          <cell r="A1499" t="str">
            <v>Günter</v>
          </cell>
          <cell r="B1499" t="str">
            <v>m</v>
          </cell>
        </row>
        <row r="1500">
          <cell r="A1500" t="str">
            <v>Gunthar</v>
          </cell>
          <cell r="B1500" t="str">
            <v>m</v>
          </cell>
        </row>
        <row r="1501">
          <cell r="A1501" t="str">
            <v>Gunther</v>
          </cell>
          <cell r="B1501" t="str">
            <v>m</v>
          </cell>
        </row>
        <row r="1502">
          <cell r="A1502" t="str">
            <v>Günther</v>
          </cell>
          <cell r="B1502" t="str">
            <v>m</v>
          </cell>
        </row>
        <row r="1503">
          <cell r="A1503" t="str">
            <v>Guntram</v>
          </cell>
          <cell r="B1503" t="str">
            <v>m</v>
          </cell>
        </row>
        <row r="1504">
          <cell r="A1504" t="str">
            <v>Gustaf</v>
          </cell>
          <cell r="B1504" t="str">
            <v>m</v>
          </cell>
        </row>
        <row r="1505">
          <cell r="A1505" t="str">
            <v>Gustav</v>
          </cell>
          <cell r="B1505" t="str">
            <v>m</v>
          </cell>
        </row>
        <row r="1506">
          <cell r="A1506" t="str">
            <v>Gustava</v>
          </cell>
          <cell r="B1506" t="str">
            <v>w</v>
          </cell>
        </row>
        <row r="1507">
          <cell r="A1507" t="str">
            <v>Gustave</v>
          </cell>
          <cell r="B1507" t="str">
            <v>w</v>
          </cell>
        </row>
        <row r="1508">
          <cell r="A1508" t="str">
            <v>Gustl</v>
          </cell>
          <cell r="B1508" t="str">
            <v>m</v>
          </cell>
        </row>
        <row r="1509">
          <cell r="A1509" t="str">
            <v>Guy</v>
          </cell>
          <cell r="B1509" t="str">
            <v>m</v>
          </cell>
        </row>
        <row r="1510">
          <cell r="A1510" t="str">
            <v>Gwend</v>
          </cell>
          <cell r="B1510" t="str">
            <v>w</v>
          </cell>
        </row>
        <row r="1511">
          <cell r="A1511" t="str">
            <v>Gwenda</v>
          </cell>
          <cell r="B1511" t="str">
            <v>w</v>
          </cell>
        </row>
        <row r="1512">
          <cell r="A1512" t="str">
            <v>Gwendolin</v>
          </cell>
          <cell r="B1512" t="str">
            <v>w</v>
          </cell>
        </row>
        <row r="1513">
          <cell r="A1513" t="str">
            <v>Gwendolina</v>
          </cell>
          <cell r="B1513" t="str">
            <v>w</v>
          </cell>
        </row>
        <row r="1514">
          <cell r="A1514" t="str">
            <v>Gwendoline</v>
          </cell>
          <cell r="B1514" t="str">
            <v>w</v>
          </cell>
        </row>
        <row r="1515">
          <cell r="A1515" t="str">
            <v>Hacket</v>
          </cell>
          <cell r="B1515" t="str">
            <v>m</v>
          </cell>
        </row>
        <row r="1516">
          <cell r="A1516" t="str">
            <v>Hackett</v>
          </cell>
          <cell r="B1516" t="str">
            <v>m</v>
          </cell>
        </row>
        <row r="1517">
          <cell r="A1517" t="str">
            <v>Hadrian</v>
          </cell>
          <cell r="B1517" t="str">
            <v>m</v>
          </cell>
        </row>
        <row r="1518">
          <cell r="A1518" t="str">
            <v>Hadrianus</v>
          </cell>
          <cell r="B1518" t="str">
            <v>m</v>
          </cell>
        </row>
        <row r="1519">
          <cell r="A1519" t="str">
            <v>Hae</v>
          </cell>
          <cell r="B1519" t="str">
            <v>m</v>
          </cell>
        </row>
        <row r="1520">
          <cell r="A1520" t="str">
            <v>Hagen</v>
          </cell>
          <cell r="B1520" t="str">
            <v>m</v>
          </cell>
        </row>
        <row r="1521">
          <cell r="A1521" t="str">
            <v>Haiko</v>
          </cell>
          <cell r="B1521" t="str">
            <v>m</v>
          </cell>
        </row>
        <row r="1522">
          <cell r="A1522" t="str">
            <v>Haimo</v>
          </cell>
          <cell r="B1522" t="str">
            <v>m</v>
          </cell>
        </row>
        <row r="1523">
          <cell r="A1523" t="str">
            <v>Haines</v>
          </cell>
          <cell r="B1523" t="str">
            <v>m</v>
          </cell>
        </row>
        <row r="1524">
          <cell r="A1524" t="str">
            <v>Haio</v>
          </cell>
          <cell r="B1524" t="str">
            <v>m</v>
          </cell>
        </row>
        <row r="1525">
          <cell r="A1525" t="str">
            <v>Hajo</v>
          </cell>
          <cell r="B1525" t="str">
            <v>m</v>
          </cell>
        </row>
        <row r="1526">
          <cell r="A1526" t="str">
            <v>Hakan</v>
          </cell>
          <cell r="B1526" t="str">
            <v>m</v>
          </cell>
        </row>
        <row r="1527">
          <cell r="A1527" t="str">
            <v>Hakon</v>
          </cell>
          <cell r="B1527" t="str">
            <v>m</v>
          </cell>
        </row>
        <row r="1528">
          <cell r="A1528" t="str">
            <v>Halfreida</v>
          </cell>
          <cell r="B1528" t="str">
            <v>w</v>
          </cell>
        </row>
        <row r="1529">
          <cell r="A1529" t="str">
            <v>Halfrida</v>
          </cell>
          <cell r="B1529" t="str">
            <v>w</v>
          </cell>
        </row>
        <row r="1530">
          <cell r="A1530" t="str">
            <v>Halfrieda</v>
          </cell>
          <cell r="B1530" t="str">
            <v>w</v>
          </cell>
        </row>
        <row r="1531">
          <cell r="A1531" t="str">
            <v>Hallie</v>
          </cell>
          <cell r="B1531" t="str">
            <v>w</v>
          </cell>
        </row>
        <row r="1532">
          <cell r="A1532" t="str">
            <v>Hamelin</v>
          </cell>
          <cell r="B1532" t="str">
            <v>m</v>
          </cell>
        </row>
        <row r="1533">
          <cell r="A1533" t="str">
            <v>Hamelyn</v>
          </cell>
          <cell r="B1533" t="str">
            <v>m</v>
          </cell>
        </row>
        <row r="1534">
          <cell r="A1534" t="str">
            <v>Hamlet</v>
          </cell>
          <cell r="B1534" t="str">
            <v>m</v>
          </cell>
        </row>
        <row r="1535">
          <cell r="A1535" t="str">
            <v>Hamlin</v>
          </cell>
          <cell r="B1535" t="str">
            <v>m</v>
          </cell>
        </row>
        <row r="1536">
          <cell r="A1536" t="str">
            <v>Hamlyn</v>
          </cell>
          <cell r="B1536" t="str">
            <v>m</v>
          </cell>
        </row>
        <row r="1537">
          <cell r="A1537" t="str">
            <v>Hanibal</v>
          </cell>
          <cell r="B1537" t="str">
            <v>m</v>
          </cell>
        </row>
        <row r="1538">
          <cell r="A1538" t="str">
            <v>Hanna</v>
          </cell>
          <cell r="B1538" t="str">
            <v>w</v>
          </cell>
        </row>
        <row r="1539">
          <cell r="A1539" t="str">
            <v>Hannah</v>
          </cell>
          <cell r="B1539" t="str">
            <v>w</v>
          </cell>
        </row>
        <row r="1540">
          <cell r="A1540" t="str">
            <v>Hannchen</v>
          </cell>
          <cell r="B1540" t="str">
            <v>w</v>
          </cell>
        </row>
        <row r="1541">
          <cell r="A1541" t="str">
            <v>Hanne</v>
          </cell>
          <cell r="B1541" t="str">
            <v>w</v>
          </cell>
        </row>
        <row r="1542">
          <cell r="A1542" t="str">
            <v>Hannecke</v>
          </cell>
          <cell r="B1542" t="str">
            <v>m</v>
          </cell>
        </row>
        <row r="1543">
          <cell r="A1543" t="str">
            <v>Hannele</v>
          </cell>
          <cell r="B1543" t="str">
            <v>w</v>
          </cell>
        </row>
        <row r="1544">
          <cell r="A1544" t="str">
            <v>Hannelore</v>
          </cell>
          <cell r="B1544" t="str">
            <v>w</v>
          </cell>
        </row>
        <row r="1545">
          <cell r="A1545" t="str">
            <v>Hannes</v>
          </cell>
          <cell r="B1545" t="str">
            <v>m</v>
          </cell>
        </row>
        <row r="1546">
          <cell r="A1546" t="str">
            <v>Hanni</v>
          </cell>
          <cell r="B1546" t="str">
            <v>w</v>
          </cell>
        </row>
        <row r="1547">
          <cell r="A1547" t="str">
            <v>Hanniel</v>
          </cell>
          <cell r="B1547" t="str">
            <v>m</v>
          </cell>
        </row>
        <row r="1548">
          <cell r="A1548" t="str">
            <v>Hanno</v>
          </cell>
          <cell r="B1548" t="str">
            <v>m</v>
          </cell>
        </row>
        <row r="1549">
          <cell r="A1549" t="str">
            <v>Hannsgeorg</v>
          </cell>
          <cell r="B1549" t="str">
            <v>m</v>
          </cell>
        </row>
        <row r="1550">
          <cell r="A1550" t="str">
            <v>Hans</v>
          </cell>
          <cell r="B1550" t="str">
            <v>m</v>
          </cell>
        </row>
        <row r="1551">
          <cell r="A1551" t="str">
            <v>Hans Franz</v>
          </cell>
          <cell r="B1551" t="str">
            <v>m</v>
          </cell>
        </row>
        <row r="1552">
          <cell r="A1552" t="str">
            <v>Hans Peter</v>
          </cell>
          <cell r="B1552" t="str">
            <v>m</v>
          </cell>
        </row>
        <row r="1553">
          <cell r="A1553" t="str">
            <v>Hans-Artur</v>
          </cell>
          <cell r="B1553" t="str">
            <v>m</v>
          </cell>
        </row>
        <row r="1554">
          <cell r="A1554" t="str">
            <v>Hans-Bruno</v>
          </cell>
          <cell r="B1554" t="str">
            <v>m</v>
          </cell>
        </row>
        <row r="1555">
          <cell r="A1555" t="str">
            <v>Hans-carl</v>
          </cell>
          <cell r="B1555" t="str">
            <v>m</v>
          </cell>
        </row>
        <row r="1556">
          <cell r="A1556" t="str">
            <v>Hans-Christof</v>
          </cell>
          <cell r="B1556" t="str">
            <v>m</v>
          </cell>
        </row>
        <row r="1557">
          <cell r="A1557" t="str">
            <v>Hans-Georg</v>
          </cell>
          <cell r="B1557" t="str">
            <v>m</v>
          </cell>
        </row>
        <row r="1558">
          <cell r="A1558" t="str">
            <v>Hans-Hartwig</v>
          </cell>
          <cell r="B1558" t="str">
            <v>m</v>
          </cell>
        </row>
        <row r="1559">
          <cell r="A1559" t="str">
            <v>Hansi</v>
          </cell>
          <cell r="B1559" t="str">
            <v>m</v>
          </cell>
        </row>
        <row r="1560">
          <cell r="A1560" t="str">
            <v>Hans-Jacob</v>
          </cell>
          <cell r="B1560" t="str">
            <v>m</v>
          </cell>
        </row>
        <row r="1561">
          <cell r="A1561" t="str">
            <v>Hans-Jakob</v>
          </cell>
          <cell r="B1561" t="str">
            <v>m</v>
          </cell>
        </row>
        <row r="1562">
          <cell r="A1562" t="str">
            <v>Hans-Joachim</v>
          </cell>
          <cell r="B1562" t="str">
            <v>m</v>
          </cell>
        </row>
        <row r="1563">
          <cell r="A1563" t="str">
            <v>Hans-Jorg</v>
          </cell>
          <cell r="B1563" t="str">
            <v>m</v>
          </cell>
        </row>
        <row r="1564">
          <cell r="A1564" t="str">
            <v>Hansjörg</v>
          </cell>
          <cell r="B1564" t="str">
            <v>m</v>
          </cell>
        </row>
        <row r="1565">
          <cell r="A1565" t="str">
            <v>Hans-Josef</v>
          </cell>
          <cell r="B1565" t="str">
            <v>m</v>
          </cell>
        </row>
        <row r="1566">
          <cell r="A1566" t="str">
            <v>Hans-Jürgen</v>
          </cell>
          <cell r="B1566" t="str">
            <v>m</v>
          </cell>
        </row>
        <row r="1567">
          <cell r="A1567" t="str">
            <v>Hanspeter</v>
          </cell>
          <cell r="B1567" t="str">
            <v>m</v>
          </cell>
        </row>
        <row r="1568">
          <cell r="A1568" t="str">
            <v>Hans-Peter</v>
          </cell>
          <cell r="B1568" t="str">
            <v>m</v>
          </cell>
        </row>
        <row r="1569">
          <cell r="A1569" t="str">
            <v>Harald</v>
          </cell>
          <cell r="B1569" t="str">
            <v>m</v>
          </cell>
        </row>
        <row r="1570">
          <cell r="A1570" t="str">
            <v>Harbert</v>
          </cell>
          <cell r="B1570" t="str">
            <v>m</v>
          </cell>
        </row>
        <row r="1571">
          <cell r="A1571" t="str">
            <v>Harbin</v>
          </cell>
          <cell r="B1571" t="str">
            <v>m</v>
          </cell>
        </row>
        <row r="1572">
          <cell r="A1572" t="str">
            <v>Hardey</v>
          </cell>
          <cell r="B1572" t="str">
            <v>m</v>
          </cell>
        </row>
        <row r="1573">
          <cell r="A1573" t="str">
            <v>Hardi</v>
          </cell>
          <cell r="B1573" t="str">
            <v>m</v>
          </cell>
        </row>
        <row r="1574">
          <cell r="A1574" t="str">
            <v>Hardie</v>
          </cell>
          <cell r="B1574" t="str">
            <v>m</v>
          </cell>
        </row>
        <row r="1575">
          <cell r="A1575" t="str">
            <v>Hardmod</v>
          </cell>
          <cell r="B1575" t="str">
            <v>m</v>
          </cell>
        </row>
        <row r="1576">
          <cell r="A1576" t="str">
            <v>Hardy</v>
          </cell>
          <cell r="B1576" t="str">
            <v>m</v>
          </cell>
        </row>
        <row r="1577">
          <cell r="A1577" t="str">
            <v>Harlan</v>
          </cell>
          <cell r="B1577" t="str">
            <v>m</v>
          </cell>
        </row>
        <row r="1578">
          <cell r="A1578" t="str">
            <v>Harland</v>
          </cell>
          <cell r="B1578" t="str">
            <v>m</v>
          </cell>
        </row>
        <row r="1579">
          <cell r="A1579" t="str">
            <v>Harlon</v>
          </cell>
          <cell r="B1579" t="str">
            <v>m</v>
          </cell>
        </row>
        <row r="1580">
          <cell r="A1580" t="str">
            <v>Harm</v>
          </cell>
          <cell r="B1580" t="str">
            <v>m</v>
          </cell>
        </row>
        <row r="1581">
          <cell r="A1581" t="str">
            <v>Harman</v>
          </cell>
          <cell r="B1581" t="str">
            <v>m</v>
          </cell>
        </row>
        <row r="1582">
          <cell r="A1582" t="str">
            <v>Harmon</v>
          </cell>
          <cell r="B1582" t="str">
            <v>m</v>
          </cell>
        </row>
        <row r="1583">
          <cell r="A1583" t="str">
            <v>Harold</v>
          </cell>
          <cell r="B1583" t="str">
            <v>m</v>
          </cell>
        </row>
        <row r="1584">
          <cell r="A1584" t="str">
            <v>Harper</v>
          </cell>
          <cell r="B1584" t="str">
            <v>m</v>
          </cell>
        </row>
        <row r="1585">
          <cell r="A1585" t="str">
            <v>Harri</v>
          </cell>
          <cell r="B1585" t="str">
            <v>m</v>
          </cell>
        </row>
        <row r="1586">
          <cell r="A1586" t="str">
            <v>Harriett</v>
          </cell>
          <cell r="B1586" t="str">
            <v>w</v>
          </cell>
        </row>
        <row r="1587">
          <cell r="A1587" t="str">
            <v>Harry</v>
          </cell>
          <cell r="B1587" t="str">
            <v>m</v>
          </cell>
        </row>
        <row r="1588">
          <cell r="A1588" t="str">
            <v>Hartmod</v>
          </cell>
          <cell r="B1588" t="str">
            <v>m</v>
          </cell>
        </row>
        <row r="1589">
          <cell r="A1589" t="str">
            <v>Hartmut</v>
          </cell>
          <cell r="B1589" t="str">
            <v>m</v>
          </cell>
        </row>
        <row r="1590">
          <cell r="A1590" t="str">
            <v>Hasan</v>
          </cell>
          <cell r="B1590" t="str">
            <v>m</v>
          </cell>
        </row>
        <row r="1591">
          <cell r="A1591" t="str">
            <v>Hasko</v>
          </cell>
          <cell r="B1591" t="str">
            <v>m</v>
          </cell>
        </row>
        <row r="1592">
          <cell r="A1592" t="str">
            <v>Hattie</v>
          </cell>
          <cell r="B1592" t="str">
            <v>w</v>
          </cell>
        </row>
        <row r="1593">
          <cell r="A1593" t="str">
            <v>Hatty</v>
          </cell>
          <cell r="B1593" t="str">
            <v>w</v>
          </cell>
        </row>
        <row r="1594">
          <cell r="A1594" t="str">
            <v>Hauke</v>
          </cell>
          <cell r="B1594" t="str">
            <v>m</v>
          </cell>
        </row>
        <row r="1595">
          <cell r="A1595" t="str">
            <v>Hauke</v>
          </cell>
          <cell r="B1595" t="str">
            <v>w</v>
          </cell>
        </row>
        <row r="1596">
          <cell r="A1596" t="str">
            <v>Havel</v>
          </cell>
          <cell r="B1596" t="str">
            <v>m</v>
          </cell>
        </row>
        <row r="1597">
          <cell r="A1597" t="str">
            <v>Hawel</v>
          </cell>
          <cell r="B1597" t="str">
            <v>m</v>
          </cell>
        </row>
        <row r="1598">
          <cell r="A1598" t="str">
            <v>Hayden</v>
          </cell>
          <cell r="B1598" t="str">
            <v>m</v>
          </cell>
        </row>
        <row r="1599">
          <cell r="A1599" t="str">
            <v>Haydon</v>
          </cell>
          <cell r="B1599" t="str">
            <v>m</v>
          </cell>
        </row>
        <row r="1600">
          <cell r="A1600" t="str">
            <v>Hayo</v>
          </cell>
          <cell r="B1600" t="str">
            <v>m</v>
          </cell>
        </row>
        <row r="1601">
          <cell r="A1601" t="str">
            <v>Hector</v>
          </cell>
          <cell r="B1601" t="str">
            <v>m</v>
          </cell>
        </row>
        <row r="1602">
          <cell r="A1602" t="str">
            <v>Hedda</v>
          </cell>
          <cell r="B1602" t="str">
            <v>w</v>
          </cell>
        </row>
        <row r="1603">
          <cell r="A1603" t="str">
            <v>Heddi</v>
          </cell>
          <cell r="B1603" t="str">
            <v>w</v>
          </cell>
        </row>
        <row r="1604">
          <cell r="A1604" t="str">
            <v>Heddy</v>
          </cell>
          <cell r="B1604" t="str">
            <v>w</v>
          </cell>
        </row>
        <row r="1605">
          <cell r="A1605" t="str">
            <v>Hedi</v>
          </cell>
          <cell r="B1605" t="str">
            <v>w</v>
          </cell>
        </row>
        <row r="1606">
          <cell r="A1606" t="str">
            <v>Hedwig</v>
          </cell>
          <cell r="B1606" t="str">
            <v>w</v>
          </cell>
        </row>
        <row r="1607">
          <cell r="A1607" t="str">
            <v>Hedy</v>
          </cell>
          <cell r="B1607" t="str">
            <v>w</v>
          </cell>
        </row>
        <row r="1608">
          <cell r="A1608" t="str">
            <v>Heide</v>
          </cell>
          <cell r="B1608" t="str">
            <v>w</v>
          </cell>
        </row>
        <row r="1609">
          <cell r="A1609" t="str">
            <v>Heidemarie</v>
          </cell>
          <cell r="B1609" t="str">
            <v>w</v>
          </cell>
        </row>
        <row r="1610">
          <cell r="A1610" t="str">
            <v>Heidi</v>
          </cell>
          <cell r="B1610" t="str">
            <v>w</v>
          </cell>
        </row>
        <row r="1611">
          <cell r="A1611" t="str">
            <v>Heidrun</v>
          </cell>
          <cell r="B1611" t="str">
            <v>w</v>
          </cell>
        </row>
        <row r="1612">
          <cell r="A1612" t="str">
            <v>Heidy</v>
          </cell>
          <cell r="B1612" t="str">
            <v>w</v>
          </cell>
        </row>
        <row r="1613">
          <cell r="A1613" t="str">
            <v>Heike</v>
          </cell>
          <cell r="B1613" t="str">
            <v>w</v>
          </cell>
        </row>
        <row r="1614">
          <cell r="A1614" t="str">
            <v>Heiko</v>
          </cell>
          <cell r="B1614" t="str">
            <v>m</v>
          </cell>
        </row>
        <row r="1615">
          <cell r="A1615" t="str">
            <v>Heimo</v>
          </cell>
          <cell r="B1615" t="str">
            <v>m</v>
          </cell>
        </row>
        <row r="1616">
          <cell r="A1616" t="str">
            <v>Hein</v>
          </cell>
          <cell r="B1616" t="str">
            <v>m</v>
          </cell>
        </row>
        <row r="1617">
          <cell r="A1617" t="str">
            <v>Heiner</v>
          </cell>
          <cell r="B1617" t="str">
            <v>m</v>
          </cell>
        </row>
        <row r="1618">
          <cell r="A1618" t="str">
            <v>Heini</v>
          </cell>
          <cell r="B1618" t="str">
            <v>m</v>
          </cell>
        </row>
        <row r="1619">
          <cell r="A1619" t="str">
            <v>Heino</v>
          </cell>
          <cell r="B1619" t="str">
            <v>m</v>
          </cell>
        </row>
        <row r="1620">
          <cell r="A1620" t="str">
            <v>Heinrich</v>
          </cell>
          <cell r="B1620" t="str">
            <v>m</v>
          </cell>
        </row>
        <row r="1621">
          <cell r="A1621" t="str">
            <v>Heinrike</v>
          </cell>
          <cell r="B1621" t="str">
            <v>w</v>
          </cell>
        </row>
        <row r="1622">
          <cell r="A1622" t="str">
            <v>Heinz</v>
          </cell>
          <cell r="B1622" t="str">
            <v>m</v>
          </cell>
        </row>
        <row r="1623">
          <cell r="A1623" t="str">
            <v>Heinzbert</v>
          </cell>
          <cell r="B1623" t="str">
            <v>m</v>
          </cell>
        </row>
        <row r="1624">
          <cell r="A1624" t="str">
            <v>Heinz-Hermann</v>
          </cell>
          <cell r="B1624" t="str">
            <v>m</v>
          </cell>
        </row>
        <row r="1625">
          <cell r="A1625" t="str">
            <v>Heinz-Jörg</v>
          </cell>
          <cell r="B1625" t="str">
            <v>m</v>
          </cell>
        </row>
        <row r="1626">
          <cell r="A1626" t="str">
            <v>Heinz-Peter</v>
          </cell>
          <cell r="B1626" t="str">
            <v>m</v>
          </cell>
        </row>
        <row r="1627">
          <cell r="A1627" t="str">
            <v>Heinz-Werner</v>
          </cell>
          <cell r="B1627" t="str">
            <v>m</v>
          </cell>
        </row>
        <row r="1628">
          <cell r="A1628" t="str">
            <v>Heio</v>
          </cell>
          <cell r="B1628" t="str">
            <v>m</v>
          </cell>
        </row>
        <row r="1629">
          <cell r="A1629" t="str">
            <v>Hektor</v>
          </cell>
          <cell r="B1629" t="str">
            <v>m</v>
          </cell>
        </row>
        <row r="1630">
          <cell r="A1630" t="str">
            <v>Helen</v>
          </cell>
          <cell r="B1630" t="str">
            <v>w</v>
          </cell>
        </row>
        <row r="1631">
          <cell r="A1631" t="str">
            <v>Helena</v>
          </cell>
          <cell r="B1631" t="str">
            <v>w</v>
          </cell>
        </row>
        <row r="1632">
          <cell r="A1632" t="str">
            <v>Helene</v>
          </cell>
          <cell r="B1632" t="str">
            <v>w</v>
          </cell>
        </row>
        <row r="1633">
          <cell r="A1633" t="str">
            <v>Helga</v>
          </cell>
          <cell r="B1633" t="str">
            <v>w</v>
          </cell>
        </row>
        <row r="1634">
          <cell r="A1634" t="str">
            <v>Helge</v>
          </cell>
          <cell r="B1634" t="str">
            <v>m</v>
          </cell>
        </row>
        <row r="1635">
          <cell r="A1635" t="str">
            <v>Helgo</v>
          </cell>
          <cell r="B1635" t="str">
            <v>m</v>
          </cell>
        </row>
        <row r="1636">
          <cell r="A1636" t="str">
            <v>Helias</v>
          </cell>
          <cell r="B1636" t="str">
            <v>m</v>
          </cell>
        </row>
        <row r="1637">
          <cell r="A1637" t="str">
            <v>Helke</v>
          </cell>
          <cell r="B1637" t="str">
            <v>m</v>
          </cell>
        </row>
        <row r="1638">
          <cell r="A1638" t="str">
            <v>Hella</v>
          </cell>
          <cell r="B1638" t="str">
            <v>w</v>
          </cell>
        </row>
        <row r="1639">
          <cell r="A1639" t="str">
            <v>Hellmut</v>
          </cell>
          <cell r="B1639" t="str">
            <v>m</v>
          </cell>
        </row>
        <row r="1640">
          <cell r="A1640" t="str">
            <v>Hellmuth</v>
          </cell>
          <cell r="B1640" t="str">
            <v>m</v>
          </cell>
        </row>
        <row r="1641">
          <cell r="A1641" t="str">
            <v>Helma</v>
          </cell>
          <cell r="B1641" t="str">
            <v>w</v>
          </cell>
        </row>
        <row r="1642">
          <cell r="A1642" t="str">
            <v>Helmi</v>
          </cell>
          <cell r="B1642" t="str">
            <v>m</v>
          </cell>
        </row>
        <row r="1643">
          <cell r="A1643" t="str">
            <v>Helmi</v>
          </cell>
          <cell r="B1643" t="str">
            <v>w</v>
          </cell>
        </row>
        <row r="1644">
          <cell r="A1644" t="str">
            <v>Helmo</v>
          </cell>
          <cell r="B1644" t="str">
            <v>m</v>
          </cell>
        </row>
        <row r="1645">
          <cell r="A1645" t="str">
            <v>Helmut</v>
          </cell>
          <cell r="B1645" t="str">
            <v>m</v>
          </cell>
        </row>
        <row r="1646">
          <cell r="A1646" t="str">
            <v>Helmuth</v>
          </cell>
          <cell r="B1646" t="str">
            <v>m</v>
          </cell>
        </row>
        <row r="1647">
          <cell r="A1647" t="str">
            <v>Heloise</v>
          </cell>
          <cell r="B1647" t="str">
            <v>w</v>
          </cell>
        </row>
        <row r="1648">
          <cell r="A1648" t="str">
            <v>Hemma</v>
          </cell>
          <cell r="B1648" t="str">
            <v>w</v>
          </cell>
        </row>
        <row r="1649">
          <cell r="A1649" t="str">
            <v>Hendrik</v>
          </cell>
          <cell r="B1649" t="str">
            <v>m</v>
          </cell>
        </row>
        <row r="1650">
          <cell r="A1650" t="str">
            <v>Hendrikje</v>
          </cell>
          <cell r="B1650" t="str">
            <v>w</v>
          </cell>
        </row>
        <row r="1651">
          <cell r="A1651" t="str">
            <v>Henni</v>
          </cell>
          <cell r="B1651" t="str">
            <v>w</v>
          </cell>
        </row>
        <row r="1652">
          <cell r="A1652" t="str">
            <v>Henning</v>
          </cell>
          <cell r="B1652" t="str">
            <v>m</v>
          </cell>
        </row>
        <row r="1653">
          <cell r="A1653" t="str">
            <v>Henno</v>
          </cell>
          <cell r="B1653" t="str">
            <v>m</v>
          </cell>
        </row>
        <row r="1654">
          <cell r="A1654" t="str">
            <v>Henny</v>
          </cell>
          <cell r="B1654" t="str">
            <v>w</v>
          </cell>
        </row>
        <row r="1655">
          <cell r="A1655" t="str">
            <v>Henri</v>
          </cell>
          <cell r="B1655" t="str">
            <v>m</v>
          </cell>
        </row>
        <row r="1656">
          <cell r="A1656" t="str">
            <v>Henrick</v>
          </cell>
          <cell r="B1656" t="str">
            <v>m</v>
          </cell>
        </row>
        <row r="1657">
          <cell r="A1657" t="str">
            <v>Henricus</v>
          </cell>
          <cell r="B1657" t="str">
            <v>m</v>
          </cell>
        </row>
        <row r="1658">
          <cell r="A1658" t="str">
            <v>Henriette</v>
          </cell>
          <cell r="B1658" t="str">
            <v>w</v>
          </cell>
        </row>
        <row r="1659">
          <cell r="A1659" t="str">
            <v>Henrik</v>
          </cell>
          <cell r="B1659" t="str">
            <v>m</v>
          </cell>
        </row>
        <row r="1660">
          <cell r="A1660" t="str">
            <v>Henrika</v>
          </cell>
          <cell r="B1660" t="str">
            <v>w</v>
          </cell>
        </row>
        <row r="1661">
          <cell r="A1661" t="str">
            <v>Henrike</v>
          </cell>
          <cell r="B1661" t="str">
            <v>w</v>
          </cell>
        </row>
        <row r="1662">
          <cell r="A1662" t="str">
            <v>Henry</v>
          </cell>
          <cell r="B1662" t="str">
            <v>m</v>
          </cell>
        </row>
        <row r="1663">
          <cell r="A1663" t="str">
            <v>Hera</v>
          </cell>
          <cell r="B1663" t="str">
            <v>w</v>
          </cell>
        </row>
        <row r="1664">
          <cell r="A1664" t="str">
            <v>Herbert</v>
          </cell>
          <cell r="B1664" t="str">
            <v>m</v>
          </cell>
        </row>
        <row r="1665">
          <cell r="A1665" t="str">
            <v>Heribert</v>
          </cell>
          <cell r="B1665" t="str">
            <v>m</v>
          </cell>
        </row>
        <row r="1666">
          <cell r="A1666" t="str">
            <v>Herma</v>
          </cell>
          <cell r="B1666" t="str">
            <v>w</v>
          </cell>
        </row>
        <row r="1667">
          <cell r="A1667" t="str">
            <v>Herman</v>
          </cell>
          <cell r="B1667" t="str">
            <v>m</v>
          </cell>
        </row>
        <row r="1668">
          <cell r="A1668" t="str">
            <v>Hermann</v>
          </cell>
          <cell r="B1668" t="str">
            <v>m</v>
          </cell>
        </row>
        <row r="1669">
          <cell r="A1669" t="str">
            <v>Hermia</v>
          </cell>
          <cell r="B1669" t="str">
            <v>w</v>
          </cell>
        </row>
        <row r="1670">
          <cell r="A1670" t="str">
            <v>Hermine</v>
          </cell>
          <cell r="B1670" t="str">
            <v>w</v>
          </cell>
        </row>
        <row r="1671">
          <cell r="A1671" t="str">
            <v>Hermione</v>
          </cell>
          <cell r="B1671" t="str">
            <v>w</v>
          </cell>
        </row>
        <row r="1672">
          <cell r="A1672" t="str">
            <v>Hernando</v>
          </cell>
          <cell r="B1672" t="str">
            <v>m</v>
          </cell>
        </row>
        <row r="1673">
          <cell r="A1673" t="str">
            <v>Herrick</v>
          </cell>
          <cell r="B1673" t="str">
            <v>m</v>
          </cell>
        </row>
        <row r="1674">
          <cell r="A1674" t="str">
            <v>Herrmann</v>
          </cell>
          <cell r="B1674" t="str">
            <v>m</v>
          </cell>
        </row>
        <row r="1675">
          <cell r="A1675" t="str">
            <v>Herta</v>
          </cell>
          <cell r="B1675" t="str">
            <v>w</v>
          </cell>
        </row>
        <row r="1676">
          <cell r="A1676" t="str">
            <v>Hertha</v>
          </cell>
          <cell r="B1676" t="str">
            <v>w</v>
          </cell>
        </row>
        <row r="1677">
          <cell r="A1677" t="str">
            <v>Herwin</v>
          </cell>
          <cell r="B1677" t="str">
            <v>m</v>
          </cell>
        </row>
        <row r="1678">
          <cell r="A1678" t="str">
            <v>Hesekiel</v>
          </cell>
          <cell r="B1678" t="str">
            <v>m</v>
          </cell>
        </row>
        <row r="1679">
          <cell r="A1679" t="str">
            <v>Hester</v>
          </cell>
          <cell r="B1679" t="str">
            <v>w</v>
          </cell>
        </row>
        <row r="1680">
          <cell r="A1680" t="str">
            <v>Hetdt</v>
          </cell>
          <cell r="B1680" t="str">
            <v>w</v>
          </cell>
        </row>
        <row r="1681">
          <cell r="A1681" t="str">
            <v>Hewett</v>
          </cell>
          <cell r="B1681" t="str">
            <v>m</v>
          </cell>
        </row>
        <row r="1682">
          <cell r="A1682" t="str">
            <v>Heymo</v>
          </cell>
          <cell r="B1682" t="str">
            <v>m</v>
          </cell>
        </row>
        <row r="1683">
          <cell r="A1683" t="str">
            <v>Hias</v>
          </cell>
          <cell r="B1683" t="str">
            <v>m</v>
          </cell>
        </row>
        <row r="1684">
          <cell r="A1684" t="str">
            <v>Hidie</v>
          </cell>
          <cell r="B1684" t="str">
            <v>w</v>
          </cell>
        </row>
        <row r="1685">
          <cell r="A1685" t="str">
            <v>Hieronymus</v>
          </cell>
          <cell r="B1685" t="str">
            <v>m</v>
          </cell>
        </row>
        <row r="1686">
          <cell r="A1686" t="str">
            <v>Hild</v>
          </cell>
          <cell r="B1686" t="str">
            <v>w</v>
          </cell>
        </row>
        <row r="1687">
          <cell r="A1687" t="str">
            <v>Hilda</v>
          </cell>
          <cell r="B1687" t="str">
            <v>w</v>
          </cell>
        </row>
        <row r="1688">
          <cell r="A1688" t="str">
            <v>Hilde</v>
          </cell>
          <cell r="B1688" t="str">
            <v>w</v>
          </cell>
        </row>
        <row r="1689">
          <cell r="A1689" t="str">
            <v>Hildebrand</v>
          </cell>
          <cell r="B1689" t="str">
            <v>m</v>
          </cell>
        </row>
        <row r="1690">
          <cell r="A1690" t="str">
            <v>Hildegard</v>
          </cell>
          <cell r="B1690" t="str">
            <v>w</v>
          </cell>
        </row>
        <row r="1691">
          <cell r="A1691" t="str">
            <v>Hildegarde</v>
          </cell>
          <cell r="B1691" t="str">
            <v>w</v>
          </cell>
        </row>
        <row r="1692">
          <cell r="A1692" t="str">
            <v>Hildemar</v>
          </cell>
          <cell r="B1692" t="str">
            <v>w</v>
          </cell>
        </row>
        <row r="1693">
          <cell r="A1693" t="str">
            <v>Hildie</v>
          </cell>
          <cell r="B1693" t="str">
            <v>w</v>
          </cell>
        </row>
        <row r="1694">
          <cell r="A1694" t="str">
            <v>Hildreth</v>
          </cell>
          <cell r="B1694" t="str">
            <v>w</v>
          </cell>
        </row>
        <row r="1695">
          <cell r="A1695" t="str">
            <v>Hildretha</v>
          </cell>
          <cell r="B1695" t="str">
            <v>w</v>
          </cell>
        </row>
        <row r="1696">
          <cell r="A1696" t="str">
            <v>Hildrun</v>
          </cell>
          <cell r="B1696" t="str">
            <v>w</v>
          </cell>
        </row>
        <row r="1697">
          <cell r="A1697" t="str">
            <v>Hilke</v>
          </cell>
          <cell r="B1697" t="str">
            <v>w</v>
          </cell>
        </row>
        <row r="1698">
          <cell r="A1698" t="str">
            <v>Hilliard</v>
          </cell>
          <cell r="B1698" t="str">
            <v>m</v>
          </cell>
        </row>
        <row r="1699">
          <cell r="A1699" t="str">
            <v>Hillier</v>
          </cell>
          <cell r="B1699" t="str">
            <v>m</v>
          </cell>
        </row>
        <row r="1700">
          <cell r="A1700" t="str">
            <v>Hillyer</v>
          </cell>
          <cell r="B1700" t="str">
            <v>m</v>
          </cell>
        </row>
        <row r="1701">
          <cell r="A1701" t="str">
            <v>Hilma</v>
          </cell>
          <cell r="B1701" t="str">
            <v>w</v>
          </cell>
        </row>
        <row r="1702">
          <cell r="A1702" t="str">
            <v>Hilmar</v>
          </cell>
          <cell r="B1702" t="str">
            <v>m</v>
          </cell>
        </row>
        <row r="1703">
          <cell r="A1703" t="str">
            <v>Hiltrud</v>
          </cell>
          <cell r="B1703" t="str">
            <v>w</v>
          </cell>
        </row>
        <row r="1704">
          <cell r="A1704" t="str">
            <v>Hinnerk</v>
          </cell>
          <cell r="B1704" t="str">
            <v>m</v>
          </cell>
        </row>
        <row r="1705">
          <cell r="A1705" t="str">
            <v>Hinz</v>
          </cell>
          <cell r="B1705" t="str">
            <v>m</v>
          </cell>
        </row>
        <row r="1706">
          <cell r="A1706" t="str">
            <v>Hippokrates</v>
          </cell>
          <cell r="B1706" t="str">
            <v>m</v>
          </cell>
        </row>
        <row r="1707">
          <cell r="A1707" t="str">
            <v>Hobart</v>
          </cell>
          <cell r="B1707" t="str">
            <v>m</v>
          </cell>
        </row>
        <row r="1708">
          <cell r="A1708" t="str">
            <v>Holden</v>
          </cell>
          <cell r="B1708" t="str">
            <v>m</v>
          </cell>
        </row>
        <row r="1709">
          <cell r="A1709" t="str">
            <v>Holdger</v>
          </cell>
          <cell r="B1709" t="str">
            <v>m</v>
          </cell>
        </row>
        <row r="1710">
          <cell r="A1710" t="str">
            <v>Holge</v>
          </cell>
          <cell r="B1710" t="str">
            <v>m</v>
          </cell>
        </row>
        <row r="1711">
          <cell r="A1711" t="str">
            <v>Holger</v>
          </cell>
          <cell r="B1711" t="str">
            <v>m</v>
          </cell>
        </row>
        <row r="1712">
          <cell r="A1712" t="str">
            <v>Holm</v>
          </cell>
          <cell r="B1712" t="str">
            <v>m</v>
          </cell>
        </row>
        <row r="1713">
          <cell r="A1713" t="str">
            <v>Honey</v>
          </cell>
          <cell r="B1713" t="str">
            <v>w</v>
          </cell>
        </row>
        <row r="1714">
          <cell r="A1714" t="str">
            <v>Horst</v>
          </cell>
          <cell r="B1714" t="str">
            <v>m</v>
          </cell>
        </row>
        <row r="1715">
          <cell r="A1715" t="str">
            <v>Howe</v>
          </cell>
          <cell r="B1715" t="str">
            <v>m</v>
          </cell>
        </row>
        <row r="1716">
          <cell r="A1716" t="str">
            <v>Hubert</v>
          </cell>
          <cell r="B1716" t="str">
            <v>m</v>
          </cell>
        </row>
        <row r="1717">
          <cell r="A1717" t="str">
            <v>Huberta</v>
          </cell>
          <cell r="B1717" t="str">
            <v>w</v>
          </cell>
        </row>
        <row r="1718">
          <cell r="A1718" t="str">
            <v>Hubertha</v>
          </cell>
          <cell r="B1718" t="str">
            <v>w</v>
          </cell>
        </row>
        <row r="1719">
          <cell r="A1719" t="str">
            <v>Huberthe</v>
          </cell>
          <cell r="B1719" t="str">
            <v>w</v>
          </cell>
        </row>
        <row r="1720">
          <cell r="A1720" t="str">
            <v>Hubertina</v>
          </cell>
          <cell r="B1720" t="str">
            <v>w</v>
          </cell>
        </row>
        <row r="1721">
          <cell r="A1721" t="str">
            <v>Hubertine</v>
          </cell>
          <cell r="B1721" t="str">
            <v>w</v>
          </cell>
        </row>
        <row r="1722">
          <cell r="A1722" t="str">
            <v>Hubertus</v>
          </cell>
          <cell r="B1722" t="str">
            <v>m</v>
          </cell>
        </row>
        <row r="1723">
          <cell r="A1723" t="str">
            <v>Hugbert</v>
          </cell>
          <cell r="B1723" t="str">
            <v>m</v>
          </cell>
        </row>
        <row r="1724">
          <cell r="A1724" t="str">
            <v>Hugo</v>
          </cell>
          <cell r="B1724" t="str">
            <v>m</v>
          </cell>
        </row>
        <row r="1725">
          <cell r="A1725" t="str">
            <v>Hulbard</v>
          </cell>
          <cell r="B1725" t="str">
            <v>m</v>
          </cell>
        </row>
        <row r="1726">
          <cell r="A1726" t="str">
            <v>Hulbert</v>
          </cell>
          <cell r="B1726" t="str">
            <v>m</v>
          </cell>
        </row>
        <row r="1727">
          <cell r="A1727" t="str">
            <v>Hulburd</v>
          </cell>
          <cell r="B1727" t="str">
            <v>m</v>
          </cell>
        </row>
        <row r="1728">
          <cell r="A1728" t="str">
            <v>Hulda</v>
          </cell>
          <cell r="B1728" t="str">
            <v>w</v>
          </cell>
        </row>
        <row r="1729">
          <cell r="A1729" t="str">
            <v>Hulh</v>
          </cell>
          <cell r="B1729" t="str">
            <v>m</v>
          </cell>
        </row>
        <row r="1730">
          <cell r="A1730" t="str">
            <v>Humbert</v>
          </cell>
          <cell r="B1730" t="str">
            <v>m</v>
          </cell>
        </row>
        <row r="1731">
          <cell r="A1731" t="str">
            <v>Humbie</v>
          </cell>
          <cell r="B1731" t="str">
            <v>m</v>
          </cell>
        </row>
        <row r="1732">
          <cell r="A1732" t="str">
            <v>Hüseyin</v>
          </cell>
          <cell r="B1732" t="str">
            <v>m</v>
          </cell>
        </row>
        <row r="1733">
          <cell r="A1733" t="str">
            <v>Hüsnü</v>
          </cell>
          <cell r="B1733" t="str">
            <v>m</v>
          </cell>
        </row>
        <row r="1734">
          <cell r="A1734" t="str">
            <v>Ian</v>
          </cell>
          <cell r="B1734" t="str">
            <v>m</v>
          </cell>
        </row>
        <row r="1735">
          <cell r="A1735" t="str">
            <v>Ibrahim</v>
          </cell>
          <cell r="B1735" t="str">
            <v>m</v>
          </cell>
        </row>
        <row r="1736">
          <cell r="A1736" t="str">
            <v>Ida</v>
          </cell>
          <cell r="B1736" t="str">
            <v>w</v>
          </cell>
        </row>
        <row r="1737">
          <cell r="A1737" t="str">
            <v>Idda</v>
          </cell>
          <cell r="B1737" t="str">
            <v>w</v>
          </cell>
        </row>
        <row r="1738">
          <cell r="A1738" t="str">
            <v>Idelia</v>
          </cell>
          <cell r="B1738" t="str">
            <v>w</v>
          </cell>
        </row>
        <row r="1739">
          <cell r="A1739" t="str">
            <v>Idona</v>
          </cell>
          <cell r="B1739" t="str">
            <v>w</v>
          </cell>
        </row>
        <row r="1740">
          <cell r="A1740" t="str">
            <v>Ignace</v>
          </cell>
          <cell r="B1740" t="str">
            <v>m</v>
          </cell>
        </row>
        <row r="1741">
          <cell r="A1741" t="str">
            <v>Ignatia</v>
          </cell>
          <cell r="B1741" t="str">
            <v>w</v>
          </cell>
        </row>
        <row r="1742">
          <cell r="A1742" t="str">
            <v>Ignatius</v>
          </cell>
          <cell r="B1742" t="str">
            <v>m</v>
          </cell>
        </row>
        <row r="1743">
          <cell r="A1743" t="str">
            <v>Ignatz</v>
          </cell>
          <cell r="B1743" t="str">
            <v>m</v>
          </cell>
        </row>
        <row r="1744">
          <cell r="A1744" t="str">
            <v>Ignaz</v>
          </cell>
          <cell r="B1744" t="str">
            <v>m</v>
          </cell>
        </row>
        <row r="1745">
          <cell r="A1745" t="str">
            <v>Ignazio</v>
          </cell>
          <cell r="B1745" t="str">
            <v>m</v>
          </cell>
        </row>
        <row r="1746">
          <cell r="A1746" t="str">
            <v>Igor</v>
          </cell>
          <cell r="B1746" t="str">
            <v>m</v>
          </cell>
        </row>
        <row r="1747">
          <cell r="A1747" t="str">
            <v>Ihsan</v>
          </cell>
          <cell r="B1747" t="str">
            <v>m</v>
          </cell>
        </row>
        <row r="1748">
          <cell r="A1748" t="str">
            <v>Iken</v>
          </cell>
          <cell r="B1748" t="str">
            <v>w</v>
          </cell>
        </row>
        <row r="1749">
          <cell r="A1749" t="str">
            <v>Ildiko</v>
          </cell>
          <cell r="B1749" t="str">
            <v>m</v>
          </cell>
        </row>
        <row r="1750">
          <cell r="A1750" t="str">
            <v>Ilga</v>
          </cell>
          <cell r="B1750" t="str">
            <v>w</v>
          </cell>
        </row>
        <row r="1751">
          <cell r="A1751" t="str">
            <v>Ilja</v>
          </cell>
          <cell r="B1751" t="str">
            <v>m</v>
          </cell>
        </row>
        <row r="1752">
          <cell r="A1752" t="str">
            <v>Iljana</v>
          </cell>
          <cell r="B1752" t="str">
            <v>w</v>
          </cell>
        </row>
        <row r="1753">
          <cell r="A1753" t="str">
            <v>Ilka</v>
          </cell>
          <cell r="B1753" t="str">
            <v>w</v>
          </cell>
        </row>
        <row r="1754">
          <cell r="A1754" t="str">
            <v>Ilona</v>
          </cell>
          <cell r="B1754" t="str">
            <v>w</v>
          </cell>
        </row>
        <row r="1755">
          <cell r="A1755" t="str">
            <v>Ilonka</v>
          </cell>
          <cell r="B1755" t="str">
            <v>w</v>
          </cell>
        </row>
        <row r="1756">
          <cell r="A1756" t="str">
            <v>Ilse</v>
          </cell>
          <cell r="B1756" t="str">
            <v>w</v>
          </cell>
        </row>
        <row r="1757">
          <cell r="A1757" t="str">
            <v>Imke</v>
          </cell>
          <cell r="B1757" t="str">
            <v>w</v>
          </cell>
        </row>
        <row r="1758">
          <cell r="A1758" t="str">
            <v>Immaculata</v>
          </cell>
          <cell r="B1758" t="str">
            <v>w</v>
          </cell>
        </row>
        <row r="1759">
          <cell r="A1759" t="str">
            <v>Immakulata</v>
          </cell>
          <cell r="B1759" t="str">
            <v>w</v>
          </cell>
        </row>
        <row r="1760">
          <cell r="A1760" t="str">
            <v>Immanuel</v>
          </cell>
          <cell r="B1760" t="str">
            <v>m</v>
          </cell>
        </row>
        <row r="1761">
          <cell r="A1761" t="str">
            <v>Immo</v>
          </cell>
          <cell r="B1761" t="str">
            <v>m</v>
          </cell>
        </row>
        <row r="1762">
          <cell r="A1762" t="str">
            <v>Ina</v>
          </cell>
          <cell r="B1762" t="str">
            <v>w</v>
          </cell>
        </row>
        <row r="1763">
          <cell r="A1763" t="str">
            <v>Indira</v>
          </cell>
          <cell r="B1763" t="str">
            <v>w</v>
          </cell>
        </row>
        <row r="1764">
          <cell r="A1764" t="str">
            <v>Indra</v>
          </cell>
          <cell r="B1764" t="str">
            <v>w</v>
          </cell>
        </row>
        <row r="1765">
          <cell r="A1765" t="str">
            <v>Ine</v>
          </cell>
          <cell r="B1765" t="str">
            <v>w</v>
          </cell>
        </row>
        <row r="1766">
          <cell r="A1766" t="str">
            <v>Ineke</v>
          </cell>
          <cell r="B1766" t="str">
            <v>w</v>
          </cell>
        </row>
        <row r="1767">
          <cell r="A1767" t="str">
            <v>Ines</v>
          </cell>
          <cell r="B1767" t="str">
            <v>w</v>
          </cell>
        </row>
        <row r="1768">
          <cell r="A1768" t="str">
            <v>Inga</v>
          </cell>
          <cell r="B1768" t="str">
            <v>w</v>
          </cell>
        </row>
        <row r="1769">
          <cell r="A1769" t="str">
            <v>Inge</v>
          </cell>
          <cell r="B1769" t="str">
            <v>w</v>
          </cell>
        </row>
        <row r="1770">
          <cell r="A1770" t="str">
            <v>Ingeborg</v>
          </cell>
          <cell r="B1770" t="str">
            <v>w</v>
          </cell>
        </row>
        <row r="1771">
          <cell r="A1771" t="str">
            <v>Ingetraud</v>
          </cell>
          <cell r="B1771" t="str">
            <v>w</v>
          </cell>
        </row>
        <row r="1772">
          <cell r="A1772" t="str">
            <v>Inglebert</v>
          </cell>
          <cell r="B1772" t="str">
            <v>m</v>
          </cell>
        </row>
        <row r="1773">
          <cell r="A1773" t="str">
            <v>Ingmar</v>
          </cell>
          <cell r="B1773" t="str">
            <v>m</v>
          </cell>
        </row>
        <row r="1774">
          <cell r="A1774" t="str">
            <v>Ingo</v>
          </cell>
          <cell r="B1774" t="str">
            <v>m</v>
          </cell>
        </row>
        <row r="1775">
          <cell r="A1775" t="str">
            <v>Ingolf</v>
          </cell>
          <cell r="B1775" t="str">
            <v>m</v>
          </cell>
        </row>
        <row r="1776">
          <cell r="A1776" t="str">
            <v>Ingomar</v>
          </cell>
          <cell r="B1776" t="str">
            <v>m</v>
          </cell>
        </row>
        <row r="1777">
          <cell r="A1777" t="str">
            <v>Ingraham</v>
          </cell>
          <cell r="B1777" t="str">
            <v>m</v>
          </cell>
        </row>
        <row r="1778">
          <cell r="A1778" t="str">
            <v>Ingram</v>
          </cell>
          <cell r="B1778" t="str">
            <v>m</v>
          </cell>
        </row>
        <row r="1779">
          <cell r="A1779" t="str">
            <v>Ingrid</v>
          </cell>
          <cell r="B1779" t="str">
            <v>w</v>
          </cell>
        </row>
        <row r="1780">
          <cell r="A1780" t="str">
            <v>Ingwar</v>
          </cell>
          <cell r="B1780" t="str">
            <v>m</v>
          </cell>
        </row>
        <row r="1781">
          <cell r="A1781" t="str">
            <v>Inka</v>
          </cell>
          <cell r="B1781" t="str">
            <v>w</v>
          </cell>
        </row>
        <row r="1782">
          <cell r="A1782" t="str">
            <v>Inke</v>
          </cell>
          <cell r="B1782" t="str">
            <v>w</v>
          </cell>
        </row>
        <row r="1783">
          <cell r="A1783" t="str">
            <v>Inken</v>
          </cell>
          <cell r="B1783" t="str">
            <v>w</v>
          </cell>
        </row>
        <row r="1784">
          <cell r="A1784" t="str">
            <v>Innocentia</v>
          </cell>
          <cell r="B1784" t="str">
            <v>w</v>
          </cell>
        </row>
        <row r="1785">
          <cell r="A1785" t="str">
            <v>Innocentius</v>
          </cell>
          <cell r="B1785" t="str">
            <v>m</v>
          </cell>
        </row>
        <row r="1786">
          <cell r="A1786" t="str">
            <v>Innozentia</v>
          </cell>
          <cell r="B1786" t="str">
            <v>w</v>
          </cell>
        </row>
        <row r="1787">
          <cell r="A1787" t="str">
            <v>Innozenz</v>
          </cell>
          <cell r="B1787" t="str">
            <v>m</v>
          </cell>
        </row>
        <row r="1788">
          <cell r="A1788" t="str">
            <v>Insa</v>
          </cell>
          <cell r="B1788" t="str">
            <v>w</v>
          </cell>
        </row>
        <row r="1789">
          <cell r="A1789" t="str">
            <v>Iphigenie</v>
          </cell>
          <cell r="B1789" t="str">
            <v>w</v>
          </cell>
        </row>
        <row r="1790">
          <cell r="A1790" t="str">
            <v>Ira</v>
          </cell>
          <cell r="B1790" t="str">
            <v>w</v>
          </cell>
        </row>
        <row r="1791">
          <cell r="A1791" t="str">
            <v>Iram</v>
          </cell>
          <cell r="B1791" t="str">
            <v>m</v>
          </cell>
        </row>
        <row r="1792">
          <cell r="A1792" t="str">
            <v>Irena</v>
          </cell>
          <cell r="B1792" t="str">
            <v>w</v>
          </cell>
        </row>
        <row r="1793">
          <cell r="A1793" t="str">
            <v>Irene</v>
          </cell>
          <cell r="B1793" t="str">
            <v>w</v>
          </cell>
        </row>
        <row r="1794">
          <cell r="A1794" t="str">
            <v>Irina</v>
          </cell>
          <cell r="B1794" t="str">
            <v>w</v>
          </cell>
        </row>
        <row r="1795">
          <cell r="A1795" t="str">
            <v>Irinka</v>
          </cell>
          <cell r="B1795" t="str">
            <v>w</v>
          </cell>
        </row>
        <row r="1796">
          <cell r="A1796" t="str">
            <v>Iris</v>
          </cell>
          <cell r="B1796" t="str">
            <v>w</v>
          </cell>
        </row>
        <row r="1797">
          <cell r="A1797" t="str">
            <v>Irma</v>
          </cell>
          <cell r="B1797" t="str">
            <v>w</v>
          </cell>
        </row>
        <row r="1798">
          <cell r="A1798" t="str">
            <v>Irme</v>
          </cell>
          <cell r="B1798" t="str">
            <v>w</v>
          </cell>
        </row>
        <row r="1799">
          <cell r="A1799" t="str">
            <v>Irmengard</v>
          </cell>
          <cell r="B1799" t="str">
            <v>w</v>
          </cell>
        </row>
        <row r="1800">
          <cell r="A1800" t="str">
            <v>Irmgard</v>
          </cell>
          <cell r="B1800" t="str">
            <v>w</v>
          </cell>
        </row>
        <row r="1801">
          <cell r="A1801" t="str">
            <v>Irmina</v>
          </cell>
          <cell r="B1801" t="str">
            <v>w</v>
          </cell>
        </row>
        <row r="1802">
          <cell r="A1802" t="str">
            <v>Irmine</v>
          </cell>
          <cell r="B1802" t="str">
            <v>w</v>
          </cell>
        </row>
        <row r="1803">
          <cell r="A1803" t="str">
            <v>Irmtraud</v>
          </cell>
          <cell r="B1803" t="str">
            <v>w</v>
          </cell>
        </row>
        <row r="1804">
          <cell r="A1804" t="str">
            <v>Irmtraut</v>
          </cell>
          <cell r="B1804" t="str">
            <v>w</v>
          </cell>
        </row>
        <row r="1805">
          <cell r="A1805" t="str">
            <v>Irvin</v>
          </cell>
          <cell r="B1805" t="str">
            <v>m</v>
          </cell>
        </row>
        <row r="1806">
          <cell r="A1806" t="str">
            <v>Irwin</v>
          </cell>
          <cell r="B1806" t="str">
            <v>m</v>
          </cell>
        </row>
        <row r="1807">
          <cell r="A1807" t="str">
            <v>Isa</v>
          </cell>
          <cell r="B1807" t="str">
            <v>w</v>
          </cell>
        </row>
        <row r="1808">
          <cell r="A1808" t="str">
            <v>Isaac</v>
          </cell>
          <cell r="B1808" t="str">
            <v>m</v>
          </cell>
        </row>
        <row r="1809">
          <cell r="A1809" t="str">
            <v>Isaak</v>
          </cell>
          <cell r="B1809" t="str">
            <v>m</v>
          </cell>
        </row>
        <row r="1810">
          <cell r="A1810" t="str">
            <v>Isabel</v>
          </cell>
          <cell r="B1810" t="str">
            <v>w</v>
          </cell>
        </row>
        <row r="1811">
          <cell r="A1811" t="str">
            <v>Isabela</v>
          </cell>
          <cell r="B1811" t="str">
            <v>w</v>
          </cell>
        </row>
        <row r="1812">
          <cell r="A1812" t="str">
            <v>Isabell</v>
          </cell>
          <cell r="B1812" t="str">
            <v>w</v>
          </cell>
        </row>
        <row r="1813">
          <cell r="A1813" t="str">
            <v>Isabella</v>
          </cell>
          <cell r="B1813" t="str">
            <v>w</v>
          </cell>
        </row>
        <row r="1814">
          <cell r="A1814" t="str">
            <v>Isabelle</v>
          </cell>
          <cell r="B1814" t="str">
            <v>w</v>
          </cell>
        </row>
        <row r="1815">
          <cell r="A1815" t="str">
            <v>Isai</v>
          </cell>
          <cell r="B1815" t="str">
            <v>m</v>
          </cell>
        </row>
        <row r="1816">
          <cell r="A1816" t="str">
            <v>Isaias</v>
          </cell>
          <cell r="B1816" t="str">
            <v>m</v>
          </cell>
        </row>
        <row r="1817">
          <cell r="A1817" t="str">
            <v>Isalda</v>
          </cell>
          <cell r="B1817" t="str">
            <v>w</v>
          </cell>
        </row>
        <row r="1818">
          <cell r="A1818" t="str">
            <v>Ischell</v>
          </cell>
          <cell r="B1818" t="str">
            <v>m</v>
          </cell>
        </row>
        <row r="1819">
          <cell r="A1819" t="str">
            <v>Ise</v>
          </cell>
          <cell r="B1819" t="str">
            <v>w</v>
          </cell>
        </row>
        <row r="1820">
          <cell r="A1820" t="str">
            <v>Isidor</v>
          </cell>
          <cell r="B1820" t="str">
            <v>m</v>
          </cell>
        </row>
        <row r="1821">
          <cell r="A1821" t="str">
            <v>Isidorius</v>
          </cell>
          <cell r="B1821" t="str">
            <v>m</v>
          </cell>
        </row>
        <row r="1822">
          <cell r="A1822" t="str">
            <v>Ismael</v>
          </cell>
          <cell r="B1822" t="str">
            <v>m</v>
          </cell>
        </row>
        <row r="1823">
          <cell r="A1823" t="str">
            <v>Ismail</v>
          </cell>
          <cell r="B1823" t="str">
            <v>m</v>
          </cell>
        </row>
        <row r="1824">
          <cell r="A1824" t="str">
            <v>Isolda</v>
          </cell>
          <cell r="B1824" t="str">
            <v>w</v>
          </cell>
        </row>
        <row r="1825">
          <cell r="A1825" t="str">
            <v>Isolde</v>
          </cell>
          <cell r="B1825" t="str">
            <v>w</v>
          </cell>
        </row>
        <row r="1826">
          <cell r="A1826" t="str">
            <v>Isotta</v>
          </cell>
          <cell r="B1826" t="str">
            <v>w</v>
          </cell>
        </row>
        <row r="1827">
          <cell r="A1827" t="str">
            <v>Isreal</v>
          </cell>
          <cell r="B1827" t="str">
            <v>m</v>
          </cell>
        </row>
        <row r="1828">
          <cell r="A1828" t="str">
            <v>Ita</v>
          </cell>
          <cell r="B1828" t="str">
            <v>w</v>
          </cell>
        </row>
        <row r="1829">
          <cell r="A1829" t="str">
            <v>Iuri</v>
          </cell>
          <cell r="B1829" t="str">
            <v>m</v>
          </cell>
        </row>
        <row r="1830">
          <cell r="A1830" t="str">
            <v>Ivan</v>
          </cell>
          <cell r="B1830" t="str">
            <v>m</v>
          </cell>
        </row>
        <row r="1831">
          <cell r="A1831" t="str">
            <v>Ivana</v>
          </cell>
          <cell r="B1831" t="str">
            <v>w</v>
          </cell>
        </row>
        <row r="1832">
          <cell r="A1832" t="str">
            <v>Ivanka</v>
          </cell>
          <cell r="B1832" t="str">
            <v>w</v>
          </cell>
        </row>
        <row r="1833">
          <cell r="A1833" t="str">
            <v>Ivo</v>
          </cell>
          <cell r="B1833" t="str">
            <v>m</v>
          </cell>
        </row>
        <row r="1834">
          <cell r="A1834" t="str">
            <v>Ivona</v>
          </cell>
          <cell r="B1834" t="str">
            <v>w</v>
          </cell>
        </row>
        <row r="1835">
          <cell r="A1835" t="str">
            <v>Ivonne</v>
          </cell>
          <cell r="B1835" t="str">
            <v>w</v>
          </cell>
        </row>
        <row r="1836">
          <cell r="A1836" t="str">
            <v>Iwan</v>
          </cell>
          <cell r="B1836" t="str">
            <v>m</v>
          </cell>
        </row>
        <row r="1837">
          <cell r="A1837" t="str">
            <v>Iwana</v>
          </cell>
          <cell r="B1837" t="str">
            <v>w</v>
          </cell>
        </row>
        <row r="1838">
          <cell r="A1838" t="str">
            <v>Iwanka</v>
          </cell>
          <cell r="B1838" t="str">
            <v>w</v>
          </cell>
        </row>
        <row r="1839">
          <cell r="A1839" t="str">
            <v>Iwanna</v>
          </cell>
          <cell r="B1839" t="str">
            <v>w</v>
          </cell>
        </row>
        <row r="1840">
          <cell r="A1840" t="str">
            <v>Jack</v>
          </cell>
          <cell r="B1840" t="str">
            <v>m</v>
          </cell>
        </row>
        <row r="1841">
          <cell r="A1841" t="str">
            <v>Jackie</v>
          </cell>
          <cell r="B1841" t="str">
            <v>w</v>
          </cell>
        </row>
        <row r="1842">
          <cell r="A1842" t="str">
            <v>Jacky</v>
          </cell>
          <cell r="B1842" t="str">
            <v>m</v>
          </cell>
        </row>
        <row r="1843">
          <cell r="A1843" t="str">
            <v>Jacky</v>
          </cell>
          <cell r="B1843" t="str">
            <v>w</v>
          </cell>
        </row>
        <row r="1844">
          <cell r="A1844" t="str">
            <v>Jacob</v>
          </cell>
          <cell r="B1844" t="str">
            <v>m</v>
          </cell>
        </row>
        <row r="1845">
          <cell r="A1845" t="str">
            <v>Jacobus</v>
          </cell>
          <cell r="B1845" t="str">
            <v>m</v>
          </cell>
        </row>
        <row r="1846">
          <cell r="A1846" t="str">
            <v>Jacqueline</v>
          </cell>
          <cell r="B1846" t="str">
            <v>w</v>
          </cell>
        </row>
        <row r="1847">
          <cell r="A1847" t="str">
            <v>Jacques</v>
          </cell>
          <cell r="B1847" t="str">
            <v>m</v>
          </cell>
        </row>
        <row r="1848">
          <cell r="A1848" t="str">
            <v>Jadwiga</v>
          </cell>
          <cell r="B1848" t="str">
            <v>w</v>
          </cell>
        </row>
        <row r="1849">
          <cell r="A1849" t="str">
            <v>Jahn</v>
          </cell>
          <cell r="B1849" t="str">
            <v>m</v>
          </cell>
        </row>
        <row r="1850">
          <cell r="A1850" t="str">
            <v>Jakie</v>
          </cell>
          <cell r="B1850" t="str">
            <v>m</v>
          </cell>
        </row>
        <row r="1851">
          <cell r="A1851" t="str">
            <v>Jakob</v>
          </cell>
          <cell r="B1851" t="str">
            <v>m</v>
          </cell>
        </row>
        <row r="1852">
          <cell r="A1852" t="str">
            <v>Jakobus</v>
          </cell>
          <cell r="B1852" t="str">
            <v>m</v>
          </cell>
        </row>
        <row r="1853">
          <cell r="A1853" t="str">
            <v>James</v>
          </cell>
          <cell r="B1853" t="str">
            <v>m</v>
          </cell>
        </row>
        <row r="1854">
          <cell r="A1854" t="str">
            <v>Jamie-Lee</v>
          </cell>
          <cell r="B1854" t="str">
            <v>w</v>
          </cell>
        </row>
        <row r="1855">
          <cell r="A1855" t="str">
            <v>Jamill</v>
          </cell>
          <cell r="B1855" t="str">
            <v>m</v>
          </cell>
        </row>
        <row r="1856">
          <cell r="A1856" t="str">
            <v>Jan</v>
          </cell>
          <cell r="B1856" t="str">
            <v>m</v>
          </cell>
        </row>
        <row r="1857">
          <cell r="A1857" t="str">
            <v>Jana</v>
          </cell>
          <cell r="B1857" t="str">
            <v>w</v>
          </cell>
        </row>
        <row r="1858">
          <cell r="A1858" t="str">
            <v>Jane</v>
          </cell>
          <cell r="B1858" t="str">
            <v>w</v>
          </cell>
        </row>
        <row r="1859">
          <cell r="A1859" t="str">
            <v>Janek</v>
          </cell>
          <cell r="B1859" t="str">
            <v>m</v>
          </cell>
        </row>
        <row r="1860">
          <cell r="A1860" t="str">
            <v>Janet</v>
          </cell>
          <cell r="B1860" t="str">
            <v>w</v>
          </cell>
        </row>
        <row r="1861">
          <cell r="A1861" t="str">
            <v>Janika</v>
          </cell>
          <cell r="B1861" t="str">
            <v>w</v>
          </cell>
        </row>
        <row r="1862">
          <cell r="A1862" t="str">
            <v>Janina</v>
          </cell>
          <cell r="B1862" t="str">
            <v>w</v>
          </cell>
        </row>
        <row r="1863">
          <cell r="A1863" t="str">
            <v>Janine</v>
          </cell>
          <cell r="B1863" t="str">
            <v>w</v>
          </cell>
        </row>
        <row r="1864">
          <cell r="A1864" t="str">
            <v>Janka</v>
          </cell>
          <cell r="B1864" t="str">
            <v>w</v>
          </cell>
        </row>
        <row r="1865">
          <cell r="A1865" t="str">
            <v>Janko</v>
          </cell>
          <cell r="B1865" t="str">
            <v>m</v>
          </cell>
        </row>
        <row r="1866">
          <cell r="A1866" t="str">
            <v>Jan-Martin</v>
          </cell>
          <cell r="B1866" t="str">
            <v>m</v>
          </cell>
        </row>
        <row r="1867">
          <cell r="A1867" t="str">
            <v>Jannes</v>
          </cell>
          <cell r="B1867" t="str">
            <v>m</v>
          </cell>
        </row>
        <row r="1868">
          <cell r="A1868" t="str">
            <v>Jannik</v>
          </cell>
          <cell r="B1868" t="str">
            <v>m</v>
          </cell>
        </row>
        <row r="1869">
          <cell r="A1869" t="str">
            <v>Jannis</v>
          </cell>
          <cell r="B1869" t="str">
            <v>m</v>
          </cell>
        </row>
        <row r="1870">
          <cell r="A1870" t="str">
            <v>Janosch</v>
          </cell>
          <cell r="B1870" t="str">
            <v>m</v>
          </cell>
        </row>
        <row r="1871">
          <cell r="A1871" t="str">
            <v>Janus</v>
          </cell>
          <cell r="B1871" t="str">
            <v>m</v>
          </cell>
        </row>
        <row r="1872">
          <cell r="A1872" t="str">
            <v>Janusz</v>
          </cell>
          <cell r="B1872" t="str">
            <v>m</v>
          </cell>
        </row>
        <row r="1873">
          <cell r="A1873" t="str">
            <v>Jaro</v>
          </cell>
          <cell r="B1873" t="str">
            <v>m</v>
          </cell>
        </row>
        <row r="1874">
          <cell r="A1874" t="str">
            <v>Jaromil</v>
          </cell>
          <cell r="B1874" t="str">
            <v>m</v>
          </cell>
        </row>
        <row r="1875">
          <cell r="A1875" t="str">
            <v>Jaromir</v>
          </cell>
          <cell r="B1875" t="str">
            <v>m</v>
          </cell>
        </row>
        <row r="1876">
          <cell r="A1876" t="str">
            <v>Jaron</v>
          </cell>
          <cell r="B1876" t="str">
            <v>m</v>
          </cell>
        </row>
        <row r="1877">
          <cell r="A1877" t="str">
            <v>Jarv</v>
          </cell>
          <cell r="B1877" t="str">
            <v>m</v>
          </cell>
        </row>
        <row r="1878">
          <cell r="A1878" t="str">
            <v>Jarvey</v>
          </cell>
          <cell r="B1878" t="str">
            <v>m</v>
          </cell>
        </row>
        <row r="1879">
          <cell r="A1879" t="str">
            <v>Jarvia</v>
          </cell>
          <cell r="B1879" t="str">
            <v>w</v>
          </cell>
        </row>
        <row r="1880">
          <cell r="A1880" t="str">
            <v>Jarvis</v>
          </cell>
          <cell r="B1880" t="str">
            <v>m</v>
          </cell>
        </row>
        <row r="1881">
          <cell r="A1881" t="str">
            <v>Jascha</v>
          </cell>
          <cell r="B1881" t="str">
            <v>m</v>
          </cell>
        </row>
        <row r="1882">
          <cell r="A1882" t="str">
            <v>Jasmin</v>
          </cell>
          <cell r="B1882" t="str">
            <v>w</v>
          </cell>
        </row>
        <row r="1883">
          <cell r="A1883" t="str">
            <v>Jasmina</v>
          </cell>
          <cell r="B1883" t="str">
            <v>w</v>
          </cell>
        </row>
        <row r="1884">
          <cell r="A1884" t="str">
            <v>Jasmine</v>
          </cell>
          <cell r="B1884" t="str">
            <v>w</v>
          </cell>
        </row>
        <row r="1885">
          <cell r="A1885" t="str">
            <v>Jason</v>
          </cell>
          <cell r="B1885" t="str">
            <v>m</v>
          </cell>
        </row>
        <row r="1886">
          <cell r="A1886" t="str">
            <v>Jasper</v>
          </cell>
          <cell r="B1886" t="str">
            <v>m</v>
          </cell>
        </row>
        <row r="1887">
          <cell r="A1887" t="str">
            <v>Jay</v>
          </cell>
          <cell r="B1887" t="str">
            <v>m</v>
          </cell>
        </row>
        <row r="1888">
          <cell r="A1888" t="str">
            <v>Jean</v>
          </cell>
          <cell r="B1888" t="str">
            <v>m</v>
          </cell>
        </row>
        <row r="1889">
          <cell r="A1889" t="str">
            <v>Jean-Baptiste</v>
          </cell>
          <cell r="B1889" t="str">
            <v>m</v>
          </cell>
        </row>
        <row r="1890">
          <cell r="A1890" t="str">
            <v>Jean-Carlo</v>
          </cell>
          <cell r="B1890" t="str">
            <v>m</v>
          </cell>
        </row>
        <row r="1891">
          <cell r="A1891" t="str">
            <v>Jean-Christophe</v>
          </cell>
          <cell r="B1891" t="str">
            <v>m</v>
          </cell>
        </row>
        <row r="1892">
          <cell r="A1892" t="str">
            <v>Jean-Claude</v>
          </cell>
          <cell r="B1892" t="str">
            <v>m</v>
          </cell>
        </row>
        <row r="1893">
          <cell r="A1893" t="str">
            <v>Jean-Luca</v>
          </cell>
          <cell r="B1893" t="str">
            <v>m</v>
          </cell>
        </row>
        <row r="1894">
          <cell r="A1894" t="str">
            <v>Jean-Marie</v>
          </cell>
          <cell r="B1894" t="str">
            <v>m</v>
          </cell>
        </row>
        <row r="1895">
          <cell r="A1895" t="str">
            <v>Jeanne</v>
          </cell>
          <cell r="B1895" t="str">
            <v>w</v>
          </cell>
        </row>
        <row r="1896">
          <cell r="A1896" t="str">
            <v>Jeannette</v>
          </cell>
          <cell r="B1896" t="str">
            <v>w</v>
          </cell>
        </row>
        <row r="1897">
          <cell r="A1897" t="str">
            <v>Jeannine</v>
          </cell>
          <cell r="B1897" t="str">
            <v>w</v>
          </cell>
        </row>
        <row r="1898">
          <cell r="A1898" t="str">
            <v>Jeanny</v>
          </cell>
          <cell r="B1898" t="str">
            <v>w</v>
          </cell>
        </row>
        <row r="1899">
          <cell r="A1899" t="str">
            <v>Jean-Pierre</v>
          </cell>
          <cell r="B1899" t="str">
            <v>m</v>
          </cell>
        </row>
        <row r="1900">
          <cell r="A1900" t="str">
            <v>Jeff</v>
          </cell>
          <cell r="B1900" t="str">
            <v>m</v>
          </cell>
        </row>
        <row r="1901">
          <cell r="A1901" t="str">
            <v>Jeffers</v>
          </cell>
          <cell r="B1901" t="str">
            <v>m</v>
          </cell>
        </row>
        <row r="1902">
          <cell r="A1902" t="str">
            <v>Jeffery</v>
          </cell>
          <cell r="B1902" t="str">
            <v>m</v>
          </cell>
        </row>
        <row r="1903">
          <cell r="A1903" t="str">
            <v>Jeffrey</v>
          </cell>
          <cell r="B1903" t="str">
            <v>m</v>
          </cell>
        </row>
        <row r="1904">
          <cell r="A1904" t="str">
            <v>Jefrem</v>
          </cell>
          <cell r="B1904" t="str">
            <v>m</v>
          </cell>
        </row>
        <row r="1905">
          <cell r="A1905" t="str">
            <v>Jehudi</v>
          </cell>
          <cell r="B1905" t="str">
            <v>m</v>
          </cell>
        </row>
        <row r="1906">
          <cell r="A1906" t="str">
            <v>Jelena</v>
          </cell>
          <cell r="B1906" t="str">
            <v>w</v>
          </cell>
        </row>
        <row r="1907">
          <cell r="A1907" t="str">
            <v>Jelenka</v>
          </cell>
          <cell r="B1907" t="str">
            <v>w</v>
          </cell>
        </row>
        <row r="1908">
          <cell r="A1908" t="str">
            <v>Jelika</v>
          </cell>
          <cell r="B1908" t="str">
            <v>w</v>
          </cell>
        </row>
        <row r="1909">
          <cell r="A1909" t="str">
            <v>Jella</v>
          </cell>
          <cell r="B1909" t="str">
            <v>w</v>
          </cell>
        </row>
        <row r="1910">
          <cell r="A1910" t="str">
            <v>Jendrich</v>
          </cell>
          <cell r="B1910" t="str">
            <v>m</v>
          </cell>
        </row>
        <row r="1911">
          <cell r="A1911" t="str">
            <v>Jendrick</v>
          </cell>
          <cell r="B1911" t="str">
            <v>m</v>
          </cell>
        </row>
        <row r="1912">
          <cell r="A1912" t="str">
            <v>Jendrik</v>
          </cell>
          <cell r="B1912" t="str">
            <v>m</v>
          </cell>
        </row>
        <row r="1913">
          <cell r="A1913" t="str">
            <v>Jenifer</v>
          </cell>
          <cell r="B1913" t="str">
            <v>w</v>
          </cell>
        </row>
        <row r="1914">
          <cell r="A1914" t="str">
            <v>Jenik</v>
          </cell>
          <cell r="B1914" t="str">
            <v>m</v>
          </cell>
        </row>
        <row r="1915">
          <cell r="A1915" t="str">
            <v>Jenni</v>
          </cell>
          <cell r="B1915" t="str">
            <v>w</v>
          </cell>
        </row>
        <row r="1916">
          <cell r="A1916" t="str">
            <v>Jennifer</v>
          </cell>
          <cell r="B1916" t="str">
            <v>w</v>
          </cell>
        </row>
        <row r="1917">
          <cell r="A1917" t="str">
            <v>Jenny</v>
          </cell>
          <cell r="B1917" t="str">
            <v>w</v>
          </cell>
        </row>
        <row r="1918">
          <cell r="A1918" t="str">
            <v>Jens</v>
          </cell>
          <cell r="B1918" t="str">
            <v>m</v>
          </cell>
        </row>
        <row r="1919">
          <cell r="A1919" t="str">
            <v>Jeremia</v>
          </cell>
          <cell r="B1919" t="str">
            <v>m</v>
          </cell>
        </row>
        <row r="1920">
          <cell r="A1920" t="str">
            <v>Jeremias</v>
          </cell>
          <cell r="B1920" t="str">
            <v>m</v>
          </cell>
        </row>
        <row r="1921">
          <cell r="A1921" t="str">
            <v>Jeremy</v>
          </cell>
          <cell r="B1921" t="str">
            <v>m</v>
          </cell>
        </row>
        <row r="1922">
          <cell r="A1922" t="str">
            <v>Jerica</v>
          </cell>
          <cell r="B1922" t="str">
            <v>w</v>
          </cell>
        </row>
        <row r="1923">
          <cell r="A1923" t="str">
            <v>Jerker</v>
          </cell>
          <cell r="B1923" t="str">
            <v>m</v>
          </cell>
        </row>
        <row r="1924">
          <cell r="A1924" t="str">
            <v>Jeroen</v>
          </cell>
          <cell r="B1924" t="str">
            <v>m</v>
          </cell>
        </row>
        <row r="1925">
          <cell r="A1925" t="str">
            <v>Jeroma</v>
          </cell>
          <cell r="B1925" t="str">
            <v>m</v>
          </cell>
        </row>
        <row r="1926">
          <cell r="A1926" t="str">
            <v>Jerome</v>
          </cell>
          <cell r="B1926" t="str">
            <v>m</v>
          </cell>
        </row>
        <row r="1927">
          <cell r="A1927" t="str">
            <v>Jeronimus</v>
          </cell>
          <cell r="B1927" t="str">
            <v>m</v>
          </cell>
        </row>
        <row r="1928">
          <cell r="A1928" t="str">
            <v>Jerrit</v>
          </cell>
          <cell r="B1928" t="str">
            <v>m</v>
          </cell>
        </row>
        <row r="1929">
          <cell r="A1929" t="str">
            <v>Jerrold</v>
          </cell>
          <cell r="B1929" t="str">
            <v>m</v>
          </cell>
        </row>
        <row r="1930">
          <cell r="A1930" t="str">
            <v>Jerry</v>
          </cell>
          <cell r="B1930" t="str">
            <v>m</v>
          </cell>
        </row>
        <row r="1931">
          <cell r="A1931" t="str">
            <v>Jervis</v>
          </cell>
          <cell r="B1931" t="str">
            <v>m</v>
          </cell>
        </row>
        <row r="1932">
          <cell r="A1932" t="str">
            <v>Jesaja</v>
          </cell>
          <cell r="B1932" t="str">
            <v>m</v>
          </cell>
        </row>
        <row r="1933">
          <cell r="A1933" t="str">
            <v>Jesajas</v>
          </cell>
          <cell r="B1933" t="str">
            <v>m</v>
          </cell>
        </row>
        <row r="1934">
          <cell r="A1934" t="str">
            <v>Jesekiel</v>
          </cell>
          <cell r="B1934" t="str">
            <v>m</v>
          </cell>
        </row>
        <row r="1935">
          <cell r="A1935" t="str">
            <v>Jesse</v>
          </cell>
          <cell r="B1935" t="str">
            <v>m</v>
          </cell>
        </row>
        <row r="1936">
          <cell r="A1936" t="str">
            <v>Jessica</v>
          </cell>
          <cell r="B1936" t="str">
            <v>w</v>
          </cell>
        </row>
        <row r="1937">
          <cell r="A1937" t="str">
            <v>Jessika</v>
          </cell>
          <cell r="B1937" t="str">
            <v>w</v>
          </cell>
        </row>
        <row r="1938">
          <cell r="A1938" t="str">
            <v>Jesus</v>
          </cell>
          <cell r="B1938" t="str">
            <v>m</v>
          </cell>
        </row>
        <row r="1939">
          <cell r="A1939" t="str">
            <v>Jettchen</v>
          </cell>
          <cell r="B1939" t="str">
            <v>w</v>
          </cell>
        </row>
        <row r="1940">
          <cell r="A1940" t="str">
            <v>Jette</v>
          </cell>
          <cell r="B1940" t="str">
            <v>w</v>
          </cell>
        </row>
        <row r="1941">
          <cell r="A1941" t="str">
            <v>Jill</v>
          </cell>
          <cell r="B1941" t="str">
            <v>w</v>
          </cell>
        </row>
        <row r="1942">
          <cell r="A1942" t="str">
            <v>Jim</v>
          </cell>
          <cell r="B1942" t="str">
            <v>m</v>
          </cell>
        </row>
        <row r="1943">
          <cell r="A1943" t="str">
            <v>Jimmy</v>
          </cell>
          <cell r="B1943" t="str">
            <v>m</v>
          </cell>
        </row>
        <row r="1944">
          <cell r="A1944" t="str">
            <v>Jo</v>
          </cell>
          <cell r="B1944" t="str">
            <v>m</v>
          </cell>
        </row>
        <row r="1945">
          <cell r="A1945" t="str">
            <v>Joachim</v>
          </cell>
          <cell r="B1945" t="str">
            <v>m</v>
          </cell>
        </row>
        <row r="1946">
          <cell r="A1946" t="str">
            <v>Joan</v>
          </cell>
          <cell r="B1946" t="str">
            <v>w</v>
          </cell>
        </row>
        <row r="1947">
          <cell r="A1947" t="str">
            <v>Joanna</v>
          </cell>
          <cell r="B1947" t="str">
            <v>w</v>
          </cell>
        </row>
        <row r="1948">
          <cell r="A1948" t="str">
            <v>Joáo</v>
          </cell>
          <cell r="B1948" t="str">
            <v>m</v>
          </cell>
        </row>
        <row r="1949">
          <cell r="A1949" t="str">
            <v>Joáo Carlos</v>
          </cell>
          <cell r="B1949" t="str">
            <v>m</v>
          </cell>
        </row>
        <row r="1950">
          <cell r="A1950" t="str">
            <v>Jobst</v>
          </cell>
          <cell r="B1950" t="str">
            <v>m</v>
          </cell>
        </row>
        <row r="1951">
          <cell r="A1951" t="str">
            <v>Jochen</v>
          </cell>
          <cell r="B1951" t="str">
            <v>m</v>
          </cell>
        </row>
        <row r="1952">
          <cell r="A1952" t="str">
            <v>Jochim</v>
          </cell>
          <cell r="B1952" t="str">
            <v>m</v>
          </cell>
        </row>
        <row r="1953">
          <cell r="A1953" t="str">
            <v>Joe</v>
          </cell>
          <cell r="B1953" t="str">
            <v>m</v>
          </cell>
        </row>
        <row r="1954">
          <cell r="A1954" t="str">
            <v>Joel</v>
          </cell>
          <cell r="B1954" t="str">
            <v>m</v>
          </cell>
        </row>
        <row r="1955">
          <cell r="A1955" t="str">
            <v>Joelyn</v>
          </cell>
          <cell r="B1955" t="str">
            <v>w</v>
          </cell>
        </row>
        <row r="1956">
          <cell r="A1956" t="str">
            <v>Joerg</v>
          </cell>
          <cell r="B1956" t="str">
            <v>m</v>
          </cell>
        </row>
        <row r="1957">
          <cell r="A1957" t="str">
            <v>Johan</v>
          </cell>
          <cell r="B1957" t="str">
            <v>m</v>
          </cell>
        </row>
        <row r="1958">
          <cell r="A1958" t="str">
            <v>Johann</v>
          </cell>
          <cell r="B1958" t="str">
            <v>m</v>
          </cell>
        </row>
        <row r="1959">
          <cell r="A1959" t="str">
            <v>Johanna</v>
          </cell>
          <cell r="B1959" t="str">
            <v>w</v>
          </cell>
        </row>
        <row r="1960">
          <cell r="A1960" t="str">
            <v>Johannes</v>
          </cell>
          <cell r="B1960" t="str">
            <v>m</v>
          </cell>
        </row>
        <row r="1961">
          <cell r="A1961" t="str">
            <v>John</v>
          </cell>
          <cell r="B1961" t="str">
            <v>m</v>
          </cell>
        </row>
        <row r="1962">
          <cell r="A1962" t="str">
            <v>Johnny</v>
          </cell>
          <cell r="B1962" t="str">
            <v>m</v>
          </cell>
        </row>
        <row r="1963">
          <cell r="A1963" t="str">
            <v>Jola</v>
          </cell>
          <cell r="B1963" t="str">
            <v>w</v>
          </cell>
        </row>
        <row r="1964">
          <cell r="A1964" t="str">
            <v>Jolanda</v>
          </cell>
          <cell r="B1964" t="str">
            <v>w</v>
          </cell>
        </row>
        <row r="1965">
          <cell r="A1965" t="str">
            <v>Jolande</v>
          </cell>
          <cell r="B1965" t="str">
            <v>w</v>
          </cell>
        </row>
        <row r="1966">
          <cell r="A1966" t="str">
            <v>Jolanta</v>
          </cell>
          <cell r="B1966" t="str">
            <v>w</v>
          </cell>
        </row>
        <row r="1967">
          <cell r="A1967" t="str">
            <v>Jolante</v>
          </cell>
          <cell r="B1967" t="str">
            <v>w</v>
          </cell>
        </row>
        <row r="1968">
          <cell r="A1968" t="str">
            <v>Jolantha</v>
          </cell>
          <cell r="B1968" t="str">
            <v>w</v>
          </cell>
        </row>
        <row r="1969">
          <cell r="A1969" t="str">
            <v>Jolanthe</v>
          </cell>
          <cell r="B1969" t="str">
            <v>w</v>
          </cell>
        </row>
        <row r="1970">
          <cell r="A1970" t="str">
            <v>Jon</v>
          </cell>
          <cell r="B1970" t="str">
            <v>m</v>
          </cell>
        </row>
        <row r="1971">
          <cell r="A1971" t="str">
            <v>Jona</v>
          </cell>
          <cell r="B1971" t="str">
            <v>m</v>
          </cell>
        </row>
        <row r="1972">
          <cell r="A1972" t="str">
            <v>Jonah</v>
          </cell>
          <cell r="B1972" t="str">
            <v>m</v>
          </cell>
        </row>
        <row r="1973">
          <cell r="A1973" t="str">
            <v>Jonas</v>
          </cell>
          <cell r="B1973" t="str">
            <v>m</v>
          </cell>
        </row>
        <row r="1974">
          <cell r="A1974" t="str">
            <v>Jonathan</v>
          </cell>
          <cell r="B1974" t="str">
            <v>m</v>
          </cell>
        </row>
        <row r="1975">
          <cell r="A1975" t="str">
            <v>Jonko</v>
          </cell>
          <cell r="B1975" t="str">
            <v>m</v>
          </cell>
        </row>
        <row r="1976">
          <cell r="A1976" t="str">
            <v>Jonna</v>
          </cell>
          <cell r="B1976" t="str">
            <v>w</v>
          </cell>
        </row>
        <row r="1977">
          <cell r="A1977" t="str">
            <v>Jordis</v>
          </cell>
          <cell r="B1977" t="str">
            <v>m</v>
          </cell>
        </row>
        <row r="1978">
          <cell r="A1978" t="str">
            <v>Jorg</v>
          </cell>
          <cell r="B1978" t="str">
            <v>m</v>
          </cell>
        </row>
        <row r="1979">
          <cell r="A1979" t="str">
            <v>Jörg</v>
          </cell>
          <cell r="B1979" t="str">
            <v>m</v>
          </cell>
        </row>
        <row r="1980">
          <cell r="A1980" t="str">
            <v>Joris</v>
          </cell>
          <cell r="B1980" t="str">
            <v>m</v>
          </cell>
        </row>
        <row r="1981">
          <cell r="A1981" t="str">
            <v>Jörn</v>
          </cell>
          <cell r="B1981" t="str">
            <v>m</v>
          </cell>
        </row>
        <row r="1982">
          <cell r="A1982" t="str">
            <v>José</v>
          </cell>
          <cell r="B1982" t="str">
            <v>m</v>
          </cell>
        </row>
        <row r="1983">
          <cell r="A1983" t="str">
            <v>Josef</v>
          </cell>
          <cell r="B1983" t="str">
            <v>m</v>
          </cell>
        </row>
        <row r="1984">
          <cell r="A1984" t="str">
            <v>Josef Philip</v>
          </cell>
          <cell r="B1984" t="str">
            <v>m</v>
          </cell>
        </row>
        <row r="1985">
          <cell r="A1985" t="str">
            <v>Josefa</v>
          </cell>
          <cell r="B1985" t="str">
            <v>w</v>
          </cell>
        </row>
        <row r="1986">
          <cell r="A1986" t="str">
            <v>Josefin</v>
          </cell>
          <cell r="B1986" t="str">
            <v>w</v>
          </cell>
        </row>
        <row r="1987">
          <cell r="A1987" t="str">
            <v>Josefina</v>
          </cell>
          <cell r="B1987" t="str">
            <v>w</v>
          </cell>
        </row>
        <row r="1988">
          <cell r="A1988" t="str">
            <v>Josefine</v>
          </cell>
          <cell r="B1988" t="str">
            <v>w</v>
          </cell>
        </row>
        <row r="1989">
          <cell r="A1989" t="str">
            <v>Joseph</v>
          </cell>
          <cell r="B1989" t="str">
            <v>m</v>
          </cell>
        </row>
        <row r="1990">
          <cell r="A1990" t="str">
            <v>Josepha</v>
          </cell>
          <cell r="B1990" t="str">
            <v>w</v>
          </cell>
        </row>
        <row r="1991">
          <cell r="A1991" t="str">
            <v>Josephine</v>
          </cell>
          <cell r="B1991" t="str">
            <v>w</v>
          </cell>
        </row>
        <row r="1992">
          <cell r="A1992" t="str">
            <v>Joshua</v>
          </cell>
          <cell r="B1992" t="str">
            <v>m</v>
          </cell>
        </row>
        <row r="1993">
          <cell r="A1993" t="str">
            <v>Josias</v>
          </cell>
          <cell r="B1993" t="str">
            <v>m</v>
          </cell>
        </row>
        <row r="1994">
          <cell r="A1994" t="str">
            <v>Josina</v>
          </cell>
          <cell r="B1994" t="str">
            <v>w</v>
          </cell>
        </row>
        <row r="1995">
          <cell r="A1995" t="str">
            <v>Jost</v>
          </cell>
          <cell r="B1995" t="str">
            <v>m</v>
          </cell>
        </row>
        <row r="1996">
          <cell r="A1996" t="str">
            <v>Josua</v>
          </cell>
          <cell r="B1996" t="str">
            <v>m</v>
          </cell>
        </row>
        <row r="1997">
          <cell r="A1997" t="str">
            <v>Jovita</v>
          </cell>
          <cell r="B1997" t="str">
            <v>w</v>
          </cell>
        </row>
        <row r="1998">
          <cell r="A1998" t="str">
            <v>Jowita</v>
          </cell>
          <cell r="B1998" t="str">
            <v>w</v>
          </cell>
        </row>
        <row r="1999">
          <cell r="A1999" t="str">
            <v>Juan</v>
          </cell>
          <cell r="B1999" t="str">
            <v>m</v>
          </cell>
        </row>
        <row r="2000">
          <cell r="A2000" t="str">
            <v>Juana</v>
          </cell>
          <cell r="B2000" t="str">
            <v>w</v>
          </cell>
        </row>
        <row r="2001">
          <cell r="A2001" t="str">
            <v>Juanita</v>
          </cell>
          <cell r="B2001" t="str">
            <v>w</v>
          </cell>
        </row>
        <row r="2002">
          <cell r="A2002" t="str">
            <v>Juanito</v>
          </cell>
          <cell r="B2002" t="str">
            <v>m</v>
          </cell>
        </row>
        <row r="2003">
          <cell r="A2003" t="str">
            <v>Judit</v>
          </cell>
          <cell r="B2003" t="str">
            <v>w</v>
          </cell>
        </row>
        <row r="2004">
          <cell r="A2004" t="str">
            <v>Judith</v>
          </cell>
          <cell r="B2004" t="str">
            <v>w</v>
          </cell>
        </row>
        <row r="2005">
          <cell r="A2005" t="str">
            <v>Juditha</v>
          </cell>
          <cell r="B2005" t="str">
            <v>w</v>
          </cell>
        </row>
        <row r="2006">
          <cell r="A2006" t="str">
            <v>Judy</v>
          </cell>
          <cell r="B2006" t="str">
            <v>w</v>
          </cell>
        </row>
        <row r="2007">
          <cell r="A2007" t="str">
            <v>Juhani</v>
          </cell>
          <cell r="B2007" t="str">
            <v>m</v>
          </cell>
        </row>
        <row r="2008">
          <cell r="A2008" t="str">
            <v>Jul</v>
          </cell>
          <cell r="B2008" t="str">
            <v>m</v>
          </cell>
        </row>
        <row r="2009">
          <cell r="A2009" t="str">
            <v>Julchen</v>
          </cell>
          <cell r="B2009" t="str">
            <v>w</v>
          </cell>
        </row>
        <row r="2010">
          <cell r="A2010" t="str">
            <v>Jule</v>
          </cell>
          <cell r="B2010" t="str">
            <v>w</v>
          </cell>
        </row>
        <row r="2011">
          <cell r="A2011" t="str">
            <v>Jules</v>
          </cell>
          <cell r="B2011" t="str">
            <v>m</v>
          </cell>
        </row>
        <row r="2012">
          <cell r="A2012" t="str">
            <v>Julia</v>
          </cell>
          <cell r="B2012" t="str">
            <v>w</v>
          </cell>
        </row>
        <row r="2013">
          <cell r="A2013" t="str">
            <v>Julian</v>
          </cell>
          <cell r="B2013" t="str">
            <v>m</v>
          </cell>
        </row>
        <row r="2014">
          <cell r="A2014" t="str">
            <v>Juliana</v>
          </cell>
          <cell r="B2014" t="str">
            <v>w</v>
          </cell>
        </row>
        <row r="2015">
          <cell r="A2015" t="str">
            <v>Juliane</v>
          </cell>
          <cell r="B2015" t="str">
            <v>w</v>
          </cell>
        </row>
        <row r="2016">
          <cell r="A2016" t="str">
            <v>Julianne</v>
          </cell>
          <cell r="B2016" t="str">
            <v>w</v>
          </cell>
        </row>
        <row r="2017">
          <cell r="A2017" t="str">
            <v>Julianus</v>
          </cell>
          <cell r="B2017" t="str">
            <v>m</v>
          </cell>
        </row>
        <row r="2018">
          <cell r="A2018" t="str">
            <v>Julie</v>
          </cell>
          <cell r="B2018" t="str">
            <v>w</v>
          </cell>
        </row>
        <row r="2019">
          <cell r="A2019" t="str">
            <v>Julien</v>
          </cell>
          <cell r="B2019" t="str">
            <v>m</v>
          </cell>
        </row>
        <row r="2020">
          <cell r="A2020" t="str">
            <v>Juliet</v>
          </cell>
          <cell r="B2020" t="str">
            <v>w</v>
          </cell>
        </row>
        <row r="2021">
          <cell r="A2021" t="str">
            <v>Julika</v>
          </cell>
          <cell r="B2021" t="str">
            <v>w</v>
          </cell>
        </row>
        <row r="2022">
          <cell r="A2022" t="str">
            <v>Julitta</v>
          </cell>
          <cell r="B2022" t="str">
            <v>w</v>
          </cell>
        </row>
        <row r="2023">
          <cell r="A2023" t="str">
            <v>Julius</v>
          </cell>
          <cell r="B2023" t="str">
            <v>m</v>
          </cell>
        </row>
        <row r="2024">
          <cell r="A2024" t="str">
            <v>June</v>
          </cell>
          <cell r="B2024" t="str">
            <v>w</v>
          </cell>
        </row>
        <row r="2025">
          <cell r="A2025" t="str">
            <v>Juniper</v>
          </cell>
          <cell r="B2025" t="str">
            <v>m</v>
          </cell>
        </row>
        <row r="2026">
          <cell r="A2026" t="str">
            <v>Jupp</v>
          </cell>
          <cell r="B2026" t="str">
            <v>m</v>
          </cell>
        </row>
        <row r="2027">
          <cell r="A2027" t="str">
            <v>Jurgen</v>
          </cell>
          <cell r="B2027" t="str">
            <v>m</v>
          </cell>
        </row>
        <row r="2028">
          <cell r="A2028" t="str">
            <v>Jürgen</v>
          </cell>
          <cell r="B2028" t="str">
            <v>m</v>
          </cell>
        </row>
        <row r="2029">
          <cell r="A2029" t="str">
            <v>Juri</v>
          </cell>
          <cell r="B2029" t="str">
            <v>m</v>
          </cell>
        </row>
        <row r="2030">
          <cell r="A2030" t="str">
            <v>Jussuf</v>
          </cell>
          <cell r="B2030" t="str">
            <v>m</v>
          </cell>
        </row>
        <row r="2031">
          <cell r="A2031" t="str">
            <v>Justin</v>
          </cell>
          <cell r="B2031" t="str">
            <v>m</v>
          </cell>
        </row>
        <row r="2032">
          <cell r="A2032" t="str">
            <v>Justina</v>
          </cell>
          <cell r="B2032" t="str">
            <v>w</v>
          </cell>
        </row>
        <row r="2033">
          <cell r="A2033" t="str">
            <v>Justine</v>
          </cell>
          <cell r="B2033" t="str">
            <v>w</v>
          </cell>
        </row>
        <row r="2034">
          <cell r="A2034" t="str">
            <v>Justinian</v>
          </cell>
          <cell r="B2034" t="str">
            <v>m</v>
          </cell>
        </row>
        <row r="2035">
          <cell r="A2035" t="str">
            <v>Justinianus</v>
          </cell>
          <cell r="B2035" t="str">
            <v>m</v>
          </cell>
        </row>
        <row r="2036">
          <cell r="A2036" t="str">
            <v>Justinus</v>
          </cell>
          <cell r="B2036" t="str">
            <v>m</v>
          </cell>
        </row>
        <row r="2037">
          <cell r="A2037" t="str">
            <v>Justus</v>
          </cell>
          <cell r="B2037" t="str">
            <v>m</v>
          </cell>
        </row>
        <row r="2038">
          <cell r="A2038" t="str">
            <v>Jutta</v>
          </cell>
          <cell r="B2038" t="str">
            <v>w</v>
          </cell>
        </row>
        <row r="2039">
          <cell r="A2039" t="str">
            <v>Jutte</v>
          </cell>
          <cell r="B2039" t="str">
            <v>w</v>
          </cell>
        </row>
        <row r="2040">
          <cell r="A2040" t="str">
            <v>Kadir</v>
          </cell>
          <cell r="B2040" t="str">
            <v>m</v>
          </cell>
        </row>
        <row r="2041">
          <cell r="A2041" t="str">
            <v>Kai</v>
          </cell>
          <cell r="B2041" t="str">
            <v>m</v>
          </cell>
        </row>
        <row r="2042">
          <cell r="A2042" t="str">
            <v>Kain</v>
          </cell>
          <cell r="B2042" t="str">
            <v>m</v>
          </cell>
        </row>
        <row r="2043">
          <cell r="A2043" t="str">
            <v>Kai-Olaf</v>
          </cell>
          <cell r="B2043" t="str">
            <v>m</v>
          </cell>
        </row>
        <row r="2044">
          <cell r="A2044" t="str">
            <v>Kaitlyn</v>
          </cell>
          <cell r="B2044" t="str">
            <v>w</v>
          </cell>
        </row>
        <row r="2045">
          <cell r="A2045" t="str">
            <v>Kai-Uwe</v>
          </cell>
          <cell r="B2045" t="str">
            <v>m</v>
          </cell>
        </row>
        <row r="2046">
          <cell r="A2046" t="str">
            <v>Kalle</v>
          </cell>
          <cell r="B2046" t="str">
            <v>m</v>
          </cell>
        </row>
        <row r="2047">
          <cell r="A2047" t="str">
            <v>Kallist</v>
          </cell>
          <cell r="B2047" t="str">
            <v>m</v>
          </cell>
        </row>
        <row r="2048">
          <cell r="A2048" t="str">
            <v>Kallistus</v>
          </cell>
          <cell r="B2048" t="str">
            <v>m</v>
          </cell>
        </row>
        <row r="2049">
          <cell r="A2049" t="str">
            <v>Kallixtus</v>
          </cell>
          <cell r="B2049" t="str">
            <v>m</v>
          </cell>
        </row>
        <row r="2050">
          <cell r="A2050" t="str">
            <v>Kamil</v>
          </cell>
          <cell r="B2050" t="str">
            <v>m</v>
          </cell>
        </row>
        <row r="2051">
          <cell r="A2051" t="str">
            <v>Kampion</v>
          </cell>
          <cell r="B2051" t="str">
            <v>m</v>
          </cell>
        </row>
        <row r="2052">
          <cell r="A2052" t="str">
            <v>Kareen</v>
          </cell>
          <cell r="B2052" t="str">
            <v>w</v>
          </cell>
        </row>
        <row r="2053">
          <cell r="A2053" t="str">
            <v>Karel</v>
          </cell>
          <cell r="B2053" t="str">
            <v>m</v>
          </cell>
        </row>
        <row r="2054">
          <cell r="A2054" t="str">
            <v>Karim</v>
          </cell>
          <cell r="B2054" t="str">
            <v>m</v>
          </cell>
        </row>
        <row r="2055">
          <cell r="A2055" t="str">
            <v>Karin</v>
          </cell>
          <cell r="B2055" t="str">
            <v>w</v>
          </cell>
        </row>
        <row r="2056">
          <cell r="A2056" t="str">
            <v>Karina</v>
          </cell>
          <cell r="B2056" t="str">
            <v>w</v>
          </cell>
        </row>
        <row r="2057">
          <cell r="A2057" t="str">
            <v>Karl</v>
          </cell>
          <cell r="B2057" t="str">
            <v>m</v>
          </cell>
        </row>
        <row r="2058">
          <cell r="A2058" t="str">
            <v>Karl Heinz</v>
          </cell>
          <cell r="B2058" t="str">
            <v>m</v>
          </cell>
        </row>
        <row r="2059">
          <cell r="A2059" t="str">
            <v>Karla</v>
          </cell>
          <cell r="B2059" t="str">
            <v>w</v>
          </cell>
        </row>
        <row r="2060">
          <cell r="A2060" t="str">
            <v>Karl-Friedrich</v>
          </cell>
          <cell r="B2060" t="str">
            <v>m</v>
          </cell>
        </row>
        <row r="2061">
          <cell r="A2061" t="str">
            <v>Karlheinz</v>
          </cell>
          <cell r="B2061" t="str">
            <v>m</v>
          </cell>
        </row>
        <row r="2062">
          <cell r="A2062" t="str">
            <v>Karl-Heinz</v>
          </cell>
          <cell r="B2062" t="str">
            <v>m</v>
          </cell>
        </row>
        <row r="2063">
          <cell r="A2063" t="str">
            <v>Karl-Otto</v>
          </cell>
          <cell r="B2063" t="str">
            <v>m</v>
          </cell>
        </row>
        <row r="2064">
          <cell r="A2064" t="str">
            <v>Karl-Ulrich</v>
          </cell>
          <cell r="B2064" t="str">
            <v>m</v>
          </cell>
        </row>
        <row r="2065">
          <cell r="A2065" t="str">
            <v>Karl-Wilhelm</v>
          </cell>
          <cell r="B2065" t="str">
            <v>m</v>
          </cell>
        </row>
        <row r="2066">
          <cell r="A2066" t="str">
            <v>Karol</v>
          </cell>
          <cell r="B2066" t="str">
            <v>m</v>
          </cell>
        </row>
        <row r="2067">
          <cell r="A2067" t="str">
            <v>Karola</v>
          </cell>
          <cell r="B2067" t="str">
            <v>w</v>
          </cell>
        </row>
        <row r="2068">
          <cell r="A2068" t="str">
            <v>Karolin</v>
          </cell>
          <cell r="B2068" t="str">
            <v>w</v>
          </cell>
        </row>
        <row r="2069">
          <cell r="A2069" t="str">
            <v>Karolina</v>
          </cell>
          <cell r="B2069" t="str">
            <v>w</v>
          </cell>
        </row>
        <row r="2070">
          <cell r="A2070" t="str">
            <v>Karoline</v>
          </cell>
          <cell r="B2070" t="str">
            <v>w</v>
          </cell>
        </row>
        <row r="2071">
          <cell r="A2071" t="str">
            <v>Karstan</v>
          </cell>
          <cell r="B2071" t="str">
            <v>m</v>
          </cell>
        </row>
        <row r="2072">
          <cell r="A2072" t="str">
            <v>Karsten</v>
          </cell>
          <cell r="B2072" t="str">
            <v>m</v>
          </cell>
        </row>
        <row r="2073">
          <cell r="A2073" t="str">
            <v>Kasimir</v>
          </cell>
          <cell r="B2073" t="str">
            <v>m</v>
          </cell>
        </row>
        <row r="2074">
          <cell r="A2074" t="str">
            <v>Kaspar</v>
          </cell>
          <cell r="B2074" t="str">
            <v>m</v>
          </cell>
        </row>
        <row r="2075">
          <cell r="A2075" t="str">
            <v>Kasper</v>
          </cell>
          <cell r="B2075" t="str">
            <v>m</v>
          </cell>
        </row>
        <row r="2076">
          <cell r="A2076" t="str">
            <v>Kassandra</v>
          </cell>
          <cell r="B2076" t="str">
            <v>w</v>
          </cell>
        </row>
        <row r="2077">
          <cell r="A2077" t="str">
            <v>Kastor</v>
          </cell>
          <cell r="B2077" t="str">
            <v>m</v>
          </cell>
        </row>
        <row r="2078">
          <cell r="A2078" t="str">
            <v>Käte</v>
          </cell>
          <cell r="B2078" t="str">
            <v>w</v>
          </cell>
        </row>
        <row r="2079">
          <cell r="A2079" t="str">
            <v>Katharina</v>
          </cell>
          <cell r="B2079" t="str">
            <v>w</v>
          </cell>
        </row>
        <row r="2080">
          <cell r="A2080" t="str">
            <v>Katharine</v>
          </cell>
          <cell r="B2080" t="str">
            <v>w</v>
          </cell>
        </row>
        <row r="2081">
          <cell r="A2081" t="str">
            <v>Kathe</v>
          </cell>
          <cell r="B2081" t="str">
            <v>w</v>
          </cell>
        </row>
        <row r="2082">
          <cell r="A2082" t="str">
            <v>Käthe</v>
          </cell>
          <cell r="B2082" t="str">
            <v>w</v>
          </cell>
        </row>
        <row r="2083">
          <cell r="A2083" t="str">
            <v>Käthemarie</v>
          </cell>
          <cell r="B2083" t="str">
            <v>w</v>
          </cell>
        </row>
        <row r="2084">
          <cell r="A2084" t="str">
            <v>Kathi</v>
          </cell>
          <cell r="B2084" t="str">
            <v>w</v>
          </cell>
        </row>
        <row r="2085">
          <cell r="A2085" t="str">
            <v>Kathleen</v>
          </cell>
          <cell r="B2085" t="str">
            <v>w</v>
          </cell>
        </row>
        <row r="2086">
          <cell r="A2086" t="str">
            <v>Kathrin</v>
          </cell>
          <cell r="B2086" t="str">
            <v>w</v>
          </cell>
        </row>
        <row r="2087">
          <cell r="A2087" t="str">
            <v>Kathrina</v>
          </cell>
          <cell r="B2087" t="str">
            <v>w</v>
          </cell>
        </row>
        <row r="2088">
          <cell r="A2088" t="str">
            <v>Kathrine</v>
          </cell>
          <cell r="B2088" t="str">
            <v>w</v>
          </cell>
        </row>
        <row r="2089">
          <cell r="A2089" t="str">
            <v>Katinka</v>
          </cell>
          <cell r="B2089" t="str">
            <v>w</v>
          </cell>
        </row>
        <row r="2090">
          <cell r="A2090" t="str">
            <v>Katja</v>
          </cell>
          <cell r="B2090" t="str">
            <v>w</v>
          </cell>
        </row>
        <row r="2091">
          <cell r="A2091" t="str">
            <v>Katrin</v>
          </cell>
          <cell r="B2091" t="str">
            <v>w</v>
          </cell>
        </row>
        <row r="2092">
          <cell r="A2092" t="str">
            <v>Katrin-Maria</v>
          </cell>
          <cell r="B2092" t="str">
            <v>w</v>
          </cell>
        </row>
        <row r="2093">
          <cell r="A2093" t="str">
            <v>Kay</v>
          </cell>
          <cell r="B2093" t="str">
            <v>m</v>
          </cell>
        </row>
        <row r="2094">
          <cell r="A2094" t="str">
            <v>Keanu</v>
          </cell>
          <cell r="B2094" t="str">
            <v>m</v>
          </cell>
        </row>
        <row r="2095">
          <cell r="A2095" t="str">
            <v>Kegan</v>
          </cell>
          <cell r="B2095" t="str">
            <v>m</v>
          </cell>
        </row>
        <row r="2096">
          <cell r="A2096" t="str">
            <v>Kei</v>
          </cell>
          <cell r="B2096" t="str">
            <v>m</v>
          </cell>
        </row>
        <row r="2097">
          <cell r="A2097" t="str">
            <v>Kelby</v>
          </cell>
          <cell r="B2097" t="str">
            <v>m</v>
          </cell>
        </row>
        <row r="2098">
          <cell r="A2098" t="str">
            <v>Kelsey</v>
          </cell>
          <cell r="B2098" t="str">
            <v>m</v>
          </cell>
        </row>
        <row r="2099">
          <cell r="A2099" t="str">
            <v>Kemal</v>
          </cell>
          <cell r="B2099" t="str">
            <v>m</v>
          </cell>
        </row>
        <row r="2100">
          <cell r="A2100" t="str">
            <v>Ken</v>
          </cell>
          <cell r="B2100" t="str">
            <v>m</v>
          </cell>
        </row>
        <row r="2101">
          <cell r="A2101" t="str">
            <v>Kendra</v>
          </cell>
          <cell r="B2101" t="str">
            <v>w</v>
          </cell>
        </row>
        <row r="2102">
          <cell r="A2102" t="str">
            <v>Kenneth</v>
          </cell>
          <cell r="B2102" t="str">
            <v>m</v>
          </cell>
        </row>
        <row r="2103">
          <cell r="A2103" t="str">
            <v>Keno</v>
          </cell>
          <cell r="B2103" t="str">
            <v>m</v>
          </cell>
        </row>
        <row r="2104">
          <cell r="A2104" t="str">
            <v>Kersten</v>
          </cell>
          <cell r="B2104" t="str">
            <v>w</v>
          </cell>
        </row>
        <row r="2105">
          <cell r="A2105" t="str">
            <v>Kersti</v>
          </cell>
          <cell r="B2105" t="str">
            <v>w</v>
          </cell>
        </row>
        <row r="2106">
          <cell r="A2106" t="str">
            <v>Kerstin</v>
          </cell>
          <cell r="B2106" t="str">
            <v>w</v>
          </cell>
        </row>
        <row r="2107">
          <cell r="A2107" t="str">
            <v>Kester</v>
          </cell>
          <cell r="B2107" t="str">
            <v>m</v>
          </cell>
        </row>
        <row r="2108">
          <cell r="A2108" t="str">
            <v>Kevin</v>
          </cell>
          <cell r="B2108" t="str">
            <v>m</v>
          </cell>
        </row>
        <row r="2109">
          <cell r="A2109" t="str">
            <v>Kezia</v>
          </cell>
          <cell r="B2109" t="str">
            <v>w</v>
          </cell>
        </row>
        <row r="2110">
          <cell r="A2110" t="str">
            <v>Kieran</v>
          </cell>
          <cell r="B2110" t="str">
            <v>m</v>
          </cell>
        </row>
        <row r="2111">
          <cell r="A2111" t="str">
            <v>Kilby</v>
          </cell>
          <cell r="B2111" t="str">
            <v>m</v>
          </cell>
        </row>
        <row r="2112">
          <cell r="A2112" t="str">
            <v>Kilian</v>
          </cell>
          <cell r="B2112" t="str">
            <v>m</v>
          </cell>
        </row>
        <row r="2113">
          <cell r="A2113" t="str">
            <v>Killian</v>
          </cell>
          <cell r="B2113" t="str">
            <v>m</v>
          </cell>
        </row>
        <row r="2114">
          <cell r="A2114" t="str">
            <v>Kim</v>
          </cell>
          <cell r="B2114" t="str">
            <v>m</v>
          </cell>
        </row>
        <row r="2115">
          <cell r="A2115" t="str">
            <v>Kim</v>
          </cell>
          <cell r="B2115" t="str">
            <v>w</v>
          </cell>
        </row>
        <row r="2116">
          <cell r="A2116" t="str">
            <v>Kimberley</v>
          </cell>
          <cell r="B2116" t="str">
            <v>w</v>
          </cell>
        </row>
        <row r="2117">
          <cell r="A2117" t="str">
            <v>Kimon</v>
          </cell>
          <cell r="B2117" t="str">
            <v>m</v>
          </cell>
        </row>
        <row r="2118">
          <cell r="A2118" t="str">
            <v>Kira</v>
          </cell>
          <cell r="B2118" t="str">
            <v>w</v>
          </cell>
        </row>
        <row r="2119">
          <cell r="A2119" t="str">
            <v>Kirsten</v>
          </cell>
          <cell r="B2119" t="str">
            <v>w</v>
          </cell>
        </row>
        <row r="2120">
          <cell r="A2120" t="str">
            <v>Kirstin</v>
          </cell>
          <cell r="B2120" t="str">
            <v>w</v>
          </cell>
        </row>
        <row r="2121">
          <cell r="A2121" t="str">
            <v>Kjell</v>
          </cell>
          <cell r="B2121" t="str">
            <v>m</v>
          </cell>
        </row>
        <row r="2122">
          <cell r="A2122" t="str">
            <v>Klaas</v>
          </cell>
          <cell r="B2122" t="str">
            <v>m</v>
          </cell>
        </row>
        <row r="2123">
          <cell r="A2123" t="str">
            <v>Klara</v>
          </cell>
          <cell r="B2123" t="str">
            <v>w</v>
          </cell>
        </row>
        <row r="2124">
          <cell r="A2124" t="str">
            <v>Klarina</v>
          </cell>
          <cell r="B2124" t="str">
            <v>w</v>
          </cell>
        </row>
        <row r="2125">
          <cell r="A2125" t="str">
            <v>Klarinda</v>
          </cell>
          <cell r="B2125" t="str">
            <v>w</v>
          </cell>
        </row>
        <row r="2126">
          <cell r="A2126" t="str">
            <v>Klarissa</v>
          </cell>
          <cell r="B2126" t="str">
            <v>w</v>
          </cell>
        </row>
        <row r="2127">
          <cell r="A2127" t="str">
            <v>Klaudia</v>
          </cell>
          <cell r="B2127" t="str">
            <v>w</v>
          </cell>
        </row>
        <row r="2128">
          <cell r="A2128" t="str">
            <v>Klaudius</v>
          </cell>
          <cell r="B2128" t="str">
            <v>m</v>
          </cell>
        </row>
        <row r="2129">
          <cell r="A2129" t="str">
            <v>Klaus</v>
          </cell>
          <cell r="B2129" t="str">
            <v>m</v>
          </cell>
        </row>
        <row r="2130">
          <cell r="A2130" t="str">
            <v>Klaus Dieter</v>
          </cell>
          <cell r="B2130" t="str">
            <v>m</v>
          </cell>
        </row>
        <row r="2131">
          <cell r="A2131" t="str">
            <v>Klaus-Dieter</v>
          </cell>
          <cell r="B2131" t="str">
            <v>m</v>
          </cell>
        </row>
        <row r="2132">
          <cell r="A2132" t="str">
            <v>Klemens</v>
          </cell>
          <cell r="B2132" t="str">
            <v>m</v>
          </cell>
        </row>
        <row r="2133">
          <cell r="A2133" t="str">
            <v>Klement</v>
          </cell>
          <cell r="B2133" t="str">
            <v>m</v>
          </cell>
        </row>
        <row r="2134">
          <cell r="A2134" t="str">
            <v>Klementia</v>
          </cell>
          <cell r="B2134" t="str">
            <v>w</v>
          </cell>
        </row>
        <row r="2135">
          <cell r="A2135" t="str">
            <v>Klementine</v>
          </cell>
          <cell r="B2135" t="str">
            <v>w</v>
          </cell>
        </row>
        <row r="2136">
          <cell r="A2136" t="str">
            <v>Kleopas</v>
          </cell>
          <cell r="B2136" t="str">
            <v>m</v>
          </cell>
        </row>
        <row r="2137">
          <cell r="A2137" t="str">
            <v>Kleopatra</v>
          </cell>
          <cell r="B2137" t="str">
            <v>w</v>
          </cell>
        </row>
        <row r="2138">
          <cell r="A2138" t="str">
            <v>Kleophas</v>
          </cell>
          <cell r="B2138" t="str">
            <v>m</v>
          </cell>
        </row>
        <row r="2139">
          <cell r="A2139" t="str">
            <v>Klopas</v>
          </cell>
          <cell r="B2139" t="str">
            <v>m</v>
          </cell>
        </row>
        <row r="2140">
          <cell r="A2140" t="str">
            <v>Klothild</v>
          </cell>
          <cell r="B2140" t="str">
            <v>w</v>
          </cell>
        </row>
        <row r="2141">
          <cell r="A2141" t="str">
            <v>Klothilde</v>
          </cell>
          <cell r="B2141" t="str">
            <v>w</v>
          </cell>
        </row>
        <row r="2142">
          <cell r="A2142" t="str">
            <v>Knut</v>
          </cell>
          <cell r="B2142" t="str">
            <v>m</v>
          </cell>
        </row>
        <row r="2143">
          <cell r="A2143" t="str">
            <v>Kolas</v>
          </cell>
          <cell r="B2143" t="str">
            <v>m</v>
          </cell>
        </row>
        <row r="2144">
          <cell r="A2144" t="str">
            <v>Kolja</v>
          </cell>
          <cell r="B2144" t="str">
            <v>m</v>
          </cell>
        </row>
        <row r="2145">
          <cell r="A2145" t="str">
            <v>Konrad</v>
          </cell>
          <cell r="B2145" t="str">
            <v>m</v>
          </cell>
        </row>
        <row r="2146">
          <cell r="A2146" t="str">
            <v>Konradin</v>
          </cell>
          <cell r="B2146" t="str">
            <v>m</v>
          </cell>
        </row>
        <row r="2147">
          <cell r="A2147" t="str">
            <v>Konstantia</v>
          </cell>
          <cell r="B2147" t="str">
            <v>w</v>
          </cell>
        </row>
        <row r="2148">
          <cell r="A2148" t="str">
            <v>Konstantin</v>
          </cell>
          <cell r="B2148" t="str">
            <v>m</v>
          </cell>
        </row>
        <row r="2149">
          <cell r="A2149" t="str">
            <v>Konstanza</v>
          </cell>
          <cell r="B2149" t="str">
            <v>w</v>
          </cell>
        </row>
        <row r="2150">
          <cell r="A2150" t="str">
            <v>Konstanze</v>
          </cell>
          <cell r="B2150" t="str">
            <v>w</v>
          </cell>
        </row>
        <row r="2151">
          <cell r="A2151" t="str">
            <v>Kora</v>
          </cell>
          <cell r="B2151" t="str">
            <v>w</v>
          </cell>
        </row>
        <row r="2152">
          <cell r="A2152" t="str">
            <v>Korbinian</v>
          </cell>
          <cell r="B2152" t="str">
            <v>m</v>
          </cell>
        </row>
        <row r="2153">
          <cell r="A2153" t="str">
            <v>Kordula</v>
          </cell>
          <cell r="B2153" t="str">
            <v>w</v>
          </cell>
        </row>
        <row r="2154">
          <cell r="A2154" t="str">
            <v>Korinna</v>
          </cell>
          <cell r="B2154" t="str">
            <v>w</v>
          </cell>
        </row>
        <row r="2155">
          <cell r="A2155" t="str">
            <v>Kornel</v>
          </cell>
          <cell r="B2155" t="str">
            <v>m</v>
          </cell>
        </row>
        <row r="2156">
          <cell r="A2156" t="str">
            <v>Kornelia</v>
          </cell>
          <cell r="B2156" t="str">
            <v>w</v>
          </cell>
        </row>
        <row r="2157">
          <cell r="A2157" t="str">
            <v>Kornelius</v>
          </cell>
          <cell r="B2157" t="str">
            <v>m</v>
          </cell>
        </row>
        <row r="2158">
          <cell r="A2158" t="str">
            <v>Kort</v>
          </cell>
          <cell r="B2158" t="str">
            <v>m</v>
          </cell>
        </row>
        <row r="2159">
          <cell r="A2159" t="str">
            <v>Kosha|</v>
          </cell>
          <cell r="B2159" t="str">
            <v>m</v>
          </cell>
        </row>
        <row r="2160">
          <cell r="A2160" t="str">
            <v>Kosta</v>
          </cell>
          <cell r="B2160" t="str">
            <v>m</v>
          </cell>
        </row>
        <row r="2161">
          <cell r="A2161" t="str">
            <v>Kostis</v>
          </cell>
          <cell r="B2161" t="str">
            <v>m</v>
          </cell>
        </row>
        <row r="2162">
          <cell r="A2162" t="str">
            <v>Kostja</v>
          </cell>
          <cell r="B2162" t="str">
            <v>m</v>
          </cell>
        </row>
        <row r="2163">
          <cell r="A2163" t="str">
            <v>Kourosh</v>
          </cell>
          <cell r="B2163" t="str">
            <v>m</v>
          </cell>
        </row>
        <row r="2164">
          <cell r="A2164" t="str">
            <v>Kriemhild</v>
          </cell>
          <cell r="B2164" t="str">
            <v>w</v>
          </cell>
        </row>
        <row r="2165">
          <cell r="A2165" t="str">
            <v>Kriemhilde</v>
          </cell>
          <cell r="B2165" t="str">
            <v>w</v>
          </cell>
        </row>
        <row r="2166">
          <cell r="A2166" t="str">
            <v>Krimhild</v>
          </cell>
          <cell r="B2166" t="str">
            <v>w</v>
          </cell>
        </row>
        <row r="2167">
          <cell r="A2167" t="str">
            <v>Krimhilde</v>
          </cell>
          <cell r="B2167" t="str">
            <v>w</v>
          </cell>
        </row>
        <row r="2168">
          <cell r="A2168" t="str">
            <v>Krista</v>
          </cell>
          <cell r="B2168" t="str">
            <v>w</v>
          </cell>
        </row>
        <row r="2169">
          <cell r="A2169" t="str">
            <v>Kristiane</v>
          </cell>
          <cell r="B2169" t="str">
            <v>w</v>
          </cell>
        </row>
        <row r="2170">
          <cell r="A2170" t="str">
            <v>Kristin</v>
          </cell>
          <cell r="B2170" t="str">
            <v>w</v>
          </cell>
        </row>
        <row r="2171">
          <cell r="A2171" t="str">
            <v>Kristina</v>
          </cell>
          <cell r="B2171" t="str">
            <v>w</v>
          </cell>
        </row>
        <row r="2172">
          <cell r="A2172" t="str">
            <v>Kristof</v>
          </cell>
          <cell r="B2172" t="str">
            <v>m</v>
          </cell>
        </row>
        <row r="2173">
          <cell r="A2173" t="str">
            <v>Krisztina</v>
          </cell>
          <cell r="B2173" t="str">
            <v>w</v>
          </cell>
        </row>
        <row r="2174">
          <cell r="A2174" t="str">
            <v>Kunibert</v>
          </cell>
          <cell r="B2174" t="str">
            <v>m</v>
          </cell>
        </row>
        <row r="2175">
          <cell r="A2175" t="str">
            <v>Kunigunda</v>
          </cell>
          <cell r="B2175" t="str">
            <v>w</v>
          </cell>
        </row>
        <row r="2176">
          <cell r="A2176" t="str">
            <v>Kunigunde</v>
          </cell>
          <cell r="B2176" t="str">
            <v>w</v>
          </cell>
        </row>
        <row r="2177">
          <cell r="A2177" t="str">
            <v>Kunissa</v>
          </cell>
          <cell r="B2177" t="str">
            <v>w</v>
          </cell>
        </row>
        <row r="2178">
          <cell r="A2178" t="str">
            <v>Kuno</v>
          </cell>
          <cell r="B2178" t="str">
            <v>m</v>
          </cell>
        </row>
        <row r="2179">
          <cell r="A2179" t="str">
            <v>Kunz</v>
          </cell>
          <cell r="B2179" t="str">
            <v>m</v>
          </cell>
        </row>
        <row r="2180">
          <cell r="A2180" t="str">
            <v>Kurt</v>
          </cell>
          <cell r="B2180" t="str">
            <v>m</v>
          </cell>
        </row>
        <row r="2181">
          <cell r="A2181" t="str">
            <v>Kurt Michael</v>
          </cell>
          <cell r="B2181" t="str">
            <v>m</v>
          </cell>
        </row>
        <row r="2182">
          <cell r="A2182" t="str">
            <v>Kyra</v>
          </cell>
          <cell r="B2182" t="str">
            <v>w</v>
          </cell>
        </row>
        <row r="2183">
          <cell r="A2183" t="str">
            <v>Kyrill</v>
          </cell>
          <cell r="B2183" t="str">
            <v>m</v>
          </cell>
        </row>
        <row r="2184">
          <cell r="A2184" t="str">
            <v>Kyrillus</v>
          </cell>
          <cell r="B2184" t="str">
            <v>m</v>
          </cell>
        </row>
        <row r="2185">
          <cell r="A2185" t="str">
            <v>Ladislaus</v>
          </cell>
          <cell r="B2185" t="str">
            <v>m</v>
          </cell>
        </row>
        <row r="2186">
          <cell r="A2186" t="str">
            <v>Laetitia</v>
          </cell>
          <cell r="B2186" t="str">
            <v>w</v>
          </cell>
        </row>
        <row r="2187">
          <cell r="A2187" t="str">
            <v>Laila</v>
          </cell>
          <cell r="B2187" t="str">
            <v>w</v>
          </cell>
        </row>
        <row r="2188">
          <cell r="A2188" t="str">
            <v>Lajos</v>
          </cell>
          <cell r="B2188" t="str">
            <v>m</v>
          </cell>
        </row>
        <row r="2189">
          <cell r="A2189" t="str">
            <v>Lambert</v>
          </cell>
          <cell r="B2189" t="str">
            <v>m</v>
          </cell>
        </row>
        <row r="2190">
          <cell r="A2190" t="str">
            <v>Lambrecht</v>
          </cell>
          <cell r="B2190" t="str">
            <v>m</v>
          </cell>
        </row>
        <row r="2191">
          <cell r="A2191" t="str">
            <v>Lampert</v>
          </cell>
          <cell r="B2191" t="str">
            <v>m</v>
          </cell>
        </row>
        <row r="2192">
          <cell r="A2192" t="str">
            <v>Lamprecht</v>
          </cell>
          <cell r="B2192" t="str">
            <v>m</v>
          </cell>
        </row>
        <row r="2193">
          <cell r="A2193" t="str">
            <v>Lance</v>
          </cell>
          <cell r="B2193" t="str">
            <v>m</v>
          </cell>
        </row>
        <row r="2194">
          <cell r="A2194" t="str">
            <v>Lando</v>
          </cell>
          <cell r="B2194" t="str">
            <v>m</v>
          </cell>
        </row>
        <row r="2195">
          <cell r="A2195" t="str">
            <v>Lang</v>
          </cell>
          <cell r="B2195" t="str">
            <v>m</v>
          </cell>
        </row>
        <row r="2196">
          <cell r="A2196" t="str">
            <v>Lara</v>
          </cell>
          <cell r="B2196" t="str">
            <v>w</v>
          </cell>
        </row>
        <row r="2197">
          <cell r="A2197" t="str">
            <v>Larissa</v>
          </cell>
          <cell r="B2197" t="str">
            <v>w</v>
          </cell>
        </row>
        <row r="2198">
          <cell r="A2198" t="str">
            <v>Lars</v>
          </cell>
          <cell r="B2198" t="str">
            <v>m</v>
          </cell>
        </row>
        <row r="2199">
          <cell r="A2199" t="str">
            <v>Laslo</v>
          </cell>
          <cell r="B2199" t="str">
            <v>m</v>
          </cell>
        </row>
        <row r="2200">
          <cell r="A2200" t="str">
            <v>Lasse</v>
          </cell>
          <cell r="B2200" t="str">
            <v>m</v>
          </cell>
        </row>
        <row r="2201">
          <cell r="A2201" t="str">
            <v>Laszlo</v>
          </cell>
          <cell r="B2201" t="str">
            <v>m</v>
          </cell>
        </row>
        <row r="2202">
          <cell r="A2202" t="str">
            <v>Laura</v>
          </cell>
          <cell r="B2202" t="str">
            <v>w</v>
          </cell>
        </row>
        <row r="2203">
          <cell r="A2203" t="str">
            <v>Laureen</v>
          </cell>
          <cell r="B2203" t="str">
            <v>w</v>
          </cell>
        </row>
        <row r="2204">
          <cell r="A2204" t="str">
            <v>Laurence</v>
          </cell>
          <cell r="B2204" t="str">
            <v>m</v>
          </cell>
        </row>
        <row r="2205">
          <cell r="A2205" t="str">
            <v>Laurent</v>
          </cell>
          <cell r="B2205" t="str">
            <v>m</v>
          </cell>
        </row>
        <row r="2206">
          <cell r="A2206" t="str">
            <v>Laurentia</v>
          </cell>
          <cell r="B2206" t="str">
            <v>w</v>
          </cell>
        </row>
        <row r="2207">
          <cell r="A2207" t="str">
            <v>Laurentius</v>
          </cell>
          <cell r="B2207" t="str">
            <v>m</v>
          </cell>
        </row>
        <row r="2208">
          <cell r="A2208" t="str">
            <v>Laurenz</v>
          </cell>
          <cell r="B2208" t="str">
            <v>m</v>
          </cell>
        </row>
        <row r="2209">
          <cell r="A2209" t="str">
            <v>Laurenzia</v>
          </cell>
          <cell r="B2209" t="str">
            <v>w</v>
          </cell>
        </row>
        <row r="2210">
          <cell r="A2210" t="str">
            <v>Lauretta</v>
          </cell>
          <cell r="B2210" t="str">
            <v>w</v>
          </cell>
        </row>
        <row r="2211">
          <cell r="A2211" t="str">
            <v>Laurina</v>
          </cell>
          <cell r="B2211" t="str">
            <v>w</v>
          </cell>
        </row>
        <row r="2212">
          <cell r="A2212" t="str">
            <v>Laurine</v>
          </cell>
          <cell r="B2212" t="str">
            <v>w</v>
          </cell>
        </row>
        <row r="2213">
          <cell r="A2213" t="str">
            <v>Laux</v>
          </cell>
          <cell r="B2213" t="str">
            <v>m</v>
          </cell>
        </row>
        <row r="2214">
          <cell r="A2214" t="str">
            <v>Lazarus</v>
          </cell>
          <cell r="B2214" t="str">
            <v>m</v>
          </cell>
        </row>
        <row r="2215">
          <cell r="A2215" t="str">
            <v>Lea</v>
          </cell>
          <cell r="B2215" t="str">
            <v>w</v>
          </cell>
        </row>
        <row r="2216">
          <cell r="A2216" t="str">
            <v>Leander</v>
          </cell>
          <cell r="B2216" t="str">
            <v>m</v>
          </cell>
        </row>
        <row r="2217">
          <cell r="A2217" t="str">
            <v>Leander</v>
          </cell>
          <cell r="B2217" t="str">
            <v>w</v>
          </cell>
        </row>
        <row r="2218">
          <cell r="A2218" t="str">
            <v>Leandre</v>
          </cell>
          <cell r="B2218" t="str">
            <v>m</v>
          </cell>
        </row>
        <row r="2219">
          <cell r="A2219" t="str">
            <v>Leandro</v>
          </cell>
          <cell r="B2219" t="str">
            <v>m</v>
          </cell>
        </row>
        <row r="2220">
          <cell r="A2220" t="str">
            <v>Leefka</v>
          </cell>
          <cell r="B2220" t="str">
            <v>w</v>
          </cell>
        </row>
        <row r="2221">
          <cell r="A2221" t="str">
            <v>Leefke</v>
          </cell>
          <cell r="B2221" t="str">
            <v>w</v>
          </cell>
        </row>
        <row r="2222">
          <cell r="A2222" t="str">
            <v>Lei</v>
          </cell>
          <cell r="B2222" t="str">
            <v>w</v>
          </cell>
        </row>
        <row r="2223">
          <cell r="A2223" t="str">
            <v>Leia</v>
          </cell>
          <cell r="B2223" t="str">
            <v>w</v>
          </cell>
        </row>
        <row r="2224">
          <cell r="A2224" t="str">
            <v>Leies</v>
          </cell>
          <cell r="B2224" t="str">
            <v>m</v>
          </cell>
        </row>
        <row r="2225">
          <cell r="A2225" t="str">
            <v>Leif</v>
          </cell>
          <cell r="B2225" t="str">
            <v>m</v>
          </cell>
        </row>
        <row r="2226">
          <cell r="A2226" t="str">
            <v>Leila</v>
          </cell>
          <cell r="B2226" t="str">
            <v>w</v>
          </cell>
        </row>
        <row r="2227">
          <cell r="A2227" t="str">
            <v>Leilena</v>
          </cell>
          <cell r="B2227" t="str">
            <v>w</v>
          </cell>
        </row>
        <row r="2228">
          <cell r="A2228" t="str">
            <v>Lena</v>
          </cell>
          <cell r="B2228" t="str">
            <v>w</v>
          </cell>
        </row>
        <row r="2229">
          <cell r="A2229" t="str">
            <v>Lenchen</v>
          </cell>
          <cell r="B2229" t="str">
            <v>w</v>
          </cell>
        </row>
        <row r="2230">
          <cell r="A2230" t="str">
            <v>Lene</v>
          </cell>
          <cell r="B2230" t="str">
            <v>w</v>
          </cell>
        </row>
        <row r="2231">
          <cell r="A2231" t="str">
            <v>Lenelotte</v>
          </cell>
          <cell r="B2231" t="str">
            <v>w</v>
          </cell>
        </row>
        <row r="2232">
          <cell r="A2232" t="str">
            <v>Leni</v>
          </cell>
          <cell r="B2232" t="str">
            <v>w</v>
          </cell>
        </row>
        <row r="2233">
          <cell r="A2233" t="str">
            <v>Lenka</v>
          </cell>
          <cell r="B2233" t="str">
            <v>w</v>
          </cell>
        </row>
        <row r="2234">
          <cell r="A2234" t="str">
            <v>Lennard</v>
          </cell>
          <cell r="B2234" t="str">
            <v>m</v>
          </cell>
        </row>
        <row r="2235">
          <cell r="A2235" t="str">
            <v>Lennart</v>
          </cell>
          <cell r="B2235" t="str">
            <v>m</v>
          </cell>
        </row>
        <row r="2236">
          <cell r="A2236" t="str">
            <v>Lenore</v>
          </cell>
          <cell r="B2236" t="str">
            <v>w</v>
          </cell>
        </row>
        <row r="2237">
          <cell r="A2237" t="str">
            <v>Leo</v>
          </cell>
          <cell r="B2237" t="str">
            <v>m</v>
          </cell>
        </row>
        <row r="2238">
          <cell r="A2238" t="str">
            <v>Leoba</v>
          </cell>
          <cell r="B2238" t="str">
            <v>w</v>
          </cell>
        </row>
        <row r="2239">
          <cell r="A2239" t="str">
            <v>Leoda</v>
          </cell>
          <cell r="B2239" t="str">
            <v>w</v>
          </cell>
        </row>
        <row r="2240">
          <cell r="A2240" t="str">
            <v>Leola</v>
          </cell>
          <cell r="B2240" t="str">
            <v>w</v>
          </cell>
        </row>
        <row r="2241">
          <cell r="A2241" t="str">
            <v>Leon</v>
          </cell>
          <cell r="B2241" t="str">
            <v>m</v>
          </cell>
        </row>
        <row r="2242">
          <cell r="A2242" t="str">
            <v>Leona</v>
          </cell>
          <cell r="B2242" t="str">
            <v>w</v>
          </cell>
        </row>
        <row r="2243">
          <cell r="A2243" t="str">
            <v>Leonard</v>
          </cell>
          <cell r="B2243" t="str">
            <v>m</v>
          </cell>
        </row>
        <row r="2244">
          <cell r="A2244" t="str">
            <v>Leonardo</v>
          </cell>
          <cell r="B2244" t="str">
            <v>m</v>
          </cell>
        </row>
        <row r="2245">
          <cell r="A2245" t="str">
            <v>Leone</v>
          </cell>
          <cell r="B2245" t="str">
            <v>m</v>
          </cell>
        </row>
        <row r="2246">
          <cell r="A2246" t="str">
            <v>Leonhard</v>
          </cell>
          <cell r="B2246" t="str">
            <v>m</v>
          </cell>
        </row>
        <row r="2247">
          <cell r="A2247" t="str">
            <v>Leonid</v>
          </cell>
          <cell r="B2247" t="str">
            <v>m</v>
          </cell>
        </row>
        <row r="2248">
          <cell r="A2248" t="str">
            <v>Leonie</v>
          </cell>
          <cell r="B2248" t="str">
            <v>w</v>
          </cell>
        </row>
        <row r="2249">
          <cell r="A2249" t="str">
            <v>Leonore</v>
          </cell>
          <cell r="B2249" t="str">
            <v>w</v>
          </cell>
        </row>
        <row r="2250">
          <cell r="A2250" t="str">
            <v>Leopold</v>
          </cell>
          <cell r="B2250" t="str">
            <v>m</v>
          </cell>
        </row>
        <row r="2251">
          <cell r="A2251" t="str">
            <v>Leopolda</v>
          </cell>
          <cell r="B2251" t="str">
            <v>w</v>
          </cell>
        </row>
        <row r="2252">
          <cell r="A2252" t="str">
            <v>Leopoldina</v>
          </cell>
          <cell r="B2252" t="str">
            <v>w</v>
          </cell>
        </row>
        <row r="2253">
          <cell r="A2253" t="str">
            <v>Leopoldine</v>
          </cell>
          <cell r="B2253" t="str">
            <v>w</v>
          </cell>
        </row>
        <row r="2254">
          <cell r="A2254" t="str">
            <v>Leota</v>
          </cell>
          <cell r="B2254" t="str">
            <v>w</v>
          </cell>
        </row>
        <row r="2255">
          <cell r="A2255" t="str">
            <v>Lester</v>
          </cell>
          <cell r="B2255" t="str">
            <v>m</v>
          </cell>
        </row>
        <row r="2256">
          <cell r="A2256" t="str">
            <v>Leszek</v>
          </cell>
          <cell r="B2256" t="str">
            <v>m</v>
          </cell>
        </row>
        <row r="2257">
          <cell r="A2257" t="str">
            <v>Leva</v>
          </cell>
          <cell r="B2257" t="str">
            <v>m</v>
          </cell>
        </row>
        <row r="2258">
          <cell r="A2258" t="str">
            <v>Levi</v>
          </cell>
          <cell r="B2258" t="str">
            <v>m</v>
          </cell>
        </row>
        <row r="2259">
          <cell r="A2259" t="str">
            <v>Levin</v>
          </cell>
          <cell r="B2259" t="str">
            <v>m</v>
          </cell>
        </row>
        <row r="2260">
          <cell r="A2260" t="str">
            <v>Lewis</v>
          </cell>
          <cell r="B2260" t="str">
            <v>m</v>
          </cell>
        </row>
        <row r="2261">
          <cell r="A2261" t="str">
            <v>Lex</v>
          </cell>
          <cell r="B2261" t="str">
            <v>m</v>
          </cell>
        </row>
        <row r="2262">
          <cell r="A2262" t="str">
            <v>Lexi</v>
          </cell>
          <cell r="B2262" t="str">
            <v>w</v>
          </cell>
        </row>
        <row r="2263">
          <cell r="A2263" t="str">
            <v>Leyla</v>
          </cell>
          <cell r="B2263" t="str">
            <v>w</v>
          </cell>
        </row>
        <row r="2264">
          <cell r="A2264" t="str">
            <v>Lia</v>
          </cell>
          <cell r="B2264" t="str">
            <v>w</v>
          </cell>
        </row>
        <row r="2265">
          <cell r="A2265" t="str">
            <v>Liam</v>
          </cell>
          <cell r="B2265" t="str">
            <v>m</v>
          </cell>
        </row>
        <row r="2266">
          <cell r="A2266" t="str">
            <v>Liana</v>
          </cell>
          <cell r="B2266" t="str">
            <v>w</v>
          </cell>
        </row>
        <row r="2267">
          <cell r="A2267" t="str">
            <v>Liane</v>
          </cell>
          <cell r="B2267" t="str">
            <v>w</v>
          </cell>
        </row>
        <row r="2268">
          <cell r="A2268" t="str">
            <v>Libold</v>
          </cell>
          <cell r="B2268" t="str">
            <v>m</v>
          </cell>
        </row>
        <row r="2269">
          <cell r="A2269" t="str">
            <v>Liborius</v>
          </cell>
          <cell r="B2269" t="str">
            <v>m</v>
          </cell>
        </row>
        <row r="2270">
          <cell r="A2270" t="str">
            <v>Lidda</v>
          </cell>
          <cell r="B2270" t="str">
            <v>w</v>
          </cell>
        </row>
        <row r="2271">
          <cell r="A2271" t="str">
            <v>Lies</v>
          </cell>
          <cell r="B2271" t="str">
            <v>w</v>
          </cell>
        </row>
        <row r="2272">
          <cell r="A2272" t="str">
            <v>Liesel</v>
          </cell>
          <cell r="B2272" t="str">
            <v>w</v>
          </cell>
        </row>
        <row r="2273">
          <cell r="A2273" t="str">
            <v>Lieselotte</v>
          </cell>
          <cell r="B2273" t="str">
            <v>w</v>
          </cell>
        </row>
        <row r="2274">
          <cell r="A2274" t="str">
            <v>Liesl</v>
          </cell>
          <cell r="B2274" t="str">
            <v>w</v>
          </cell>
        </row>
        <row r="2275">
          <cell r="A2275" t="str">
            <v>Lil</v>
          </cell>
          <cell r="B2275" t="str">
            <v>w</v>
          </cell>
        </row>
        <row r="2276">
          <cell r="A2276" t="str">
            <v>Lili</v>
          </cell>
          <cell r="B2276" t="str">
            <v>w</v>
          </cell>
        </row>
        <row r="2277">
          <cell r="A2277" t="str">
            <v>Lilith</v>
          </cell>
          <cell r="B2277" t="str">
            <v>w</v>
          </cell>
        </row>
        <row r="2278">
          <cell r="A2278" t="str">
            <v>Lilli</v>
          </cell>
          <cell r="B2278" t="str">
            <v>w</v>
          </cell>
        </row>
        <row r="2279">
          <cell r="A2279" t="str">
            <v>Lilo</v>
          </cell>
          <cell r="B2279" t="str">
            <v>w</v>
          </cell>
        </row>
        <row r="2280">
          <cell r="A2280" t="str">
            <v>Lina</v>
          </cell>
          <cell r="B2280" t="str">
            <v>w</v>
          </cell>
        </row>
        <row r="2281">
          <cell r="A2281" t="str">
            <v>Linchen</v>
          </cell>
          <cell r="B2281" t="str">
            <v>w</v>
          </cell>
        </row>
        <row r="2282">
          <cell r="A2282" t="str">
            <v>Linda</v>
          </cell>
          <cell r="B2282" t="str">
            <v>w</v>
          </cell>
        </row>
        <row r="2283">
          <cell r="A2283" t="str">
            <v>Lindberg</v>
          </cell>
          <cell r="B2283" t="str">
            <v>m</v>
          </cell>
        </row>
        <row r="2284">
          <cell r="A2284" t="str">
            <v>Line</v>
          </cell>
          <cell r="B2284" t="str">
            <v>w</v>
          </cell>
        </row>
        <row r="2285">
          <cell r="A2285" t="str">
            <v>Linn</v>
          </cell>
          <cell r="B2285" t="str">
            <v>m</v>
          </cell>
        </row>
        <row r="2286">
          <cell r="A2286" t="str">
            <v>Lino</v>
          </cell>
          <cell r="B2286" t="str">
            <v>m</v>
          </cell>
        </row>
        <row r="2287">
          <cell r="A2287" t="str">
            <v>Linus</v>
          </cell>
          <cell r="B2287" t="str">
            <v>m</v>
          </cell>
        </row>
        <row r="2288">
          <cell r="A2288" t="str">
            <v>Lioba</v>
          </cell>
          <cell r="B2288" t="str">
            <v>w</v>
          </cell>
        </row>
        <row r="2289">
          <cell r="A2289" t="str">
            <v>Lion</v>
          </cell>
          <cell r="B2289" t="str">
            <v>m</v>
          </cell>
        </row>
        <row r="2290">
          <cell r="A2290" t="str">
            <v>Lionel</v>
          </cell>
          <cell r="B2290" t="str">
            <v>m</v>
          </cell>
        </row>
        <row r="2291">
          <cell r="A2291" t="str">
            <v>Lionello</v>
          </cell>
          <cell r="B2291" t="str">
            <v>m</v>
          </cell>
        </row>
        <row r="2292">
          <cell r="A2292" t="str">
            <v>Lisa</v>
          </cell>
          <cell r="B2292" t="str">
            <v>w</v>
          </cell>
        </row>
        <row r="2293">
          <cell r="A2293" t="str">
            <v>Lisbeth</v>
          </cell>
          <cell r="B2293" t="str">
            <v>w</v>
          </cell>
        </row>
        <row r="2294">
          <cell r="A2294" t="str">
            <v>Lise</v>
          </cell>
          <cell r="B2294" t="str">
            <v>w</v>
          </cell>
        </row>
        <row r="2295">
          <cell r="A2295" t="str">
            <v>Liselotte</v>
          </cell>
          <cell r="B2295" t="str">
            <v>w</v>
          </cell>
        </row>
        <row r="2296">
          <cell r="A2296" t="str">
            <v>Lisenka</v>
          </cell>
          <cell r="B2296" t="str">
            <v>w</v>
          </cell>
        </row>
        <row r="2297">
          <cell r="A2297" t="str">
            <v>Lisetta</v>
          </cell>
          <cell r="B2297" t="str">
            <v>w</v>
          </cell>
        </row>
        <row r="2298">
          <cell r="A2298" t="str">
            <v>Lisette</v>
          </cell>
          <cell r="B2298" t="str">
            <v>w</v>
          </cell>
        </row>
        <row r="2299">
          <cell r="A2299" t="str">
            <v>Lissy</v>
          </cell>
          <cell r="B2299" t="str">
            <v>w</v>
          </cell>
        </row>
        <row r="2300">
          <cell r="A2300" t="str">
            <v>Livi</v>
          </cell>
          <cell r="B2300" t="str">
            <v>w</v>
          </cell>
        </row>
        <row r="2301">
          <cell r="A2301" t="str">
            <v>Livia</v>
          </cell>
          <cell r="B2301" t="str">
            <v>w</v>
          </cell>
        </row>
        <row r="2302">
          <cell r="A2302" t="str">
            <v>Livie</v>
          </cell>
          <cell r="B2302" t="str">
            <v>w</v>
          </cell>
        </row>
        <row r="2303">
          <cell r="A2303" t="str">
            <v>Livio</v>
          </cell>
          <cell r="B2303" t="str">
            <v>m</v>
          </cell>
        </row>
        <row r="2304">
          <cell r="A2304" t="str">
            <v>Livvi</v>
          </cell>
          <cell r="B2304" t="str">
            <v>w</v>
          </cell>
        </row>
        <row r="2305">
          <cell r="A2305" t="str">
            <v>Lizzy</v>
          </cell>
          <cell r="B2305" t="str">
            <v>w</v>
          </cell>
        </row>
        <row r="2306">
          <cell r="A2306" t="str">
            <v>Loisl</v>
          </cell>
          <cell r="B2306" t="str">
            <v>m</v>
          </cell>
        </row>
        <row r="2307">
          <cell r="A2307" t="str">
            <v>Lola</v>
          </cell>
          <cell r="B2307" t="str">
            <v>w</v>
          </cell>
        </row>
        <row r="2308">
          <cell r="A2308" t="str">
            <v>Lolo</v>
          </cell>
          <cell r="B2308" t="str">
            <v>w</v>
          </cell>
        </row>
        <row r="2309">
          <cell r="A2309" t="str">
            <v>Lone</v>
          </cell>
          <cell r="B2309" t="str">
            <v>w</v>
          </cell>
        </row>
        <row r="2310">
          <cell r="A2310" t="str">
            <v>Lorchen</v>
          </cell>
          <cell r="B2310" t="str">
            <v>w</v>
          </cell>
        </row>
        <row r="2311">
          <cell r="A2311" t="str">
            <v>Lore</v>
          </cell>
          <cell r="B2311" t="str">
            <v>w</v>
          </cell>
        </row>
        <row r="2312">
          <cell r="A2312" t="str">
            <v>Lorelei</v>
          </cell>
          <cell r="B2312" t="str">
            <v>w</v>
          </cell>
        </row>
        <row r="2313">
          <cell r="A2313" t="str">
            <v>Lorelia</v>
          </cell>
          <cell r="B2313" t="str">
            <v>w</v>
          </cell>
        </row>
        <row r="2314">
          <cell r="A2314" t="str">
            <v>Lorelie</v>
          </cell>
          <cell r="B2314" t="str">
            <v>w</v>
          </cell>
        </row>
        <row r="2315">
          <cell r="A2315" t="str">
            <v>Lorena</v>
          </cell>
          <cell r="B2315" t="str">
            <v>w</v>
          </cell>
        </row>
        <row r="2316">
          <cell r="A2316" t="str">
            <v>Loreno</v>
          </cell>
          <cell r="B2316" t="str">
            <v>m</v>
          </cell>
        </row>
        <row r="2317">
          <cell r="A2317" t="str">
            <v>Lorenz</v>
          </cell>
          <cell r="B2317" t="str">
            <v>m</v>
          </cell>
        </row>
        <row r="2318">
          <cell r="A2318" t="str">
            <v>Lorenza</v>
          </cell>
          <cell r="B2318" t="str">
            <v>w</v>
          </cell>
        </row>
        <row r="2319">
          <cell r="A2319" t="str">
            <v>Lorenzo</v>
          </cell>
          <cell r="B2319" t="str">
            <v>m</v>
          </cell>
        </row>
        <row r="2320">
          <cell r="A2320" t="str">
            <v>Loretta</v>
          </cell>
          <cell r="B2320" t="str">
            <v>w</v>
          </cell>
        </row>
        <row r="2321">
          <cell r="A2321" t="str">
            <v>Lorette</v>
          </cell>
          <cell r="B2321" t="str">
            <v>w</v>
          </cell>
        </row>
        <row r="2322">
          <cell r="A2322" t="str">
            <v>Loring</v>
          </cell>
          <cell r="B2322" t="str">
            <v>m</v>
          </cell>
        </row>
        <row r="2323">
          <cell r="A2323" t="str">
            <v>Loris</v>
          </cell>
          <cell r="B2323" t="str">
            <v>m</v>
          </cell>
        </row>
        <row r="2324">
          <cell r="A2324" t="str">
            <v>Lothar</v>
          </cell>
          <cell r="B2324" t="str">
            <v>m</v>
          </cell>
        </row>
        <row r="2325">
          <cell r="A2325" t="str">
            <v>Lottchen</v>
          </cell>
          <cell r="B2325" t="str">
            <v>w</v>
          </cell>
        </row>
        <row r="2326">
          <cell r="A2326" t="str">
            <v>Lotte</v>
          </cell>
          <cell r="B2326" t="str">
            <v>w</v>
          </cell>
        </row>
        <row r="2327">
          <cell r="A2327" t="str">
            <v>Louanna</v>
          </cell>
          <cell r="B2327" t="str">
            <v>w</v>
          </cell>
        </row>
        <row r="2328">
          <cell r="A2328" t="str">
            <v>Louanne</v>
          </cell>
          <cell r="B2328" t="str">
            <v>w</v>
          </cell>
        </row>
        <row r="2329">
          <cell r="A2329" t="str">
            <v>Louis</v>
          </cell>
          <cell r="B2329" t="str">
            <v>m</v>
          </cell>
        </row>
        <row r="2330">
          <cell r="A2330" t="str">
            <v>Louise</v>
          </cell>
          <cell r="B2330" t="str">
            <v>w</v>
          </cell>
        </row>
        <row r="2331">
          <cell r="A2331" t="str">
            <v>Loveleen</v>
          </cell>
          <cell r="B2331" t="str">
            <v>w</v>
          </cell>
        </row>
        <row r="2332">
          <cell r="A2332" t="str">
            <v>Luana</v>
          </cell>
          <cell r="B2332" t="str">
            <v>w</v>
          </cell>
        </row>
        <row r="2333">
          <cell r="A2333" t="str">
            <v>Luane</v>
          </cell>
          <cell r="B2333" t="str">
            <v>w</v>
          </cell>
        </row>
        <row r="2334">
          <cell r="A2334" t="str">
            <v>Luc</v>
          </cell>
          <cell r="B2334" t="str">
            <v>m</v>
          </cell>
        </row>
        <row r="2335">
          <cell r="A2335" t="str">
            <v>Luca</v>
          </cell>
          <cell r="B2335" t="str">
            <v>m</v>
          </cell>
        </row>
        <row r="2336">
          <cell r="A2336" t="str">
            <v>Luca</v>
          </cell>
          <cell r="B2336" t="str">
            <v>w</v>
          </cell>
        </row>
        <row r="2337">
          <cell r="A2337" t="str">
            <v>Lucas</v>
          </cell>
          <cell r="B2337" t="str">
            <v>m</v>
          </cell>
        </row>
        <row r="2338">
          <cell r="A2338" t="str">
            <v>Lucia</v>
          </cell>
          <cell r="B2338" t="str">
            <v>w</v>
          </cell>
        </row>
        <row r="2339">
          <cell r="A2339" t="str">
            <v>Luciana</v>
          </cell>
          <cell r="B2339" t="str">
            <v>w</v>
          </cell>
        </row>
        <row r="2340">
          <cell r="A2340" t="str">
            <v>Luciane</v>
          </cell>
          <cell r="B2340" t="str">
            <v>w</v>
          </cell>
        </row>
        <row r="2341">
          <cell r="A2341" t="str">
            <v>Lucie</v>
          </cell>
          <cell r="B2341" t="str">
            <v>w</v>
          </cell>
        </row>
        <row r="2342">
          <cell r="A2342" t="str">
            <v>Lucilla</v>
          </cell>
          <cell r="B2342" t="str">
            <v>w</v>
          </cell>
        </row>
        <row r="2343">
          <cell r="A2343" t="str">
            <v>Lucy</v>
          </cell>
          <cell r="B2343" t="str">
            <v>w</v>
          </cell>
        </row>
        <row r="2344">
          <cell r="A2344" t="str">
            <v>Ludger</v>
          </cell>
          <cell r="B2344" t="str">
            <v>m</v>
          </cell>
        </row>
        <row r="2345">
          <cell r="A2345" t="str">
            <v>Ludmila</v>
          </cell>
          <cell r="B2345" t="str">
            <v>w</v>
          </cell>
        </row>
        <row r="2346">
          <cell r="A2346" t="str">
            <v>Ludmilla</v>
          </cell>
          <cell r="B2346" t="str">
            <v>w</v>
          </cell>
        </row>
        <row r="2347">
          <cell r="A2347" t="str">
            <v>Ludolf</v>
          </cell>
          <cell r="B2347" t="str">
            <v>m</v>
          </cell>
        </row>
        <row r="2348">
          <cell r="A2348" t="str">
            <v>Ludovico</v>
          </cell>
          <cell r="B2348" t="str">
            <v>m</v>
          </cell>
        </row>
        <row r="2349">
          <cell r="A2349" t="str">
            <v>Ludovicus</v>
          </cell>
          <cell r="B2349" t="str">
            <v>m</v>
          </cell>
        </row>
        <row r="2350">
          <cell r="A2350" t="str">
            <v>Ludwig</v>
          </cell>
          <cell r="B2350" t="str">
            <v>m</v>
          </cell>
        </row>
        <row r="2351">
          <cell r="A2351" t="str">
            <v>Ludwin</v>
          </cell>
          <cell r="B2351" t="str">
            <v>m</v>
          </cell>
        </row>
        <row r="2352">
          <cell r="A2352" t="str">
            <v>Ludwina</v>
          </cell>
          <cell r="B2352" t="str">
            <v>w</v>
          </cell>
        </row>
        <row r="2353">
          <cell r="A2353" t="str">
            <v>Ludwog</v>
          </cell>
          <cell r="B2353" t="str">
            <v>m</v>
          </cell>
        </row>
        <row r="2354">
          <cell r="A2354" t="str">
            <v>Luglio</v>
          </cell>
          <cell r="B2354" t="str">
            <v>m</v>
          </cell>
        </row>
        <row r="2355">
          <cell r="A2355" t="str">
            <v>Luigi</v>
          </cell>
          <cell r="B2355" t="str">
            <v>m</v>
          </cell>
        </row>
        <row r="2356">
          <cell r="A2356" t="str">
            <v>Luis</v>
          </cell>
          <cell r="B2356" t="str">
            <v>m</v>
          </cell>
        </row>
        <row r="2357">
          <cell r="A2357" t="str">
            <v>Luisa</v>
          </cell>
          <cell r="B2357" t="str">
            <v>w</v>
          </cell>
        </row>
        <row r="2358">
          <cell r="A2358" t="str">
            <v>Luise</v>
          </cell>
          <cell r="B2358" t="str">
            <v>w</v>
          </cell>
        </row>
        <row r="2359">
          <cell r="A2359" t="str">
            <v>Luitpold</v>
          </cell>
          <cell r="B2359" t="str">
            <v>m</v>
          </cell>
        </row>
        <row r="2360">
          <cell r="A2360" t="str">
            <v>Luka</v>
          </cell>
          <cell r="B2360" t="str">
            <v>m</v>
          </cell>
        </row>
        <row r="2361">
          <cell r="A2361" t="str">
            <v>Lukas</v>
          </cell>
          <cell r="B2361" t="str">
            <v>m</v>
          </cell>
        </row>
        <row r="2362">
          <cell r="A2362" t="str">
            <v>Luke</v>
          </cell>
          <cell r="B2362" t="str">
            <v>m</v>
          </cell>
        </row>
        <row r="2363">
          <cell r="A2363" t="str">
            <v>Lukretia</v>
          </cell>
          <cell r="B2363" t="str">
            <v>w</v>
          </cell>
        </row>
        <row r="2364">
          <cell r="A2364" t="str">
            <v>Lulu</v>
          </cell>
          <cell r="B2364" t="str">
            <v>w</v>
          </cell>
        </row>
        <row r="2365">
          <cell r="A2365" t="str">
            <v>Luna</v>
          </cell>
          <cell r="B2365" t="str">
            <v>w</v>
          </cell>
        </row>
        <row r="2366">
          <cell r="A2366" t="str">
            <v>Lupe</v>
          </cell>
          <cell r="B2366" t="str">
            <v>w</v>
          </cell>
        </row>
        <row r="2367">
          <cell r="A2367" t="str">
            <v>Lurleen</v>
          </cell>
          <cell r="B2367" t="str">
            <v>w</v>
          </cell>
        </row>
        <row r="2368">
          <cell r="A2368" t="str">
            <v>Luther</v>
          </cell>
          <cell r="B2368" t="str">
            <v>m</v>
          </cell>
        </row>
        <row r="2369">
          <cell r="A2369" t="str">
            <v>Lutz</v>
          </cell>
          <cell r="B2369" t="str">
            <v>m</v>
          </cell>
        </row>
        <row r="2370">
          <cell r="A2370" t="str">
            <v>Luwana</v>
          </cell>
          <cell r="B2370" t="str">
            <v>w</v>
          </cell>
        </row>
        <row r="2371">
          <cell r="A2371" t="str">
            <v>Luwanna</v>
          </cell>
          <cell r="B2371" t="str">
            <v>w</v>
          </cell>
        </row>
        <row r="2372">
          <cell r="A2372" t="str">
            <v>Luwanne</v>
          </cell>
          <cell r="B2372" t="str">
            <v>w</v>
          </cell>
        </row>
        <row r="2373">
          <cell r="A2373" t="str">
            <v>Luzia</v>
          </cell>
          <cell r="B2373" t="str">
            <v>w</v>
          </cell>
        </row>
        <row r="2374">
          <cell r="A2374" t="str">
            <v>Luzian</v>
          </cell>
          <cell r="B2374" t="str">
            <v>m</v>
          </cell>
        </row>
        <row r="2375">
          <cell r="A2375" t="str">
            <v>Luzie</v>
          </cell>
          <cell r="B2375" t="str">
            <v>w</v>
          </cell>
        </row>
        <row r="2376">
          <cell r="A2376" t="str">
            <v>Lydia</v>
          </cell>
          <cell r="B2376" t="str">
            <v>w</v>
          </cell>
        </row>
        <row r="2377">
          <cell r="A2377" t="str">
            <v>Lyndon</v>
          </cell>
          <cell r="B2377" t="str">
            <v>m</v>
          </cell>
        </row>
        <row r="2378">
          <cell r="A2378" t="str">
            <v>Lynn</v>
          </cell>
          <cell r="B2378" t="str">
            <v>w</v>
          </cell>
        </row>
        <row r="2379">
          <cell r="A2379" t="str">
            <v>Lynn-Marie</v>
          </cell>
          <cell r="B2379" t="str">
            <v>w</v>
          </cell>
        </row>
        <row r="2380">
          <cell r="A2380" t="str">
            <v>Lyonel</v>
          </cell>
          <cell r="B2380" t="str">
            <v>m</v>
          </cell>
        </row>
        <row r="2381">
          <cell r="A2381" t="str">
            <v>Lysander</v>
          </cell>
          <cell r="B2381" t="str">
            <v>m</v>
          </cell>
        </row>
        <row r="2382">
          <cell r="A2382" t="str">
            <v>Madeleine</v>
          </cell>
          <cell r="B2382" t="str">
            <v>w</v>
          </cell>
        </row>
        <row r="2383">
          <cell r="A2383" t="str">
            <v>Madita</v>
          </cell>
          <cell r="B2383" t="str">
            <v>w</v>
          </cell>
        </row>
        <row r="2384">
          <cell r="A2384" t="str">
            <v>Madlen</v>
          </cell>
          <cell r="B2384" t="str">
            <v>w</v>
          </cell>
        </row>
        <row r="2385">
          <cell r="A2385" t="str">
            <v>Mady</v>
          </cell>
          <cell r="B2385" t="str">
            <v>w</v>
          </cell>
        </row>
        <row r="2386">
          <cell r="A2386" t="str">
            <v>Mafalda</v>
          </cell>
          <cell r="B2386" t="str">
            <v>w</v>
          </cell>
        </row>
        <row r="2387">
          <cell r="A2387" t="str">
            <v>Magda</v>
          </cell>
          <cell r="B2387" t="str">
            <v>w</v>
          </cell>
        </row>
        <row r="2388">
          <cell r="A2388" t="str">
            <v>Magdalen</v>
          </cell>
          <cell r="B2388" t="str">
            <v>w</v>
          </cell>
        </row>
        <row r="2389">
          <cell r="A2389" t="str">
            <v>Magdalena</v>
          </cell>
          <cell r="B2389" t="str">
            <v>w</v>
          </cell>
        </row>
        <row r="2390">
          <cell r="A2390" t="str">
            <v>Maggy</v>
          </cell>
          <cell r="B2390" t="str">
            <v>w</v>
          </cell>
        </row>
        <row r="2391">
          <cell r="A2391" t="str">
            <v>Maginhart</v>
          </cell>
          <cell r="B2391" t="str">
            <v>m</v>
          </cell>
        </row>
        <row r="2392">
          <cell r="A2392" t="str">
            <v>Magnus</v>
          </cell>
          <cell r="B2392" t="str">
            <v>m</v>
          </cell>
        </row>
        <row r="2393">
          <cell r="A2393" t="str">
            <v>Mahmoud</v>
          </cell>
          <cell r="B2393" t="str">
            <v>m</v>
          </cell>
        </row>
        <row r="2394">
          <cell r="A2394" t="str">
            <v>Maik</v>
          </cell>
          <cell r="B2394" t="str">
            <v>m</v>
          </cell>
        </row>
        <row r="2395">
          <cell r="A2395" t="str">
            <v>Maika</v>
          </cell>
          <cell r="B2395" t="str">
            <v>w</v>
          </cell>
        </row>
        <row r="2396">
          <cell r="A2396" t="str">
            <v>Maike</v>
          </cell>
          <cell r="B2396" t="str">
            <v>w</v>
          </cell>
        </row>
        <row r="2397">
          <cell r="A2397" t="str">
            <v>Maiken</v>
          </cell>
          <cell r="B2397" t="str">
            <v>w</v>
          </cell>
        </row>
        <row r="2398">
          <cell r="A2398" t="str">
            <v>Mailke</v>
          </cell>
          <cell r="B2398" t="str">
            <v>w</v>
          </cell>
        </row>
        <row r="2399">
          <cell r="A2399" t="str">
            <v>Maira</v>
          </cell>
          <cell r="B2399" t="str">
            <v>w</v>
          </cell>
        </row>
        <row r="2400">
          <cell r="A2400" t="str">
            <v>Mairin</v>
          </cell>
          <cell r="B2400" t="str">
            <v>w</v>
          </cell>
        </row>
        <row r="2401">
          <cell r="A2401" t="str">
            <v>Maja</v>
          </cell>
          <cell r="B2401" t="str">
            <v>w</v>
          </cell>
        </row>
        <row r="2402">
          <cell r="A2402" t="str">
            <v>Malchen</v>
          </cell>
          <cell r="B2402" t="str">
            <v>w</v>
          </cell>
        </row>
        <row r="2403">
          <cell r="A2403" t="str">
            <v>Male</v>
          </cell>
          <cell r="B2403" t="str">
            <v>w</v>
          </cell>
        </row>
        <row r="2404">
          <cell r="A2404" t="str">
            <v>Malenka</v>
          </cell>
          <cell r="B2404" t="str">
            <v>w</v>
          </cell>
        </row>
        <row r="2405">
          <cell r="A2405" t="str">
            <v>Malgorzata</v>
          </cell>
          <cell r="B2405" t="str">
            <v>m</v>
          </cell>
        </row>
        <row r="2406">
          <cell r="A2406" t="str">
            <v>Malica</v>
          </cell>
          <cell r="B2406" t="str">
            <v>w</v>
          </cell>
        </row>
        <row r="2407">
          <cell r="A2407" t="str">
            <v>Malik</v>
          </cell>
          <cell r="B2407" t="str">
            <v>m</v>
          </cell>
        </row>
        <row r="2408">
          <cell r="A2408" t="str">
            <v>Malin</v>
          </cell>
          <cell r="B2408" t="str">
            <v>m</v>
          </cell>
        </row>
        <row r="2409">
          <cell r="A2409" t="str">
            <v>Malin</v>
          </cell>
          <cell r="B2409" t="str">
            <v>w</v>
          </cell>
        </row>
        <row r="2410">
          <cell r="A2410" t="str">
            <v>Malina</v>
          </cell>
          <cell r="B2410" t="str">
            <v>w</v>
          </cell>
        </row>
        <row r="2411">
          <cell r="A2411" t="str">
            <v>Malou</v>
          </cell>
          <cell r="B2411" t="str">
            <v>m</v>
          </cell>
        </row>
        <row r="2412">
          <cell r="A2412" t="str">
            <v>Malte</v>
          </cell>
          <cell r="B2412" t="str">
            <v>m</v>
          </cell>
        </row>
        <row r="2413">
          <cell r="A2413" t="str">
            <v>Malvin</v>
          </cell>
          <cell r="B2413" t="str">
            <v>m</v>
          </cell>
        </row>
        <row r="2414">
          <cell r="A2414" t="str">
            <v>Malwin</v>
          </cell>
          <cell r="B2414" t="str">
            <v>m</v>
          </cell>
        </row>
        <row r="2415">
          <cell r="A2415" t="str">
            <v>Mandel</v>
          </cell>
          <cell r="B2415" t="str">
            <v>m</v>
          </cell>
        </row>
        <row r="2416">
          <cell r="A2416" t="str">
            <v>Mandy</v>
          </cell>
          <cell r="B2416" t="str">
            <v>w</v>
          </cell>
        </row>
        <row r="2417">
          <cell r="A2417" t="str">
            <v>Manfred</v>
          </cell>
          <cell r="B2417" t="str">
            <v>m</v>
          </cell>
        </row>
        <row r="2418">
          <cell r="A2418" t="str">
            <v>Manfried</v>
          </cell>
          <cell r="B2418" t="str">
            <v>m</v>
          </cell>
        </row>
        <row r="2419">
          <cell r="A2419" t="str">
            <v>Mani</v>
          </cell>
          <cell r="B2419" t="str">
            <v>m</v>
          </cell>
        </row>
        <row r="2420">
          <cell r="A2420" t="str">
            <v>Mania</v>
          </cell>
          <cell r="B2420" t="str">
            <v>w</v>
          </cell>
        </row>
        <row r="2421">
          <cell r="A2421" t="str">
            <v>Manilo</v>
          </cell>
          <cell r="B2421" t="str">
            <v>m</v>
          </cell>
        </row>
        <row r="2422">
          <cell r="A2422" t="str">
            <v>Manja</v>
          </cell>
          <cell r="B2422" t="str">
            <v>w</v>
          </cell>
        </row>
        <row r="2423">
          <cell r="A2423" t="str">
            <v>Manjana</v>
          </cell>
          <cell r="B2423" t="str">
            <v>w</v>
          </cell>
        </row>
        <row r="2424">
          <cell r="A2424" t="str">
            <v>Manolito</v>
          </cell>
          <cell r="B2424" t="str">
            <v>m</v>
          </cell>
        </row>
        <row r="2425">
          <cell r="A2425" t="str">
            <v>Manolo</v>
          </cell>
          <cell r="B2425" t="str">
            <v>m</v>
          </cell>
        </row>
        <row r="2426">
          <cell r="A2426" t="str">
            <v>Manuel</v>
          </cell>
          <cell r="B2426" t="str">
            <v>m</v>
          </cell>
        </row>
        <row r="2427">
          <cell r="A2427" t="str">
            <v>Manuela</v>
          </cell>
          <cell r="B2427" t="str">
            <v>w</v>
          </cell>
        </row>
        <row r="2428">
          <cell r="A2428" t="str">
            <v>Manuella</v>
          </cell>
          <cell r="B2428" t="str">
            <v>w</v>
          </cell>
        </row>
        <row r="2429">
          <cell r="A2429" t="str">
            <v>Many</v>
          </cell>
          <cell r="B2429" t="str">
            <v>m</v>
          </cell>
        </row>
        <row r="2430">
          <cell r="A2430" t="str">
            <v>Mar.</v>
          </cell>
          <cell r="B2430" t="str">
            <v>m</v>
          </cell>
        </row>
        <row r="2431">
          <cell r="A2431" t="str">
            <v>Mara</v>
          </cell>
          <cell r="B2431" t="str">
            <v>w</v>
          </cell>
        </row>
        <row r="2432">
          <cell r="A2432" t="str">
            <v>Marc</v>
          </cell>
          <cell r="B2432" t="str">
            <v>m</v>
          </cell>
        </row>
        <row r="2433">
          <cell r="A2433" t="str">
            <v>Marc Oliver</v>
          </cell>
          <cell r="B2433" t="str">
            <v>m</v>
          </cell>
        </row>
        <row r="2434">
          <cell r="A2434" t="str">
            <v>Marcel</v>
          </cell>
          <cell r="B2434" t="str">
            <v>m</v>
          </cell>
        </row>
        <row r="2435">
          <cell r="A2435" t="str">
            <v>Marcelin</v>
          </cell>
          <cell r="B2435" t="str">
            <v>w</v>
          </cell>
        </row>
        <row r="2436">
          <cell r="A2436" t="str">
            <v>Marcelina</v>
          </cell>
          <cell r="B2436" t="str">
            <v>w</v>
          </cell>
        </row>
        <row r="2437">
          <cell r="A2437" t="str">
            <v>Marceline</v>
          </cell>
          <cell r="B2437" t="str">
            <v>w</v>
          </cell>
        </row>
        <row r="2438">
          <cell r="A2438" t="str">
            <v>Marcella</v>
          </cell>
          <cell r="B2438" t="str">
            <v>w</v>
          </cell>
        </row>
        <row r="2439">
          <cell r="A2439" t="str">
            <v>Marcellina</v>
          </cell>
          <cell r="B2439" t="str">
            <v>w</v>
          </cell>
        </row>
        <row r="2440">
          <cell r="A2440" t="str">
            <v>Marcellinus</v>
          </cell>
          <cell r="B2440" t="str">
            <v>m</v>
          </cell>
        </row>
        <row r="2441">
          <cell r="A2441" t="str">
            <v>Marcello</v>
          </cell>
          <cell r="B2441" t="str">
            <v>m</v>
          </cell>
        </row>
        <row r="2442">
          <cell r="A2442" t="str">
            <v>Marcellus</v>
          </cell>
          <cell r="B2442" t="str">
            <v>m</v>
          </cell>
        </row>
        <row r="2443">
          <cell r="A2443" t="str">
            <v>Marcie</v>
          </cell>
          <cell r="B2443" t="str">
            <v>w</v>
          </cell>
        </row>
        <row r="2444">
          <cell r="A2444" t="str">
            <v>Marco</v>
          </cell>
          <cell r="B2444" t="str">
            <v>m</v>
          </cell>
        </row>
        <row r="2445">
          <cell r="A2445" t="str">
            <v>Marcus</v>
          </cell>
          <cell r="B2445" t="str">
            <v>m</v>
          </cell>
        </row>
        <row r="2446">
          <cell r="A2446" t="str">
            <v>Mareen</v>
          </cell>
          <cell r="B2446" t="str">
            <v>w</v>
          </cell>
        </row>
        <row r="2447">
          <cell r="A2447" t="str">
            <v>Marei</v>
          </cell>
          <cell r="B2447" t="str">
            <v>w</v>
          </cell>
        </row>
        <row r="2448">
          <cell r="A2448" t="str">
            <v>Mareike</v>
          </cell>
          <cell r="B2448" t="str">
            <v>w</v>
          </cell>
        </row>
        <row r="2449">
          <cell r="A2449" t="str">
            <v>Marek</v>
          </cell>
          <cell r="B2449" t="str">
            <v>m</v>
          </cell>
        </row>
        <row r="2450">
          <cell r="A2450" t="str">
            <v>Marelda</v>
          </cell>
          <cell r="B2450" t="str">
            <v>w</v>
          </cell>
        </row>
        <row r="2451">
          <cell r="A2451" t="str">
            <v>Maren</v>
          </cell>
          <cell r="B2451" t="str">
            <v>w</v>
          </cell>
        </row>
        <row r="2452">
          <cell r="A2452" t="str">
            <v>Marene</v>
          </cell>
          <cell r="B2452" t="str">
            <v>w</v>
          </cell>
        </row>
        <row r="2453">
          <cell r="A2453" t="str">
            <v>Marenus</v>
          </cell>
          <cell r="B2453" t="str">
            <v>m</v>
          </cell>
        </row>
        <row r="2454">
          <cell r="A2454" t="str">
            <v>Marga</v>
          </cell>
          <cell r="B2454" t="str">
            <v>w</v>
          </cell>
        </row>
        <row r="2455">
          <cell r="A2455" t="str">
            <v>Margareta</v>
          </cell>
          <cell r="B2455" t="str">
            <v>w</v>
          </cell>
        </row>
        <row r="2456">
          <cell r="A2456" t="str">
            <v>Margarete</v>
          </cell>
          <cell r="B2456" t="str">
            <v>w</v>
          </cell>
        </row>
        <row r="2457">
          <cell r="A2457" t="str">
            <v>Margaretha</v>
          </cell>
          <cell r="B2457" t="str">
            <v>w</v>
          </cell>
        </row>
        <row r="2458">
          <cell r="A2458" t="str">
            <v>Margarita</v>
          </cell>
          <cell r="B2458" t="str">
            <v>w</v>
          </cell>
        </row>
        <row r="2459">
          <cell r="A2459" t="str">
            <v>Margit</v>
          </cell>
          <cell r="B2459" t="str">
            <v>w</v>
          </cell>
        </row>
        <row r="2460">
          <cell r="A2460" t="str">
            <v>Margitta</v>
          </cell>
          <cell r="B2460" t="str">
            <v>w</v>
          </cell>
        </row>
        <row r="2461">
          <cell r="A2461" t="str">
            <v>Margot</v>
          </cell>
          <cell r="B2461" t="str">
            <v>w</v>
          </cell>
        </row>
        <row r="2462">
          <cell r="A2462" t="str">
            <v>Margret</v>
          </cell>
          <cell r="B2462" t="str">
            <v>w</v>
          </cell>
        </row>
        <row r="2463">
          <cell r="A2463" t="str">
            <v>Maria</v>
          </cell>
          <cell r="B2463" t="str">
            <v>w</v>
          </cell>
        </row>
        <row r="2464">
          <cell r="A2464" t="str">
            <v>Mariam</v>
          </cell>
          <cell r="B2464" t="str">
            <v>w</v>
          </cell>
        </row>
        <row r="2465">
          <cell r="A2465" t="str">
            <v>Marian</v>
          </cell>
          <cell r="B2465" t="str">
            <v>m</v>
          </cell>
        </row>
        <row r="2466">
          <cell r="A2466" t="str">
            <v>Marian</v>
          </cell>
          <cell r="B2466" t="str">
            <v>w</v>
          </cell>
        </row>
        <row r="2467">
          <cell r="A2467" t="str">
            <v>Mariana</v>
          </cell>
          <cell r="B2467" t="str">
            <v>w</v>
          </cell>
        </row>
        <row r="2468">
          <cell r="A2468" t="str">
            <v>Marianne</v>
          </cell>
          <cell r="B2468" t="str">
            <v>w</v>
          </cell>
        </row>
        <row r="2469">
          <cell r="A2469" t="str">
            <v>Mariano</v>
          </cell>
          <cell r="B2469" t="str">
            <v>m</v>
          </cell>
        </row>
        <row r="2470">
          <cell r="A2470" t="str">
            <v>Marie</v>
          </cell>
          <cell r="B2470" t="str">
            <v>w</v>
          </cell>
        </row>
        <row r="2471">
          <cell r="A2471" t="str">
            <v>Mariechen</v>
          </cell>
          <cell r="B2471" t="str">
            <v>w</v>
          </cell>
        </row>
        <row r="2472">
          <cell r="A2472" t="str">
            <v>Mariele</v>
          </cell>
          <cell r="B2472" t="str">
            <v>w</v>
          </cell>
        </row>
        <row r="2473">
          <cell r="A2473" t="str">
            <v>Mariella</v>
          </cell>
          <cell r="B2473" t="str">
            <v>w</v>
          </cell>
        </row>
        <row r="2474">
          <cell r="A2474" t="str">
            <v>Marieluise</v>
          </cell>
          <cell r="B2474" t="str">
            <v>w</v>
          </cell>
        </row>
        <row r="2475">
          <cell r="A2475" t="str">
            <v>Marie-Luise</v>
          </cell>
          <cell r="B2475" t="str">
            <v>w</v>
          </cell>
        </row>
        <row r="2476">
          <cell r="A2476" t="str">
            <v>Marietta</v>
          </cell>
          <cell r="B2476" t="str">
            <v>w</v>
          </cell>
        </row>
        <row r="2477">
          <cell r="A2477" t="str">
            <v>Marija</v>
          </cell>
          <cell r="B2477" t="str">
            <v>w</v>
          </cell>
        </row>
        <row r="2478">
          <cell r="A2478" t="str">
            <v>Marika</v>
          </cell>
          <cell r="B2478" t="str">
            <v>w</v>
          </cell>
        </row>
        <row r="2479">
          <cell r="A2479" t="str">
            <v>Marike</v>
          </cell>
          <cell r="B2479" t="str">
            <v>w</v>
          </cell>
        </row>
        <row r="2480">
          <cell r="A2480" t="str">
            <v>Marilena</v>
          </cell>
          <cell r="B2480" t="str">
            <v>w</v>
          </cell>
        </row>
        <row r="2481">
          <cell r="A2481" t="str">
            <v>Marilyn</v>
          </cell>
          <cell r="B2481" t="str">
            <v>w</v>
          </cell>
        </row>
        <row r="2482">
          <cell r="A2482" t="str">
            <v>Marin</v>
          </cell>
          <cell r="B2482" t="str">
            <v>m</v>
          </cell>
        </row>
        <row r="2483">
          <cell r="A2483" t="str">
            <v>Marina</v>
          </cell>
          <cell r="B2483" t="str">
            <v>w</v>
          </cell>
        </row>
        <row r="2484">
          <cell r="A2484" t="str">
            <v>Marinka</v>
          </cell>
          <cell r="B2484" t="str">
            <v>w</v>
          </cell>
        </row>
        <row r="2485">
          <cell r="A2485" t="str">
            <v>Marino</v>
          </cell>
          <cell r="B2485" t="str">
            <v>m</v>
          </cell>
        </row>
        <row r="2486">
          <cell r="A2486" t="str">
            <v>Marinus</v>
          </cell>
          <cell r="B2486" t="str">
            <v>m</v>
          </cell>
        </row>
        <row r="2487">
          <cell r="A2487" t="str">
            <v>Mario</v>
          </cell>
          <cell r="B2487" t="str">
            <v>m</v>
          </cell>
        </row>
        <row r="2488">
          <cell r="A2488" t="str">
            <v>Mariolino</v>
          </cell>
          <cell r="B2488" t="str">
            <v>m</v>
          </cell>
        </row>
        <row r="2489">
          <cell r="A2489" t="str">
            <v>Marion</v>
          </cell>
          <cell r="B2489" t="str">
            <v>w</v>
          </cell>
        </row>
        <row r="2490">
          <cell r="A2490" t="str">
            <v>Mariona</v>
          </cell>
          <cell r="B2490" t="str">
            <v>w</v>
          </cell>
        </row>
        <row r="2491">
          <cell r="A2491" t="str">
            <v>Marionna</v>
          </cell>
          <cell r="B2491" t="str">
            <v>w</v>
          </cell>
        </row>
        <row r="2492">
          <cell r="A2492" t="str">
            <v>Marit</v>
          </cell>
          <cell r="B2492" t="str">
            <v>w</v>
          </cell>
        </row>
        <row r="2493">
          <cell r="A2493" t="str">
            <v>Marita</v>
          </cell>
          <cell r="B2493" t="str">
            <v>w</v>
          </cell>
        </row>
        <row r="2494">
          <cell r="A2494" t="str">
            <v>Marius</v>
          </cell>
          <cell r="B2494" t="str">
            <v>m</v>
          </cell>
        </row>
        <row r="2495">
          <cell r="A2495" t="str">
            <v>Mark</v>
          </cell>
          <cell r="B2495" t="str">
            <v>m</v>
          </cell>
        </row>
        <row r="2496">
          <cell r="A2496" t="str">
            <v>Markes</v>
          </cell>
          <cell r="B2496" t="str">
            <v>m</v>
          </cell>
        </row>
        <row r="2497">
          <cell r="A2497" t="str">
            <v>Marko</v>
          </cell>
          <cell r="B2497" t="str">
            <v>m</v>
          </cell>
        </row>
        <row r="2498">
          <cell r="A2498" t="str">
            <v>Markus</v>
          </cell>
          <cell r="B2498" t="str">
            <v>m</v>
          </cell>
        </row>
        <row r="2499">
          <cell r="A2499" t="str">
            <v>Marlene</v>
          </cell>
          <cell r="B2499" t="str">
            <v>w</v>
          </cell>
        </row>
        <row r="2500">
          <cell r="A2500" t="str">
            <v>Marlies</v>
          </cell>
          <cell r="B2500" t="str">
            <v>w</v>
          </cell>
        </row>
        <row r="2501">
          <cell r="A2501" t="str">
            <v>Marlis</v>
          </cell>
          <cell r="B2501" t="str">
            <v>w</v>
          </cell>
        </row>
        <row r="2502">
          <cell r="A2502" t="str">
            <v>Marlon</v>
          </cell>
          <cell r="B2502" t="str">
            <v>w</v>
          </cell>
        </row>
        <row r="2503">
          <cell r="A2503" t="str">
            <v>Mart</v>
          </cell>
          <cell r="B2503" t="str">
            <v>m</v>
          </cell>
        </row>
        <row r="2504">
          <cell r="A2504" t="str">
            <v>Marta</v>
          </cell>
          <cell r="B2504" t="str">
            <v>w</v>
          </cell>
        </row>
        <row r="2505">
          <cell r="A2505" t="str">
            <v>Marten</v>
          </cell>
          <cell r="B2505" t="str">
            <v>m</v>
          </cell>
        </row>
        <row r="2506">
          <cell r="A2506" t="str">
            <v>Martha</v>
          </cell>
          <cell r="B2506" t="str">
            <v>w</v>
          </cell>
        </row>
        <row r="2507">
          <cell r="A2507" t="str">
            <v>Marti</v>
          </cell>
          <cell r="B2507" t="str">
            <v>m</v>
          </cell>
        </row>
        <row r="2508">
          <cell r="A2508" t="str">
            <v>Martin</v>
          </cell>
          <cell r="B2508" t="str">
            <v>m</v>
          </cell>
        </row>
        <row r="2509">
          <cell r="A2509" t="str">
            <v>Martina</v>
          </cell>
          <cell r="B2509" t="str">
            <v>w</v>
          </cell>
        </row>
        <row r="2510">
          <cell r="A2510" t="str">
            <v>Martine</v>
          </cell>
          <cell r="B2510" t="str">
            <v>w</v>
          </cell>
        </row>
        <row r="2511">
          <cell r="A2511" t="str">
            <v>Martino</v>
          </cell>
          <cell r="B2511" t="str">
            <v>m</v>
          </cell>
        </row>
        <row r="2512">
          <cell r="A2512" t="str">
            <v>Maruck</v>
          </cell>
          <cell r="B2512" t="str">
            <v>m</v>
          </cell>
        </row>
        <row r="2513">
          <cell r="A2513" t="str">
            <v>Marvin</v>
          </cell>
          <cell r="B2513" t="str">
            <v>m</v>
          </cell>
        </row>
        <row r="2514">
          <cell r="A2514" t="str">
            <v>Marwin</v>
          </cell>
          <cell r="B2514" t="str">
            <v>m</v>
          </cell>
        </row>
        <row r="2515">
          <cell r="A2515" t="str">
            <v>Mary</v>
          </cell>
          <cell r="B2515" t="str">
            <v>w</v>
          </cell>
        </row>
        <row r="2516">
          <cell r="A2516" t="str">
            <v>Marzellus</v>
          </cell>
          <cell r="B2516" t="str">
            <v>m</v>
          </cell>
        </row>
        <row r="2517">
          <cell r="A2517" t="str">
            <v>Maschinka</v>
          </cell>
          <cell r="B2517" t="str">
            <v>w</v>
          </cell>
        </row>
        <row r="2518">
          <cell r="A2518" t="str">
            <v>Masha</v>
          </cell>
          <cell r="B2518" t="str">
            <v>w</v>
          </cell>
        </row>
        <row r="2519">
          <cell r="A2519" t="str">
            <v>Massoud</v>
          </cell>
          <cell r="B2519" t="str">
            <v>m</v>
          </cell>
        </row>
        <row r="2520">
          <cell r="A2520" t="str">
            <v>Mathew</v>
          </cell>
          <cell r="B2520" t="str">
            <v>m</v>
          </cell>
        </row>
        <row r="2521">
          <cell r="A2521" t="str">
            <v>Mathias</v>
          </cell>
          <cell r="B2521" t="str">
            <v>m</v>
          </cell>
        </row>
        <row r="2522">
          <cell r="A2522" t="str">
            <v>Mathieu</v>
          </cell>
          <cell r="B2522" t="str">
            <v>m</v>
          </cell>
        </row>
        <row r="2523">
          <cell r="A2523" t="str">
            <v>Mathilda</v>
          </cell>
          <cell r="B2523" t="str">
            <v>w</v>
          </cell>
        </row>
        <row r="2524">
          <cell r="A2524" t="str">
            <v>Mathilde</v>
          </cell>
          <cell r="B2524" t="str">
            <v>w</v>
          </cell>
        </row>
        <row r="2525">
          <cell r="A2525" t="str">
            <v>Matias</v>
          </cell>
          <cell r="B2525" t="str">
            <v>m</v>
          </cell>
        </row>
        <row r="2526">
          <cell r="A2526" t="str">
            <v>Matilde</v>
          </cell>
          <cell r="B2526" t="str">
            <v>w</v>
          </cell>
        </row>
        <row r="2527">
          <cell r="A2527" t="str">
            <v>Mats</v>
          </cell>
          <cell r="B2527" t="str">
            <v>m</v>
          </cell>
        </row>
        <row r="2528">
          <cell r="A2528" t="str">
            <v>Matteo</v>
          </cell>
          <cell r="B2528" t="str">
            <v>m</v>
          </cell>
        </row>
        <row r="2529">
          <cell r="A2529" t="str">
            <v>Mattes</v>
          </cell>
          <cell r="B2529" t="str">
            <v>m</v>
          </cell>
        </row>
        <row r="2530">
          <cell r="A2530" t="str">
            <v>Matthias</v>
          </cell>
          <cell r="B2530" t="str">
            <v>m</v>
          </cell>
        </row>
        <row r="2531">
          <cell r="A2531" t="str">
            <v>Mattias</v>
          </cell>
          <cell r="B2531" t="str">
            <v>m</v>
          </cell>
        </row>
        <row r="2532">
          <cell r="A2532" t="str">
            <v>Matty</v>
          </cell>
          <cell r="B2532" t="str">
            <v>m</v>
          </cell>
        </row>
        <row r="2533">
          <cell r="A2533" t="str">
            <v>Matze</v>
          </cell>
          <cell r="B2533" t="str">
            <v>m</v>
          </cell>
        </row>
        <row r="2534">
          <cell r="A2534" t="str">
            <v>Maura</v>
          </cell>
          <cell r="B2534" t="str">
            <v>w</v>
          </cell>
        </row>
        <row r="2535">
          <cell r="A2535" t="str">
            <v>Maureen</v>
          </cell>
          <cell r="B2535" t="str">
            <v>w</v>
          </cell>
        </row>
        <row r="2536">
          <cell r="A2536" t="str">
            <v>Maurice</v>
          </cell>
          <cell r="B2536" t="str">
            <v>m</v>
          </cell>
        </row>
        <row r="2537">
          <cell r="A2537" t="str">
            <v>Mauritius</v>
          </cell>
          <cell r="B2537" t="str">
            <v>m</v>
          </cell>
        </row>
        <row r="2538">
          <cell r="A2538" t="str">
            <v>Maurizio</v>
          </cell>
          <cell r="B2538" t="str">
            <v>m</v>
          </cell>
        </row>
        <row r="2539">
          <cell r="A2539" t="str">
            <v>Maurus</v>
          </cell>
          <cell r="B2539" t="str">
            <v>m</v>
          </cell>
        </row>
        <row r="2540">
          <cell r="A2540" t="str">
            <v>Max</v>
          </cell>
          <cell r="B2540" t="str">
            <v>m</v>
          </cell>
        </row>
        <row r="2541">
          <cell r="A2541" t="str">
            <v>Maxime</v>
          </cell>
          <cell r="B2541" t="str">
            <v>m</v>
          </cell>
        </row>
        <row r="2542">
          <cell r="A2542" t="str">
            <v>Maximilian</v>
          </cell>
          <cell r="B2542" t="str">
            <v>m</v>
          </cell>
        </row>
        <row r="2543">
          <cell r="A2543" t="str">
            <v>Maxine</v>
          </cell>
          <cell r="B2543" t="str">
            <v>w</v>
          </cell>
        </row>
        <row r="2544">
          <cell r="A2544" t="str">
            <v>May</v>
          </cell>
          <cell r="B2544" t="str">
            <v>w</v>
          </cell>
        </row>
        <row r="2545">
          <cell r="A2545" t="str">
            <v>Maya</v>
          </cell>
          <cell r="B2545" t="str">
            <v>w</v>
          </cell>
        </row>
        <row r="2546">
          <cell r="A2546" t="str">
            <v>Maynard</v>
          </cell>
          <cell r="B2546" t="str">
            <v>m</v>
          </cell>
        </row>
        <row r="2547">
          <cell r="A2547" t="str">
            <v>Mechthild</v>
          </cell>
          <cell r="B2547" t="str">
            <v>w</v>
          </cell>
        </row>
        <row r="2548">
          <cell r="A2548" t="str">
            <v>Mechthilde</v>
          </cell>
          <cell r="B2548" t="str">
            <v>w</v>
          </cell>
        </row>
        <row r="2549">
          <cell r="A2549" t="str">
            <v>Mechtild</v>
          </cell>
          <cell r="B2549" t="str">
            <v>w</v>
          </cell>
        </row>
        <row r="2550">
          <cell r="A2550" t="str">
            <v>Medwin</v>
          </cell>
          <cell r="B2550" t="str">
            <v>m</v>
          </cell>
        </row>
        <row r="2551">
          <cell r="A2551" t="str">
            <v>Mees</v>
          </cell>
          <cell r="B2551" t="str">
            <v>m</v>
          </cell>
        </row>
        <row r="2552">
          <cell r="A2552" t="str">
            <v>Mehdi</v>
          </cell>
          <cell r="B2552" t="str">
            <v>m</v>
          </cell>
        </row>
        <row r="2553">
          <cell r="A2553" t="str">
            <v>Mehmet</v>
          </cell>
          <cell r="B2553" t="str">
            <v>m</v>
          </cell>
        </row>
        <row r="2554">
          <cell r="A2554" t="str">
            <v>Meika</v>
          </cell>
          <cell r="B2554" t="str">
            <v>w</v>
          </cell>
        </row>
        <row r="2555">
          <cell r="A2555" t="str">
            <v>Meike</v>
          </cell>
          <cell r="B2555" t="str">
            <v>w</v>
          </cell>
        </row>
        <row r="2556">
          <cell r="A2556" t="str">
            <v>Meiken</v>
          </cell>
          <cell r="B2556" t="str">
            <v>w</v>
          </cell>
        </row>
        <row r="2557">
          <cell r="A2557" t="str">
            <v>Meinert</v>
          </cell>
          <cell r="B2557" t="str">
            <v>m</v>
          </cell>
        </row>
        <row r="2558">
          <cell r="A2558" t="str">
            <v>Meinhard</v>
          </cell>
          <cell r="B2558" t="str">
            <v>m</v>
          </cell>
        </row>
        <row r="2559">
          <cell r="A2559" t="str">
            <v>Mela</v>
          </cell>
          <cell r="B2559" t="str">
            <v>w</v>
          </cell>
        </row>
        <row r="2560">
          <cell r="A2560" t="str">
            <v>Melania</v>
          </cell>
          <cell r="B2560" t="str">
            <v>w</v>
          </cell>
        </row>
        <row r="2561">
          <cell r="A2561" t="str">
            <v>Melanie</v>
          </cell>
          <cell r="B2561" t="str">
            <v>w</v>
          </cell>
        </row>
        <row r="2562">
          <cell r="A2562" t="str">
            <v>Melchior</v>
          </cell>
          <cell r="B2562" t="str">
            <v>m</v>
          </cell>
        </row>
        <row r="2563">
          <cell r="A2563" t="str">
            <v>Melina</v>
          </cell>
          <cell r="B2563" t="str">
            <v>w</v>
          </cell>
        </row>
        <row r="2564">
          <cell r="A2564" t="str">
            <v>Meline</v>
          </cell>
          <cell r="B2564" t="str">
            <v>w</v>
          </cell>
        </row>
        <row r="2565">
          <cell r="A2565" t="str">
            <v>Melissa</v>
          </cell>
          <cell r="B2565" t="str">
            <v>w</v>
          </cell>
        </row>
        <row r="2566">
          <cell r="A2566" t="str">
            <v>Melitta</v>
          </cell>
          <cell r="B2566" t="str">
            <v>w</v>
          </cell>
        </row>
        <row r="2567">
          <cell r="A2567" t="str">
            <v>Melvin</v>
          </cell>
          <cell r="B2567" t="str">
            <v>m</v>
          </cell>
        </row>
        <row r="2568">
          <cell r="A2568" t="str">
            <v>Menachem</v>
          </cell>
          <cell r="B2568" t="str">
            <v>m</v>
          </cell>
        </row>
        <row r="2569">
          <cell r="A2569" t="str">
            <v>Menard</v>
          </cell>
          <cell r="B2569" t="str">
            <v>m</v>
          </cell>
        </row>
        <row r="2570">
          <cell r="A2570" t="str">
            <v>Mercedes</v>
          </cell>
          <cell r="B2570" t="str">
            <v>w</v>
          </cell>
        </row>
        <row r="2571">
          <cell r="A2571" t="str">
            <v>Meret</v>
          </cell>
          <cell r="B2571" t="str">
            <v>w</v>
          </cell>
        </row>
        <row r="2572">
          <cell r="A2572" t="str">
            <v>Meriel</v>
          </cell>
          <cell r="B2572" t="str">
            <v>w</v>
          </cell>
        </row>
        <row r="2573">
          <cell r="A2573" t="str">
            <v>Merle</v>
          </cell>
          <cell r="B2573" t="str">
            <v>w</v>
          </cell>
        </row>
        <row r="2574">
          <cell r="A2574" t="str">
            <v>Merlin</v>
          </cell>
          <cell r="B2574" t="str">
            <v>m</v>
          </cell>
        </row>
        <row r="2575">
          <cell r="A2575" t="str">
            <v>Merrell</v>
          </cell>
          <cell r="B2575" t="str">
            <v>m</v>
          </cell>
        </row>
        <row r="2576">
          <cell r="A2576" t="str">
            <v>Merrick</v>
          </cell>
          <cell r="B2576" t="str">
            <v>m</v>
          </cell>
        </row>
        <row r="2577">
          <cell r="A2577" t="str">
            <v>Merrill</v>
          </cell>
          <cell r="B2577" t="str">
            <v>m</v>
          </cell>
        </row>
        <row r="2578">
          <cell r="A2578" t="str">
            <v>Mertin</v>
          </cell>
          <cell r="B2578" t="str">
            <v>m</v>
          </cell>
        </row>
        <row r="2579">
          <cell r="A2579" t="str">
            <v>Merwin</v>
          </cell>
          <cell r="B2579" t="str">
            <v>m</v>
          </cell>
        </row>
        <row r="2580">
          <cell r="A2580" t="str">
            <v>Meta</v>
          </cell>
          <cell r="B2580" t="str">
            <v>w</v>
          </cell>
        </row>
        <row r="2581">
          <cell r="A2581" t="str">
            <v>Metin</v>
          </cell>
          <cell r="B2581" t="str">
            <v>m</v>
          </cell>
        </row>
        <row r="2582">
          <cell r="A2582" t="str">
            <v>Meus</v>
          </cell>
          <cell r="B2582" t="str">
            <v>m</v>
          </cell>
        </row>
        <row r="2583">
          <cell r="A2583" t="str">
            <v>Meyla</v>
          </cell>
          <cell r="B2583" t="str">
            <v>w</v>
          </cell>
        </row>
        <row r="2584">
          <cell r="A2584" t="str">
            <v>Mia</v>
          </cell>
          <cell r="B2584" t="str">
            <v>w</v>
          </cell>
        </row>
        <row r="2585">
          <cell r="A2585" t="str">
            <v>Micaela</v>
          </cell>
          <cell r="B2585" t="str">
            <v>w</v>
          </cell>
        </row>
        <row r="2586">
          <cell r="A2586" t="str">
            <v>MIchael</v>
          </cell>
          <cell r="B2586" t="str">
            <v>m</v>
          </cell>
        </row>
        <row r="2587">
          <cell r="A2587" t="str">
            <v>Michael</v>
          </cell>
          <cell r="B2587" t="str">
            <v>m</v>
          </cell>
        </row>
        <row r="2588">
          <cell r="A2588" t="str">
            <v>Michael Josef</v>
          </cell>
          <cell r="B2588" t="str">
            <v>m</v>
          </cell>
        </row>
        <row r="2589">
          <cell r="A2589" t="str">
            <v>Michaela</v>
          </cell>
          <cell r="B2589" t="str">
            <v>w</v>
          </cell>
        </row>
        <row r="2590">
          <cell r="A2590" t="str">
            <v>Michail</v>
          </cell>
          <cell r="B2590" t="str">
            <v>m</v>
          </cell>
        </row>
        <row r="2591">
          <cell r="A2591" t="str">
            <v>Michel</v>
          </cell>
          <cell r="B2591" t="str">
            <v>m</v>
          </cell>
        </row>
        <row r="2592">
          <cell r="A2592" t="str">
            <v>Michele</v>
          </cell>
          <cell r="B2592" t="str">
            <v>m</v>
          </cell>
        </row>
        <row r="2593">
          <cell r="A2593" t="str">
            <v>Michelle</v>
          </cell>
          <cell r="B2593" t="str">
            <v>w</v>
          </cell>
        </row>
        <row r="2594">
          <cell r="A2594" t="str">
            <v>Mick</v>
          </cell>
          <cell r="B2594" t="str">
            <v>m</v>
          </cell>
        </row>
        <row r="2595">
          <cell r="A2595" t="str">
            <v>Mieke</v>
          </cell>
          <cell r="B2595" t="str">
            <v>w</v>
          </cell>
        </row>
        <row r="2596">
          <cell r="A2596" t="str">
            <v>Miguel</v>
          </cell>
          <cell r="B2596" t="str">
            <v>m</v>
          </cell>
        </row>
        <row r="2597">
          <cell r="A2597" t="str">
            <v>Mika</v>
          </cell>
          <cell r="B2597" t="str">
            <v>m</v>
          </cell>
        </row>
        <row r="2598">
          <cell r="A2598" t="str">
            <v>Mike</v>
          </cell>
          <cell r="B2598" t="str">
            <v>m</v>
          </cell>
        </row>
        <row r="2599">
          <cell r="A2599" t="str">
            <v>Milan</v>
          </cell>
          <cell r="B2599" t="str">
            <v>m</v>
          </cell>
        </row>
        <row r="2600">
          <cell r="A2600" t="str">
            <v>Milena</v>
          </cell>
          <cell r="B2600" t="str">
            <v>w</v>
          </cell>
        </row>
        <row r="2601">
          <cell r="A2601" t="str">
            <v>Milina</v>
          </cell>
          <cell r="B2601" t="str">
            <v>w</v>
          </cell>
        </row>
        <row r="2602">
          <cell r="A2602" t="str">
            <v>Milko</v>
          </cell>
          <cell r="B2602" t="str">
            <v>m</v>
          </cell>
        </row>
        <row r="2603">
          <cell r="A2603" t="str">
            <v>Milo</v>
          </cell>
          <cell r="B2603" t="str">
            <v>m</v>
          </cell>
        </row>
        <row r="2604">
          <cell r="A2604" t="str">
            <v>Milto</v>
          </cell>
          <cell r="B2604" t="str">
            <v>m</v>
          </cell>
        </row>
        <row r="2605">
          <cell r="A2605" t="str">
            <v>Milva</v>
          </cell>
          <cell r="B2605" t="str">
            <v>w</v>
          </cell>
        </row>
        <row r="2606">
          <cell r="A2606" t="str">
            <v>Mina</v>
          </cell>
          <cell r="B2606" t="str">
            <v>w</v>
          </cell>
        </row>
        <row r="2607">
          <cell r="A2607" t="str">
            <v>Minchen</v>
          </cell>
          <cell r="B2607" t="str">
            <v>w</v>
          </cell>
        </row>
        <row r="2608">
          <cell r="A2608" t="str">
            <v>Minda</v>
          </cell>
          <cell r="B2608" t="str">
            <v>w</v>
          </cell>
        </row>
        <row r="2609">
          <cell r="A2609" t="str">
            <v>Mindy</v>
          </cell>
          <cell r="B2609" t="str">
            <v>w</v>
          </cell>
        </row>
        <row r="2610">
          <cell r="A2610" t="str">
            <v>Mine</v>
          </cell>
          <cell r="B2610" t="str">
            <v>w</v>
          </cell>
        </row>
        <row r="2611">
          <cell r="A2611" t="str">
            <v>Minerva</v>
          </cell>
          <cell r="B2611" t="str">
            <v>w</v>
          </cell>
        </row>
        <row r="2612">
          <cell r="A2612" t="str">
            <v>Minetta</v>
          </cell>
          <cell r="B2612" t="str">
            <v>w</v>
          </cell>
        </row>
        <row r="2613">
          <cell r="A2613" t="str">
            <v>Minette</v>
          </cell>
          <cell r="B2613" t="str">
            <v>w</v>
          </cell>
        </row>
        <row r="2614">
          <cell r="A2614" t="str">
            <v>Mingo</v>
          </cell>
          <cell r="B2614" t="str">
            <v>w</v>
          </cell>
        </row>
        <row r="2615">
          <cell r="A2615" t="str">
            <v>Minna</v>
          </cell>
          <cell r="B2615" t="str">
            <v>w</v>
          </cell>
        </row>
        <row r="2616">
          <cell r="A2616" t="str">
            <v>Minne</v>
          </cell>
          <cell r="B2616" t="str">
            <v>w</v>
          </cell>
        </row>
        <row r="2617">
          <cell r="A2617" t="str">
            <v>Minnie</v>
          </cell>
          <cell r="B2617" t="str">
            <v>w</v>
          </cell>
        </row>
        <row r="2618">
          <cell r="A2618" t="str">
            <v>Mino</v>
          </cell>
          <cell r="B2618" t="str">
            <v>m</v>
          </cell>
        </row>
        <row r="2619">
          <cell r="A2619" t="str">
            <v>Minta</v>
          </cell>
          <cell r="B2619" t="str">
            <v>w</v>
          </cell>
        </row>
        <row r="2620">
          <cell r="A2620" t="str">
            <v>Mira</v>
          </cell>
          <cell r="B2620" t="str">
            <v>w</v>
          </cell>
        </row>
        <row r="2621">
          <cell r="A2621" t="str">
            <v>Mirabell</v>
          </cell>
          <cell r="B2621" t="str">
            <v>w</v>
          </cell>
        </row>
        <row r="2622">
          <cell r="A2622" t="str">
            <v>Mirabella</v>
          </cell>
          <cell r="B2622" t="str">
            <v>w</v>
          </cell>
        </row>
        <row r="2623">
          <cell r="A2623" t="str">
            <v>Mirabelle</v>
          </cell>
          <cell r="B2623" t="str">
            <v>w</v>
          </cell>
        </row>
        <row r="2624">
          <cell r="A2624" t="str">
            <v>Mircha</v>
          </cell>
          <cell r="B2624" t="str">
            <v>m</v>
          </cell>
        </row>
        <row r="2625">
          <cell r="A2625" t="str">
            <v>Mireille</v>
          </cell>
          <cell r="B2625" t="str">
            <v>w</v>
          </cell>
        </row>
        <row r="2626">
          <cell r="A2626" t="str">
            <v>Mirek</v>
          </cell>
          <cell r="B2626" t="str">
            <v>m</v>
          </cell>
        </row>
        <row r="2627">
          <cell r="A2627" t="str">
            <v>Mirella</v>
          </cell>
          <cell r="B2627" t="str">
            <v>w</v>
          </cell>
        </row>
        <row r="2628">
          <cell r="A2628" t="str">
            <v>Miria</v>
          </cell>
          <cell r="B2628" t="str">
            <v>w</v>
          </cell>
        </row>
        <row r="2629">
          <cell r="A2629" t="str">
            <v>Miriam</v>
          </cell>
          <cell r="B2629" t="str">
            <v>w</v>
          </cell>
        </row>
        <row r="2630">
          <cell r="A2630" t="str">
            <v>Mirjam</v>
          </cell>
          <cell r="B2630" t="str">
            <v>w</v>
          </cell>
        </row>
        <row r="2631">
          <cell r="A2631" t="str">
            <v>Mirko</v>
          </cell>
          <cell r="B2631" t="str">
            <v>m</v>
          </cell>
        </row>
        <row r="2632">
          <cell r="A2632" t="str">
            <v>Miso</v>
          </cell>
          <cell r="B2632" t="str">
            <v>m</v>
          </cell>
        </row>
        <row r="2633">
          <cell r="A2633" t="str">
            <v>Molly</v>
          </cell>
          <cell r="B2633" t="str">
            <v>w</v>
          </cell>
        </row>
        <row r="2634">
          <cell r="A2634" t="str">
            <v>Momo</v>
          </cell>
          <cell r="B2634" t="str">
            <v>m</v>
          </cell>
        </row>
        <row r="2635">
          <cell r="A2635" t="str">
            <v>Mona</v>
          </cell>
          <cell r="B2635" t="str">
            <v>w</v>
          </cell>
        </row>
        <row r="2636">
          <cell r="A2636" t="str">
            <v>Mone</v>
          </cell>
          <cell r="B2636" t="str">
            <v>w</v>
          </cell>
        </row>
        <row r="2637">
          <cell r="A2637" t="str">
            <v>Moni</v>
          </cell>
          <cell r="B2637" t="str">
            <v>w</v>
          </cell>
        </row>
        <row r="2638">
          <cell r="A2638" t="str">
            <v>Monica</v>
          </cell>
          <cell r="B2638" t="str">
            <v>w</v>
          </cell>
        </row>
        <row r="2639">
          <cell r="A2639" t="str">
            <v>Monika</v>
          </cell>
          <cell r="B2639" t="str">
            <v>w</v>
          </cell>
        </row>
        <row r="2640">
          <cell r="A2640" t="str">
            <v>Monique</v>
          </cell>
          <cell r="B2640" t="str">
            <v>w</v>
          </cell>
        </row>
        <row r="2641">
          <cell r="A2641" t="str">
            <v>Monja</v>
          </cell>
          <cell r="B2641" t="str">
            <v>w</v>
          </cell>
        </row>
        <row r="2642">
          <cell r="A2642" t="str">
            <v>Mont-Gomerie</v>
          </cell>
          <cell r="B2642" t="str">
            <v>m</v>
          </cell>
        </row>
        <row r="2643">
          <cell r="A2643" t="str">
            <v>Moreno</v>
          </cell>
          <cell r="B2643" t="str">
            <v>m</v>
          </cell>
        </row>
        <row r="2644">
          <cell r="A2644" t="str">
            <v>Moritz</v>
          </cell>
          <cell r="B2644" t="str">
            <v>m</v>
          </cell>
        </row>
        <row r="2645">
          <cell r="A2645" t="str">
            <v>Moriz</v>
          </cell>
          <cell r="B2645" t="str">
            <v>m</v>
          </cell>
        </row>
        <row r="2646">
          <cell r="A2646" t="str">
            <v>Morris</v>
          </cell>
          <cell r="B2646" t="str">
            <v>m</v>
          </cell>
        </row>
        <row r="2647">
          <cell r="A2647" t="str">
            <v>Moses</v>
          </cell>
          <cell r="B2647" t="str">
            <v>m</v>
          </cell>
        </row>
        <row r="2648">
          <cell r="A2648" t="str">
            <v>Muck</v>
          </cell>
          <cell r="B2648" t="str">
            <v>m</v>
          </cell>
        </row>
        <row r="2649">
          <cell r="A2649" t="str">
            <v>Munira</v>
          </cell>
          <cell r="B2649" t="str">
            <v>w</v>
          </cell>
        </row>
        <row r="2650">
          <cell r="A2650" t="str">
            <v>Murat</v>
          </cell>
          <cell r="B2650" t="str">
            <v>m</v>
          </cell>
        </row>
        <row r="2651">
          <cell r="A2651" t="str">
            <v>Muriel</v>
          </cell>
          <cell r="B2651" t="str">
            <v>w</v>
          </cell>
        </row>
        <row r="2652">
          <cell r="A2652" t="str">
            <v>Mustafa</v>
          </cell>
          <cell r="B2652" t="str">
            <v>m</v>
          </cell>
        </row>
        <row r="2653">
          <cell r="A2653" t="str">
            <v>Mutz</v>
          </cell>
          <cell r="B2653" t="str">
            <v>m</v>
          </cell>
        </row>
        <row r="2654">
          <cell r="A2654" t="str">
            <v>Myra</v>
          </cell>
          <cell r="B2654" t="str">
            <v>w</v>
          </cell>
        </row>
        <row r="2655">
          <cell r="A2655" t="str">
            <v>Myriam</v>
          </cell>
          <cell r="B2655" t="str">
            <v>w</v>
          </cell>
        </row>
        <row r="2656">
          <cell r="A2656" t="str">
            <v>Myrna</v>
          </cell>
          <cell r="B2656" t="str">
            <v>w</v>
          </cell>
        </row>
        <row r="2657">
          <cell r="A2657" t="str">
            <v>Nada</v>
          </cell>
          <cell r="B2657" t="str">
            <v>w</v>
          </cell>
        </row>
        <row r="2658">
          <cell r="A2658" t="str">
            <v>Nadia</v>
          </cell>
          <cell r="B2658" t="str">
            <v>w</v>
          </cell>
        </row>
        <row r="2659">
          <cell r="A2659" t="str">
            <v>Nadina</v>
          </cell>
          <cell r="B2659" t="str">
            <v>w</v>
          </cell>
        </row>
        <row r="2660">
          <cell r="A2660" t="str">
            <v>Nadine</v>
          </cell>
          <cell r="B2660" t="str">
            <v>w</v>
          </cell>
        </row>
        <row r="2661">
          <cell r="A2661" t="str">
            <v>Nadinka</v>
          </cell>
          <cell r="B2661" t="str">
            <v>w</v>
          </cell>
        </row>
        <row r="2662">
          <cell r="A2662" t="str">
            <v>Nadja</v>
          </cell>
          <cell r="B2662" t="str">
            <v>w</v>
          </cell>
        </row>
        <row r="2663">
          <cell r="A2663" t="str">
            <v>Nadjeschda</v>
          </cell>
          <cell r="B2663" t="str">
            <v>w</v>
          </cell>
        </row>
        <row r="2664">
          <cell r="A2664" t="str">
            <v>Nafia</v>
          </cell>
          <cell r="B2664" t="str">
            <v>w</v>
          </cell>
        </row>
        <row r="2665">
          <cell r="A2665" t="str">
            <v>Naima</v>
          </cell>
          <cell r="B2665" t="str">
            <v>w</v>
          </cell>
        </row>
        <row r="2666">
          <cell r="A2666" t="str">
            <v>Nancy</v>
          </cell>
          <cell r="B2666" t="str">
            <v>w</v>
          </cell>
        </row>
        <row r="2667">
          <cell r="A2667" t="str">
            <v>Nane</v>
          </cell>
          <cell r="B2667" t="str">
            <v>w</v>
          </cell>
        </row>
        <row r="2668">
          <cell r="A2668" t="str">
            <v>Nanette</v>
          </cell>
          <cell r="B2668" t="str">
            <v>w</v>
          </cell>
        </row>
        <row r="2669">
          <cell r="A2669" t="str">
            <v>Nannerl</v>
          </cell>
          <cell r="B2669" t="str">
            <v>w</v>
          </cell>
        </row>
        <row r="2670">
          <cell r="A2670" t="str">
            <v>Nannette</v>
          </cell>
          <cell r="B2670" t="str">
            <v>w</v>
          </cell>
        </row>
        <row r="2671">
          <cell r="A2671" t="str">
            <v>Nanni</v>
          </cell>
          <cell r="B2671" t="str">
            <v>w</v>
          </cell>
        </row>
        <row r="2672">
          <cell r="A2672" t="str">
            <v>Naomi</v>
          </cell>
          <cell r="B2672" t="str">
            <v>w</v>
          </cell>
        </row>
        <row r="2673">
          <cell r="A2673" t="str">
            <v>Naomy</v>
          </cell>
          <cell r="B2673" t="str">
            <v>w</v>
          </cell>
        </row>
        <row r="2674">
          <cell r="A2674" t="str">
            <v>Napoleon</v>
          </cell>
          <cell r="B2674" t="str">
            <v>m</v>
          </cell>
        </row>
        <row r="2675">
          <cell r="A2675" t="str">
            <v>Nastasia</v>
          </cell>
          <cell r="B2675" t="str">
            <v>w</v>
          </cell>
        </row>
        <row r="2676">
          <cell r="A2676" t="str">
            <v>Nastjenka</v>
          </cell>
          <cell r="B2676" t="str">
            <v>w</v>
          </cell>
        </row>
        <row r="2677">
          <cell r="A2677" t="str">
            <v>Nata</v>
          </cell>
          <cell r="B2677" t="str">
            <v>w</v>
          </cell>
        </row>
        <row r="2678">
          <cell r="A2678" t="str">
            <v>Natalia</v>
          </cell>
          <cell r="B2678" t="str">
            <v>w</v>
          </cell>
        </row>
        <row r="2679">
          <cell r="A2679" t="str">
            <v>Natalie</v>
          </cell>
          <cell r="B2679" t="str">
            <v>w</v>
          </cell>
        </row>
        <row r="2680">
          <cell r="A2680" t="str">
            <v>Natan</v>
          </cell>
          <cell r="B2680" t="str">
            <v>m</v>
          </cell>
        </row>
        <row r="2681">
          <cell r="A2681" t="str">
            <v>Natascha</v>
          </cell>
          <cell r="B2681" t="str">
            <v>w</v>
          </cell>
        </row>
        <row r="2682">
          <cell r="A2682" t="str">
            <v>Natassja</v>
          </cell>
          <cell r="B2682" t="str">
            <v>w</v>
          </cell>
        </row>
        <row r="2683">
          <cell r="A2683" t="str">
            <v>Nathalie</v>
          </cell>
          <cell r="B2683" t="str">
            <v>w</v>
          </cell>
        </row>
        <row r="2684">
          <cell r="A2684" t="str">
            <v>Nathan</v>
          </cell>
          <cell r="B2684" t="str">
            <v>m</v>
          </cell>
        </row>
        <row r="2685">
          <cell r="A2685" t="str">
            <v>Nathanael</v>
          </cell>
          <cell r="B2685" t="str">
            <v>m</v>
          </cell>
        </row>
        <row r="2686">
          <cell r="A2686" t="str">
            <v>Nathaniel</v>
          </cell>
          <cell r="B2686" t="str">
            <v>m</v>
          </cell>
        </row>
        <row r="2687">
          <cell r="A2687" t="str">
            <v>Navid</v>
          </cell>
          <cell r="B2687" t="str">
            <v>m</v>
          </cell>
        </row>
        <row r="2688">
          <cell r="A2688" t="str">
            <v>Nayan</v>
          </cell>
          <cell r="B2688" t="str">
            <v>m</v>
          </cell>
        </row>
        <row r="2689">
          <cell r="A2689" t="str">
            <v>Neal</v>
          </cell>
          <cell r="B2689" t="str">
            <v>m</v>
          </cell>
        </row>
        <row r="2690">
          <cell r="A2690" t="str">
            <v>Nebojsa</v>
          </cell>
          <cell r="B2690" t="str">
            <v>m</v>
          </cell>
        </row>
        <row r="2691">
          <cell r="A2691" t="str">
            <v>Neeske</v>
          </cell>
          <cell r="B2691" t="str">
            <v>w</v>
          </cell>
        </row>
        <row r="2692">
          <cell r="A2692" t="str">
            <v>Neil</v>
          </cell>
          <cell r="B2692" t="str">
            <v>m</v>
          </cell>
        </row>
        <row r="2693">
          <cell r="A2693" t="str">
            <v>Neisa</v>
          </cell>
          <cell r="B2693" t="str">
            <v>w</v>
          </cell>
        </row>
        <row r="2694">
          <cell r="A2694" t="str">
            <v>Neivin</v>
          </cell>
          <cell r="B2694" t="str">
            <v>m</v>
          </cell>
        </row>
        <row r="2695">
          <cell r="A2695" t="str">
            <v>Nele</v>
          </cell>
          <cell r="B2695" t="str">
            <v>w</v>
          </cell>
        </row>
        <row r="2696">
          <cell r="A2696" t="str">
            <v>Nella</v>
          </cell>
          <cell r="B2696" t="str">
            <v>w</v>
          </cell>
        </row>
        <row r="2697">
          <cell r="A2697" t="str">
            <v>Nelles</v>
          </cell>
          <cell r="B2697" t="str">
            <v>m</v>
          </cell>
        </row>
        <row r="2698">
          <cell r="A2698" t="str">
            <v>Nelli</v>
          </cell>
          <cell r="B2698" t="str">
            <v>w</v>
          </cell>
        </row>
        <row r="2699">
          <cell r="A2699" t="str">
            <v>Nelly</v>
          </cell>
          <cell r="B2699" t="str">
            <v>w</v>
          </cell>
        </row>
        <row r="2700">
          <cell r="A2700" t="str">
            <v>Nelson</v>
          </cell>
          <cell r="B2700" t="str">
            <v>m</v>
          </cell>
        </row>
        <row r="2701">
          <cell r="A2701" t="str">
            <v>Neo</v>
          </cell>
          <cell r="B2701" t="str">
            <v>m</v>
          </cell>
        </row>
        <row r="2702">
          <cell r="A2702" t="str">
            <v>Nepomuk</v>
          </cell>
          <cell r="B2702" t="str">
            <v>m</v>
          </cell>
        </row>
        <row r="2703">
          <cell r="A2703" t="str">
            <v>Nero</v>
          </cell>
          <cell r="B2703" t="str">
            <v>m</v>
          </cell>
        </row>
        <row r="2704">
          <cell r="A2704" t="str">
            <v>Nesrin</v>
          </cell>
          <cell r="B2704" t="str">
            <v>w</v>
          </cell>
        </row>
        <row r="2705">
          <cell r="A2705" t="str">
            <v>Nessie</v>
          </cell>
          <cell r="B2705" t="str">
            <v>w</v>
          </cell>
        </row>
        <row r="2706">
          <cell r="A2706" t="str">
            <v>Nettchen</v>
          </cell>
          <cell r="B2706" t="str">
            <v>w</v>
          </cell>
        </row>
        <row r="2707">
          <cell r="A2707" t="str">
            <v>Netti</v>
          </cell>
          <cell r="B2707" t="str">
            <v>w</v>
          </cell>
        </row>
        <row r="2708">
          <cell r="A2708" t="str">
            <v>Nicandro</v>
          </cell>
          <cell r="B2708" t="str">
            <v>m</v>
          </cell>
        </row>
        <row r="2709">
          <cell r="A2709" t="str">
            <v>Nick</v>
          </cell>
          <cell r="B2709" t="str">
            <v>m</v>
          </cell>
        </row>
        <row r="2710">
          <cell r="A2710" t="str">
            <v>Nicki</v>
          </cell>
          <cell r="B2710" t="str">
            <v>w</v>
          </cell>
        </row>
        <row r="2711">
          <cell r="A2711" t="str">
            <v>Nickola</v>
          </cell>
          <cell r="B2711" t="str">
            <v>w</v>
          </cell>
        </row>
        <row r="2712">
          <cell r="A2712" t="str">
            <v>Nicky</v>
          </cell>
          <cell r="B2712" t="str">
            <v>w</v>
          </cell>
        </row>
        <row r="2713">
          <cell r="A2713" t="str">
            <v>Nico</v>
          </cell>
          <cell r="B2713" t="str">
            <v>m</v>
          </cell>
        </row>
        <row r="2714">
          <cell r="A2714" t="str">
            <v>Nicodemo</v>
          </cell>
          <cell r="B2714" t="str">
            <v>m</v>
          </cell>
        </row>
        <row r="2715">
          <cell r="A2715" t="str">
            <v>Nicola</v>
          </cell>
          <cell r="B2715" t="str">
            <v>w</v>
          </cell>
        </row>
        <row r="2716">
          <cell r="A2716" t="str">
            <v>Nicolai</v>
          </cell>
          <cell r="B2716" t="str">
            <v>m</v>
          </cell>
        </row>
        <row r="2717">
          <cell r="A2717" t="str">
            <v>Nicolas</v>
          </cell>
          <cell r="B2717" t="str">
            <v>m</v>
          </cell>
        </row>
        <row r="2718">
          <cell r="A2718" t="str">
            <v>Nicolaus</v>
          </cell>
          <cell r="B2718" t="str">
            <v>m</v>
          </cell>
        </row>
        <row r="2719">
          <cell r="A2719" t="str">
            <v>Nicole</v>
          </cell>
          <cell r="B2719" t="str">
            <v>w</v>
          </cell>
        </row>
        <row r="2720">
          <cell r="A2720" t="str">
            <v>Nicoletta</v>
          </cell>
          <cell r="B2720" t="str">
            <v>w</v>
          </cell>
        </row>
        <row r="2721">
          <cell r="A2721" t="str">
            <v>Nicolette</v>
          </cell>
          <cell r="B2721" t="str">
            <v>w</v>
          </cell>
        </row>
        <row r="2722">
          <cell r="A2722" t="str">
            <v>Nicoline</v>
          </cell>
          <cell r="B2722" t="str">
            <v>w</v>
          </cell>
        </row>
        <row r="2723">
          <cell r="A2723" t="str">
            <v>Nicolle</v>
          </cell>
          <cell r="B2723" t="str">
            <v>w</v>
          </cell>
        </row>
        <row r="2724">
          <cell r="A2724" t="str">
            <v>Niels</v>
          </cell>
          <cell r="B2724" t="str">
            <v>m</v>
          </cell>
        </row>
        <row r="2725">
          <cell r="A2725" t="str">
            <v>Nikita</v>
          </cell>
          <cell r="B2725" t="str">
            <v>m</v>
          </cell>
        </row>
        <row r="2726">
          <cell r="A2726" t="str">
            <v>Niklas</v>
          </cell>
          <cell r="B2726" t="str">
            <v>m</v>
          </cell>
        </row>
        <row r="2727">
          <cell r="A2727" t="str">
            <v>Niko</v>
          </cell>
          <cell r="B2727" t="str">
            <v>m</v>
          </cell>
        </row>
        <row r="2728">
          <cell r="A2728" t="str">
            <v>Nikodemus</v>
          </cell>
          <cell r="B2728" t="str">
            <v>m</v>
          </cell>
        </row>
        <row r="2729">
          <cell r="A2729" t="str">
            <v>Nikol</v>
          </cell>
          <cell r="B2729" t="str">
            <v>m</v>
          </cell>
        </row>
        <row r="2730">
          <cell r="A2730" t="str">
            <v>Nikolas</v>
          </cell>
          <cell r="B2730" t="str">
            <v>m</v>
          </cell>
        </row>
        <row r="2731">
          <cell r="A2731" t="str">
            <v>Nikolaus</v>
          </cell>
          <cell r="B2731" t="str">
            <v>m</v>
          </cell>
        </row>
        <row r="2732">
          <cell r="A2732" t="str">
            <v>Nikoletta</v>
          </cell>
          <cell r="B2732" t="str">
            <v>w</v>
          </cell>
        </row>
        <row r="2733">
          <cell r="A2733" t="str">
            <v>Nikolina</v>
          </cell>
          <cell r="B2733" t="str">
            <v>w</v>
          </cell>
        </row>
        <row r="2734">
          <cell r="A2734" t="str">
            <v>Nikoline</v>
          </cell>
          <cell r="B2734" t="str">
            <v>w</v>
          </cell>
        </row>
        <row r="2735">
          <cell r="A2735" t="str">
            <v>Nila</v>
          </cell>
          <cell r="B2735" t="str">
            <v>w</v>
          </cell>
        </row>
        <row r="2736">
          <cell r="A2736" t="str">
            <v>Nils</v>
          </cell>
          <cell r="B2736" t="str">
            <v>m</v>
          </cell>
        </row>
        <row r="2737">
          <cell r="A2737" t="str">
            <v>Nimet</v>
          </cell>
          <cell r="B2737" t="str">
            <v>m</v>
          </cell>
        </row>
        <row r="2738">
          <cell r="A2738" t="str">
            <v>Nina</v>
          </cell>
          <cell r="B2738" t="str">
            <v>w</v>
          </cell>
        </row>
        <row r="2739">
          <cell r="A2739" t="str">
            <v>Ninette</v>
          </cell>
          <cell r="B2739" t="str">
            <v>w</v>
          </cell>
        </row>
        <row r="2740">
          <cell r="A2740" t="str">
            <v>Nino</v>
          </cell>
          <cell r="B2740" t="str">
            <v>m</v>
          </cell>
        </row>
        <row r="2741">
          <cell r="A2741" t="str">
            <v>Nissie</v>
          </cell>
          <cell r="B2741" t="str">
            <v>w</v>
          </cell>
        </row>
        <row r="2742">
          <cell r="A2742" t="str">
            <v>Nissy</v>
          </cell>
          <cell r="B2742" t="str">
            <v>w</v>
          </cell>
        </row>
        <row r="2743">
          <cell r="A2743" t="str">
            <v>Nixie</v>
          </cell>
          <cell r="B2743" t="str">
            <v>w</v>
          </cell>
        </row>
        <row r="2744">
          <cell r="A2744" t="str">
            <v>Noa</v>
          </cell>
          <cell r="B2744" t="str">
            <v>m</v>
          </cell>
        </row>
        <row r="2745">
          <cell r="A2745" t="str">
            <v>Noa</v>
          </cell>
          <cell r="B2745" t="str">
            <v>w</v>
          </cell>
        </row>
        <row r="2746">
          <cell r="A2746" t="str">
            <v>Noah</v>
          </cell>
          <cell r="B2746" t="str">
            <v>m</v>
          </cell>
        </row>
        <row r="2747">
          <cell r="A2747" t="str">
            <v>Noel</v>
          </cell>
          <cell r="B2747" t="str">
            <v>m</v>
          </cell>
        </row>
        <row r="2748">
          <cell r="A2748" t="str">
            <v>Noelle</v>
          </cell>
          <cell r="B2748" t="str">
            <v>w</v>
          </cell>
        </row>
        <row r="2749">
          <cell r="A2749" t="str">
            <v>Noemi</v>
          </cell>
          <cell r="B2749" t="str">
            <v>w</v>
          </cell>
        </row>
        <row r="2750">
          <cell r="A2750" t="str">
            <v>Nora</v>
          </cell>
          <cell r="B2750" t="str">
            <v>w</v>
          </cell>
        </row>
        <row r="2751">
          <cell r="A2751" t="str">
            <v>Norbert</v>
          </cell>
          <cell r="B2751" t="str">
            <v>m</v>
          </cell>
        </row>
        <row r="2752">
          <cell r="A2752" t="str">
            <v>Norberta</v>
          </cell>
          <cell r="B2752" t="str">
            <v>w</v>
          </cell>
        </row>
        <row r="2753">
          <cell r="A2753" t="str">
            <v>Norberte</v>
          </cell>
          <cell r="B2753" t="str">
            <v>w</v>
          </cell>
        </row>
        <row r="2754">
          <cell r="A2754" t="str">
            <v>Norbertha</v>
          </cell>
          <cell r="B2754" t="str">
            <v>w</v>
          </cell>
        </row>
        <row r="2755">
          <cell r="A2755" t="str">
            <v>Norberthe</v>
          </cell>
          <cell r="B2755" t="str">
            <v>w</v>
          </cell>
        </row>
        <row r="2756">
          <cell r="A2756" t="str">
            <v>Nordica</v>
          </cell>
          <cell r="B2756" t="str">
            <v>w</v>
          </cell>
        </row>
        <row r="2757">
          <cell r="A2757" t="str">
            <v>Norma</v>
          </cell>
          <cell r="B2757" t="str">
            <v>w</v>
          </cell>
        </row>
        <row r="2758">
          <cell r="A2758" t="str">
            <v>Norman</v>
          </cell>
          <cell r="B2758" t="str">
            <v>m</v>
          </cell>
        </row>
        <row r="2759">
          <cell r="A2759" t="str">
            <v>Normen</v>
          </cell>
          <cell r="B2759" t="str">
            <v>m</v>
          </cell>
        </row>
        <row r="2760">
          <cell r="A2760" t="str">
            <v>Norris</v>
          </cell>
          <cell r="B2760" t="str">
            <v>m</v>
          </cell>
        </row>
        <row r="2761">
          <cell r="A2761" t="str">
            <v>Nuran</v>
          </cell>
          <cell r="B2761" t="str">
            <v>m</v>
          </cell>
        </row>
        <row r="2762">
          <cell r="A2762" t="str">
            <v>Nuria</v>
          </cell>
          <cell r="B2762" t="str">
            <v>w</v>
          </cell>
        </row>
        <row r="2763">
          <cell r="A2763" t="str">
            <v>Obert</v>
          </cell>
          <cell r="B2763" t="str">
            <v>m</v>
          </cell>
        </row>
        <row r="2764">
          <cell r="A2764" t="str">
            <v>Odell</v>
          </cell>
          <cell r="B2764" t="str">
            <v>m</v>
          </cell>
        </row>
        <row r="2765">
          <cell r="A2765" t="str">
            <v>Oden</v>
          </cell>
          <cell r="B2765" t="str">
            <v>m</v>
          </cell>
        </row>
        <row r="2766">
          <cell r="A2766" t="str">
            <v>Odilia</v>
          </cell>
          <cell r="B2766" t="str">
            <v>w</v>
          </cell>
        </row>
        <row r="2767">
          <cell r="A2767" t="str">
            <v>Odin</v>
          </cell>
          <cell r="B2767" t="str">
            <v>m</v>
          </cell>
        </row>
        <row r="2768">
          <cell r="A2768" t="str">
            <v>Odo</v>
          </cell>
          <cell r="B2768" t="str">
            <v>m</v>
          </cell>
        </row>
        <row r="2769">
          <cell r="A2769" t="str">
            <v>Odolf</v>
          </cell>
          <cell r="B2769" t="str">
            <v>m</v>
          </cell>
        </row>
        <row r="2770">
          <cell r="A2770" t="str">
            <v>Odysseus</v>
          </cell>
          <cell r="B2770" t="str">
            <v>m</v>
          </cell>
        </row>
        <row r="2771">
          <cell r="A2771" t="str">
            <v>Olaf</v>
          </cell>
          <cell r="B2771" t="str">
            <v>m</v>
          </cell>
        </row>
        <row r="2772">
          <cell r="A2772" t="str">
            <v>Olave</v>
          </cell>
          <cell r="B2772" t="str">
            <v>w</v>
          </cell>
        </row>
        <row r="2773">
          <cell r="A2773" t="str">
            <v>Ole</v>
          </cell>
          <cell r="B2773" t="str">
            <v>m</v>
          </cell>
        </row>
        <row r="2774">
          <cell r="A2774" t="str">
            <v>Oleg</v>
          </cell>
          <cell r="B2774" t="str">
            <v>m</v>
          </cell>
        </row>
        <row r="2775">
          <cell r="A2775" t="str">
            <v>Olga</v>
          </cell>
          <cell r="B2775" t="str">
            <v>w</v>
          </cell>
        </row>
        <row r="2776">
          <cell r="A2776" t="str">
            <v>Oli</v>
          </cell>
          <cell r="B2776" t="str">
            <v>m</v>
          </cell>
        </row>
        <row r="2777">
          <cell r="A2777" t="str">
            <v>Olive</v>
          </cell>
          <cell r="B2777" t="str">
            <v>w</v>
          </cell>
        </row>
        <row r="2778">
          <cell r="A2778" t="str">
            <v>Oliver</v>
          </cell>
          <cell r="B2778" t="str">
            <v>m</v>
          </cell>
        </row>
        <row r="2779">
          <cell r="A2779" t="str">
            <v>Olivia</v>
          </cell>
          <cell r="B2779" t="str">
            <v>w</v>
          </cell>
        </row>
        <row r="2780">
          <cell r="A2780" t="str">
            <v>Olivier</v>
          </cell>
          <cell r="B2780" t="str">
            <v>m</v>
          </cell>
        </row>
        <row r="2781">
          <cell r="A2781" t="str">
            <v>Ollie</v>
          </cell>
          <cell r="B2781" t="str">
            <v>w</v>
          </cell>
        </row>
        <row r="2782">
          <cell r="A2782" t="str">
            <v>Olva</v>
          </cell>
          <cell r="B2782" t="str">
            <v>w</v>
          </cell>
        </row>
        <row r="2783">
          <cell r="A2783" t="str">
            <v>Olympie</v>
          </cell>
          <cell r="B2783" t="str">
            <v>w</v>
          </cell>
        </row>
        <row r="2784">
          <cell r="A2784" t="str">
            <v>Omar</v>
          </cell>
          <cell r="B2784" t="str">
            <v>m</v>
          </cell>
        </row>
        <row r="2785">
          <cell r="A2785" t="str">
            <v>Öner</v>
          </cell>
          <cell r="B2785" t="str">
            <v>m</v>
          </cell>
        </row>
        <row r="2786">
          <cell r="A2786" t="str">
            <v>Onnan</v>
          </cell>
          <cell r="B2786" t="str">
            <v>m</v>
          </cell>
        </row>
        <row r="2787">
          <cell r="A2787" t="str">
            <v>Onno</v>
          </cell>
          <cell r="B2787" t="str">
            <v>m</v>
          </cell>
        </row>
        <row r="2788">
          <cell r="A2788" t="str">
            <v>Onnond</v>
          </cell>
          <cell r="B2788" t="str">
            <v>m</v>
          </cell>
        </row>
        <row r="2789">
          <cell r="A2789" t="str">
            <v>Oola</v>
          </cell>
          <cell r="B2789" t="str">
            <v>w</v>
          </cell>
        </row>
        <row r="2790">
          <cell r="A2790" t="str">
            <v>Ophelia</v>
          </cell>
          <cell r="B2790" t="str">
            <v>w</v>
          </cell>
        </row>
        <row r="2791">
          <cell r="A2791" t="str">
            <v>Oralndo</v>
          </cell>
          <cell r="B2791" t="str">
            <v>m</v>
          </cell>
        </row>
        <row r="2792">
          <cell r="A2792" t="str">
            <v>Orane</v>
          </cell>
          <cell r="B2792" t="str">
            <v>w</v>
          </cell>
        </row>
        <row r="2793">
          <cell r="A2793" t="str">
            <v>Orania</v>
          </cell>
          <cell r="B2793" t="str">
            <v>w</v>
          </cell>
        </row>
        <row r="2794">
          <cell r="A2794" t="str">
            <v>Orazio</v>
          </cell>
          <cell r="B2794" t="str">
            <v>m</v>
          </cell>
        </row>
        <row r="2795">
          <cell r="A2795" t="str">
            <v>Orla</v>
          </cell>
          <cell r="B2795" t="str">
            <v>w</v>
          </cell>
        </row>
        <row r="2796">
          <cell r="A2796" t="str">
            <v>Orlan</v>
          </cell>
          <cell r="B2796" t="str">
            <v>m</v>
          </cell>
        </row>
        <row r="2797">
          <cell r="A2797" t="str">
            <v>Orlanda</v>
          </cell>
          <cell r="B2797" t="str">
            <v>w</v>
          </cell>
        </row>
        <row r="2798">
          <cell r="A2798" t="str">
            <v>Orlande</v>
          </cell>
          <cell r="B2798" t="str">
            <v>w</v>
          </cell>
        </row>
        <row r="2799">
          <cell r="A2799" t="str">
            <v>Orlando</v>
          </cell>
          <cell r="B2799" t="str">
            <v>m</v>
          </cell>
        </row>
        <row r="2800">
          <cell r="A2800" t="str">
            <v>Ormen</v>
          </cell>
          <cell r="B2800" t="str">
            <v>m</v>
          </cell>
        </row>
        <row r="2801">
          <cell r="A2801" t="str">
            <v>Ornand</v>
          </cell>
          <cell r="B2801" t="str">
            <v>m</v>
          </cell>
        </row>
        <row r="2802">
          <cell r="A2802" t="str">
            <v>Ornella</v>
          </cell>
          <cell r="B2802" t="str">
            <v>w</v>
          </cell>
        </row>
        <row r="2803">
          <cell r="A2803" t="str">
            <v>Orsina</v>
          </cell>
          <cell r="B2803" t="str">
            <v>w</v>
          </cell>
        </row>
        <row r="2804">
          <cell r="A2804" t="str">
            <v>Orsine</v>
          </cell>
          <cell r="B2804" t="str">
            <v>w</v>
          </cell>
        </row>
        <row r="2805">
          <cell r="A2805" t="str">
            <v>Orsola</v>
          </cell>
          <cell r="B2805" t="str">
            <v>w</v>
          </cell>
        </row>
        <row r="2806">
          <cell r="A2806" t="str">
            <v>Orsolya</v>
          </cell>
          <cell r="B2806" t="str">
            <v>w</v>
          </cell>
        </row>
        <row r="2807">
          <cell r="A2807" t="str">
            <v>Orson</v>
          </cell>
          <cell r="B2807" t="str">
            <v>m</v>
          </cell>
        </row>
        <row r="2808">
          <cell r="A2808" t="str">
            <v>Ortelia</v>
          </cell>
          <cell r="B2808" t="str">
            <v>w</v>
          </cell>
        </row>
        <row r="2809">
          <cell r="A2809" t="str">
            <v>Ortrud</v>
          </cell>
          <cell r="B2809" t="str">
            <v>w</v>
          </cell>
        </row>
        <row r="2810">
          <cell r="A2810" t="str">
            <v>Orva</v>
          </cell>
          <cell r="B2810" t="str">
            <v>w</v>
          </cell>
        </row>
        <row r="2811">
          <cell r="A2811" t="str">
            <v>Oscar</v>
          </cell>
          <cell r="B2811" t="str">
            <v>m</v>
          </cell>
        </row>
        <row r="2812">
          <cell r="A2812" t="str">
            <v>Osgood</v>
          </cell>
          <cell r="B2812" t="str">
            <v>m</v>
          </cell>
        </row>
        <row r="2813">
          <cell r="A2813" t="str">
            <v>Oskar</v>
          </cell>
          <cell r="B2813" t="str">
            <v>m</v>
          </cell>
        </row>
        <row r="2814">
          <cell r="A2814" t="str">
            <v>Oswald</v>
          </cell>
          <cell r="B2814" t="str">
            <v>m</v>
          </cell>
        </row>
        <row r="2815">
          <cell r="A2815" t="str">
            <v>Otfried</v>
          </cell>
          <cell r="B2815" t="str">
            <v>m</v>
          </cell>
        </row>
        <row r="2816">
          <cell r="A2816" t="str">
            <v>Otger</v>
          </cell>
          <cell r="B2816" t="str">
            <v>m</v>
          </cell>
        </row>
        <row r="2817">
          <cell r="A2817" t="str">
            <v>Othello</v>
          </cell>
          <cell r="B2817" t="str">
            <v>m</v>
          </cell>
        </row>
        <row r="2818">
          <cell r="A2818" t="str">
            <v>Othmar</v>
          </cell>
          <cell r="B2818" t="str">
            <v>m</v>
          </cell>
        </row>
        <row r="2819">
          <cell r="A2819" t="str">
            <v>Otmar</v>
          </cell>
          <cell r="B2819" t="str">
            <v>m</v>
          </cell>
        </row>
        <row r="2820">
          <cell r="A2820" t="str">
            <v>Otmund</v>
          </cell>
          <cell r="B2820" t="str">
            <v>m</v>
          </cell>
        </row>
        <row r="2821">
          <cell r="A2821" t="str">
            <v>Ottilia</v>
          </cell>
          <cell r="B2821" t="str">
            <v>w</v>
          </cell>
        </row>
        <row r="2822">
          <cell r="A2822" t="str">
            <v>Ottilie</v>
          </cell>
          <cell r="B2822" t="str">
            <v>w</v>
          </cell>
        </row>
        <row r="2823">
          <cell r="A2823" t="str">
            <v>Ottmar</v>
          </cell>
          <cell r="B2823" t="str">
            <v>m</v>
          </cell>
        </row>
        <row r="2824">
          <cell r="A2824" t="str">
            <v>Otto</v>
          </cell>
          <cell r="B2824" t="str">
            <v>m</v>
          </cell>
        </row>
        <row r="2825">
          <cell r="A2825" t="str">
            <v>Otwin</v>
          </cell>
          <cell r="B2825" t="str">
            <v>m</v>
          </cell>
        </row>
        <row r="2826">
          <cell r="A2826" t="str">
            <v>Ove</v>
          </cell>
          <cell r="B2826" t="str">
            <v>m</v>
          </cell>
        </row>
        <row r="2827">
          <cell r="A2827" t="str">
            <v>Owe</v>
          </cell>
          <cell r="B2827" t="str">
            <v>m</v>
          </cell>
        </row>
        <row r="2828">
          <cell r="A2828" t="str">
            <v>Owen</v>
          </cell>
          <cell r="B2828" t="str">
            <v>m</v>
          </cell>
        </row>
        <row r="2829">
          <cell r="A2829" t="str">
            <v>Oxana</v>
          </cell>
          <cell r="B2829" t="str">
            <v>w</v>
          </cell>
        </row>
        <row r="2830">
          <cell r="A2830" t="str">
            <v>Paavo</v>
          </cell>
          <cell r="B2830" t="str">
            <v>m</v>
          </cell>
        </row>
        <row r="2831">
          <cell r="A2831" t="str">
            <v>Pablo</v>
          </cell>
          <cell r="B2831" t="str">
            <v>m</v>
          </cell>
        </row>
        <row r="2832">
          <cell r="A2832" t="str">
            <v>Pacey</v>
          </cell>
          <cell r="B2832" t="str">
            <v>m</v>
          </cell>
        </row>
        <row r="2833">
          <cell r="A2833" t="str">
            <v>Paco</v>
          </cell>
          <cell r="B2833" t="str">
            <v>m</v>
          </cell>
        </row>
        <row r="2834">
          <cell r="A2834" t="str">
            <v>Palmira</v>
          </cell>
          <cell r="B2834" t="str">
            <v>w</v>
          </cell>
        </row>
        <row r="2835">
          <cell r="A2835" t="str">
            <v>Palmiro</v>
          </cell>
          <cell r="B2835" t="str">
            <v>m</v>
          </cell>
        </row>
        <row r="2836">
          <cell r="A2836" t="str">
            <v>Paloma</v>
          </cell>
          <cell r="B2836" t="str">
            <v>w</v>
          </cell>
        </row>
        <row r="2837">
          <cell r="A2837" t="str">
            <v>Pamela</v>
          </cell>
          <cell r="B2837" t="str">
            <v>w</v>
          </cell>
        </row>
        <row r="2838">
          <cell r="A2838" t="str">
            <v>Pamelina</v>
          </cell>
          <cell r="B2838" t="str">
            <v>w</v>
          </cell>
        </row>
        <row r="2839">
          <cell r="A2839" t="str">
            <v>Pancratius</v>
          </cell>
          <cell r="B2839" t="str">
            <v>m</v>
          </cell>
        </row>
        <row r="2840">
          <cell r="A2840" t="str">
            <v>Pandora</v>
          </cell>
          <cell r="B2840" t="str">
            <v>w</v>
          </cell>
        </row>
        <row r="2841">
          <cell r="A2841" t="str">
            <v>Pankratz</v>
          </cell>
          <cell r="B2841" t="str">
            <v>m</v>
          </cell>
        </row>
        <row r="2842">
          <cell r="A2842" t="str">
            <v>Paola</v>
          </cell>
          <cell r="B2842" t="str">
            <v>w</v>
          </cell>
        </row>
        <row r="2843">
          <cell r="A2843" t="str">
            <v>Paolo</v>
          </cell>
          <cell r="B2843" t="str">
            <v>m</v>
          </cell>
        </row>
        <row r="2844">
          <cell r="A2844" t="str">
            <v>Pascal</v>
          </cell>
          <cell r="B2844" t="str">
            <v>m</v>
          </cell>
        </row>
        <row r="2845">
          <cell r="A2845" t="str">
            <v>Pascual</v>
          </cell>
          <cell r="B2845" t="str">
            <v>m</v>
          </cell>
        </row>
        <row r="2846">
          <cell r="A2846" t="str">
            <v>Pasquale</v>
          </cell>
          <cell r="B2846" t="str">
            <v>m</v>
          </cell>
        </row>
        <row r="2847">
          <cell r="A2847" t="str">
            <v>Patric</v>
          </cell>
          <cell r="B2847" t="str">
            <v>m</v>
          </cell>
        </row>
        <row r="2848">
          <cell r="A2848" t="str">
            <v>Patricia</v>
          </cell>
          <cell r="B2848" t="str">
            <v>w</v>
          </cell>
        </row>
        <row r="2849">
          <cell r="A2849" t="str">
            <v>Patrick</v>
          </cell>
          <cell r="B2849" t="str">
            <v>m</v>
          </cell>
        </row>
        <row r="2850">
          <cell r="A2850" t="str">
            <v>Patrik</v>
          </cell>
          <cell r="B2850" t="str">
            <v>m</v>
          </cell>
        </row>
        <row r="2851">
          <cell r="A2851" t="str">
            <v>Patrizia</v>
          </cell>
          <cell r="B2851" t="str">
            <v>w</v>
          </cell>
        </row>
        <row r="2852">
          <cell r="A2852" t="str">
            <v>Paul</v>
          </cell>
          <cell r="B2852" t="str">
            <v>m</v>
          </cell>
        </row>
        <row r="2853">
          <cell r="A2853" t="str">
            <v>Paula</v>
          </cell>
          <cell r="B2853" t="str">
            <v>w</v>
          </cell>
        </row>
        <row r="2854">
          <cell r="A2854" t="str">
            <v>Paule</v>
          </cell>
          <cell r="B2854" t="str">
            <v>m</v>
          </cell>
        </row>
        <row r="2855">
          <cell r="A2855" t="str">
            <v>Pauletta</v>
          </cell>
          <cell r="B2855" t="str">
            <v>w</v>
          </cell>
        </row>
        <row r="2856">
          <cell r="A2856" t="str">
            <v>Paulette</v>
          </cell>
          <cell r="B2856" t="str">
            <v>w</v>
          </cell>
        </row>
        <row r="2857">
          <cell r="A2857" t="str">
            <v>Paulina</v>
          </cell>
          <cell r="B2857" t="str">
            <v>w</v>
          </cell>
        </row>
        <row r="2858">
          <cell r="A2858" t="str">
            <v>Pauline</v>
          </cell>
          <cell r="B2858" t="str">
            <v>w</v>
          </cell>
        </row>
        <row r="2859">
          <cell r="A2859" t="str">
            <v>Paul-Michael</v>
          </cell>
          <cell r="B2859" t="str">
            <v>m</v>
          </cell>
        </row>
        <row r="2860">
          <cell r="A2860" t="str">
            <v>Paulus</v>
          </cell>
          <cell r="B2860" t="str">
            <v>m</v>
          </cell>
        </row>
        <row r="2861">
          <cell r="A2861" t="str">
            <v>Paul-Werner</v>
          </cell>
          <cell r="B2861" t="str">
            <v>m</v>
          </cell>
        </row>
        <row r="2862">
          <cell r="A2862" t="str">
            <v>Pawel</v>
          </cell>
          <cell r="B2862" t="str">
            <v>m</v>
          </cell>
        </row>
        <row r="2863">
          <cell r="A2863" t="str">
            <v>Pawla</v>
          </cell>
          <cell r="B2863" t="str">
            <v>w</v>
          </cell>
        </row>
        <row r="2864">
          <cell r="A2864" t="str">
            <v>Paxon</v>
          </cell>
          <cell r="B2864" t="str">
            <v>m</v>
          </cell>
        </row>
        <row r="2865">
          <cell r="A2865" t="str">
            <v>Paxton</v>
          </cell>
          <cell r="B2865" t="str">
            <v>m</v>
          </cell>
        </row>
        <row r="2866">
          <cell r="A2866" t="str">
            <v>Pearl</v>
          </cell>
          <cell r="B2866" t="str">
            <v>w</v>
          </cell>
        </row>
        <row r="2867">
          <cell r="A2867" t="str">
            <v>Pedro</v>
          </cell>
          <cell r="B2867" t="str">
            <v>m</v>
          </cell>
        </row>
        <row r="2868">
          <cell r="A2868" t="str">
            <v>Peer</v>
          </cell>
          <cell r="B2868" t="str">
            <v>m</v>
          </cell>
        </row>
        <row r="2869">
          <cell r="A2869" t="str">
            <v>Peggy</v>
          </cell>
          <cell r="B2869" t="str">
            <v>w</v>
          </cell>
        </row>
        <row r="2870">
          <cell r="A2870" t="str">
            <v>Penelope</v>
          </cell>
          <cell r="B2870" t="str">
            <v>w</v>
          </cell>
        </row>
        <row r="2871">
          <cell r="A2871" t="str">
            <v>Penny</v>
          </cell>
          <cell r="B2871" t="str">
            <v>w</v>
          </cell>
        </row>
        <row r="2872">
          <cell r="A2872" t="str">
            <v>Penrod</v>
          </cell>
          <cell r="B2872" t="str">
            <v>m</v>
          </cell>
        </row>
        <row r="2873">
          <cell r="A2873" t="str">
            <v>Pepi</v>
          </cell>
          <cell r="B2873" t="str">
            <v>m</v>
          </cell>
        </row>
        <row r="2874">
          <cell r="A2874" t="str">
            <v>Pepi</v>
          </cell>
          <cell r="B2874" t="str">
            <v>w</v>
          </cell>
        </row>
        <row r="2875">
          <cell r="A2875" t="str">
            <v>Pepin</v>
          </cell>
          <cell r="B2875" t="str">
            <v>m</v>
          </cell>
        </row>
        <row r="2876">
          <cell r="A2876" t="str">
            <v>Pepino</v>
          </cell>
          <cell r="B2876" t="str">
            <v>m</v>
          </cell>
        </row>
        <row r="2877">
          <cell r="A2877" t="str">
            <v>Peppi</v>
          </cell>
          <cell r="B2877" t="str">
            <v>m</v>
          </cell>
        </row>
        <row r="2878">
          <cell r="A2878" t="str">
            <v>Peppin</v>
          </cell>
          <cell r="B2878" t="str">
            <v>m</v>
          </cell>
        </row>
        <row r="2879">
          <cell r="A2879" t="str">
            <v>Peppino</v>
          </cell>
          <cell r="B2879" t="str">
            <v>m</v>
          </cell>
        </row>
        <row r="2880">
          <cell r="A2880" t="str">
            <v>Per</v>
          </cell>
          <cell r="B2880" t="str">
            <v>m</v>
          </cell>
        </row>
        <row r="2881">
          <cell r="A2881" t="str">
            <v>Peter</v>
          </cell>
          <cell r="B2881" t="str">
            <v>m</v>
          </cell>
        </row>
        <row r="2882">
          <cell r="A2882" t="str">
            <v>Peter-Josef</v>
          </cell>
          <cell r="B2882" t="str">
            <v>m</v>
          </cell>
        </row>
        <row r="2883">
          <cell r="A2883" t="str">
            <v>Petra</v>
          </cell>
          <cell r="B2883" t="str">
            <v>w</v>
          </cell>
        </row>
        <row r="2884">
          <cell r="A2884" t="str">
            <v>Petrus</v>
          </cell>
          <cell r="B2884" t="str">
            <v>m</v>
          </cell>
        </row>
        <row r="2885">
          <cell r="A2885" t="str">
            <v>Pharamond</v>
          </cell>
          <cell r="B2885" t="str">
            <v>m</v>
          </cell>
        </row>
        <row r="2886">
          <cell r="A2886" t="str">
            <v>Phil</v>
          </cell>
          <cell r="B2886" t="str">
            <v>m</v>
          </cell>
        </row>
        <row r="2887">
          <cell r="A2887" t="str">
            <v>Philina</v>
          </cell>
          <cell r="B2887" t="str">
            <v>w</v>
          </cell>
        </row>
        <row r="2888">
          <cell r="A2888" t="str">
            <v>Philine</v>
          </cell>
          <cell r="B2888" t="str">
            <v>w</v>
          </cell>
        </row>
        <row r="2889">
          <cell r="A2889" t="str">
            <v>Philipp</v>
          </cell>
          <cell r="B2889" t="str">
            <v>m</v>
          </cell>
        </row>
        <row r="2890">
          <cell r="A2890" t="str">
            <v>Philippa</v>
          </cell>
          <cell r="B2890" t="str">
            <v>w</v>
          </cell>
        </row>
        <row r="2891">
          <cell r="A2891" t="str">
            <v>Philippe</v>
          </cell>
          <cell r="B2891" t="str">
            <v>m</v>
          </cell>
        </row>
        <row r="2892">
          <cell r="A2892" t="str">
            <v>Philippe</v>
          </cell>
          <cell r="B2892" t="str">
            <v>w</v>
          </cell>
        </row>
        <row r="2893">
          <cell r="A2893" t="str">
            <v>Philippina</v>
          </cell>
          <cell r="B2893" t="str">
            <v>w</v>
          </cell>
        </row>
        <row r="2894">
          <cell r="A2894" t="str">
            <v>Philippine</v>
          </cell>
          <cell r="B2894" t="str">
            <v>w</v>
          </cell>
        </row>
        <row r="2895">
          <cell r="A2895" t="str">
            <v>Philomela</v>
          </cell>
          <cell r="B2895" t="str">
            <v>w</v>
          </cell>
        </row>
        <row r="2896">
          <cell r="A2896" t="str">
            <v>Philomele</v>
          </cell>
          <cell r="B2896" t="str">
            <v>w</v>
          </cell>
        </row>
        <row r="2897">
          <cell r="A2897" t="str">
            <v>Philomena</v>
          </cell>
          <cell r="B2897" t="str">
            <v>w</v>
          </cell>
        </row>
        <row r="2898">
          <cell r="A2898" t="str">
            <v>Philomene</v>
          </cell>
          <cell r="B2898" t="str">
            <v>w</v>
          </cell>
        </row>
        <row r="2899">
          <cell r="A2899" t="str">
            <v>Phinchen</v>
          </cell>
          <cell r="B2899" t="str">
            <v>w</v>
          </cell>
        </row>
        <row r="2900">
          <cell r="A2900" t="str">
            <v>Phoebe</v>
          </cell>
          <cell r="B2900" t="str">
            <v>w</v>
          </cell>
        </row>
        <row r="2901">
          <cell r="A2901" t="str">
            <v>Pia</v>
          </cell>
          <cell r="B2901" t="str">
            <v>w</v>
          </cell>
        </row>
        <row r="2902">
          <cell r="A2902" t="str">
            <v>Pia-Marie</v>
          </cell>
          <cell r="B2902" t="str">
            <v>w</v>
          </cell>
        </row>
        <row r="2903">
          <cell r="A2903" t="str">
            <v>Piero</v>
          </cell>
          <cell r="B2903" t="str">
            <v>m</v>
          </cell>
        </row>
        <row r="2904">
          <cell r="A2904" t="str">
            <v>Pierre</v>
          </cell>
          <cell r="B2904" t="str">
            <v>m</v>
          </cell>
        </row>
        <row r="2905">
          <cell r="A2905" t="str">
            <v>Pietro</v>
          </cell>
          <cell r="B2905" t="str">
            <v>m</v>
          </cell>
        </row>
        <row r="2906">
          <cell r="A2906" t="str">
            <v>Pilar</v>
          </cell>
          <cell r="B2906" t="str">
            <v>w</v>
          </cell>
        </row>
        <row r="2907">
          <cell r="A2907" t="str">
            <v>Pio</v>
          </cell>
          <cell r="B2907" t="str">
            <v>m</v>
          </cell>
        </row>
        <row r="2908">
          <cell r="A2908" t="str">
            <v>Pippin</v>
          </cell>
          <cell r="B2908" t="str">
            <v>m</v>
          </cell>
        </row>
        <row r="2909">
          <cell r="A2909" t="str">
            <v>Piret</v>
          </cell>
          <cell r="B2909" t="str">
            <v>m</v>
          </cell>
        </row>
        <row r="2910">
          <cell r="A2910" t="str">
            <v>Pirmin</v>
          </cell>
          <cell r="B2910" t="str">
            <v>m</v>
          </cell>
        </row>
        <row r="2911">
          <cell r="A2911" t="str">
            <v>Pit</v>
          </cell>
          <cell r="B2911" t="str">
            <v>m</v>
          </cell>
        </row>
        <row r="2912">
          <cell r="A2912" t="str">
            <v>Pius</v>
          </cell>
          <cell r="B2912" t="str">
            <v>m</v>
          </cell>
        </row>
        <row r="2913">
          <cell r="A2913" t="str">
            <v>Pollard</v>
          </cell>
          <cell r="B2913" t="str">
            <v>m</v>
          </cell>
        </row>
        <row r="2914">
          <cell r="A2914" t="str">
            <v>Prisca</v>
          </cell>
          <cell r="B2914" t="str">
            <v>w</v>
          </cell>
        </row>
        <row r="2915">
          <cell r="A2915" t="str">
            <v>Priscilla</v>
          </cell>
          <cell r="B2915" t="str">
            <v>w</v>
          </cell>
        </row>
        <row r="2916">
          <cell r="A2916" t="str">
            <v>Priska</v>
          </cell>
          <cell r="B2916" t="str">
            <v>w</v>
          </cell>
        </row>
        <row r="2917">
          <cell r="A2917" t="str">
            <v>Prisko</v>
          </cell>
          <cell r="B2917" t="str">
            <v>m</v>
          </cell>
        </row>
        <row r="2918">
          <cell r="A2918" t="str">
            <v>Priszilla</v>
          </cell>
          <cell r="B2918" t="str">
            <v>w</v>
          </cell>
        </row>
        <row r="2919">
          <cell r="A2919" t="str">
            <v>Queena</v>
          </cell>
          <cell r="B2919" t="str">
            <v>w</v>
          </cell>
        </row>
        <row r="2920">
          <cell r="A2920" t="str">
            <v>Queenie</v>
          </cell>
          <cell r="B2920" t="str">
            <v>w</v>
          </cell>
        </row>
        <row r="2921">
          <cell r="A2921" t="str">
            <v>Quendolin</v>
          </cell>
          <cell r="B2921" t="str">
            <v>w</v>
          </cell>
        </row>
        <row r="2922">
          <cell r="A2922" t="str">
            <v>Quentin</v>
          </cell>
          <cell r="B2922" t="str">
            <v>m</v>
          </cell>
        </row>
        <row r="2923">
          <cell r="A2923" t="str">
            <v>Quint</v>
          </cell>
          <cell r="B2923" t="str">
            <v>m</v>
          </cell>
        </row>
        <row r="2924">
          <cell r="A2924" t="str">
            <v>Quintin</v>
          </cell>
          <cell r="B2924" t="str">
            <v>m</v>
          </cell>
        </row>
        <row r="2925">
          <cell r="A2925" t="str">
            <v>Quintinus</v>
          </cell>
          <cell r="B2925" t="str">
            <v>m</v>
          </cell>
        </row>
        <row r="2926">
          <cell r="A2926" t="str">
            <v>Quintus</v>
          </cell>
          <cell r="B2926" t="str">
            <v>m</v>
          </cell>
        </row>
        <row r="2927">
          <cell r="A2927" t="str">
            <v>Quinzi</v>
          </cell>
          <cell r="B2927" t="str">
            <v>m</v>
          </cell>
        </row>
        <row r="2928">
          <cell r="A2928" t="str">
            <v>Quirin</v>
          </cell>
          <cell r="B2928" t="str">
            <v>m</v>
          </cell>
        </row>
        <row r="2929">
          <cell r="A2929" t="str">
            <v>Quirinus</v>
          </cell>
          <cell r="B2929" t="str">
            <v>m</v>
          </cell>
        </row>
        <row r="2930">
          <cell r="A2930" t="str">
            <v>Rabea</v>
          </cell>
          <cell r="B2930" t="str">
            <v>w</v>
          </cell>
        </row>
        <row r="2931">
          <cell r="A2931" t="str">
            <v>Rabia</v>
          </cell>
          <cell r="B2931" t="str">
            <v>w</v>
          </cell>
        </row>
        <row r="2932">
          <cell r="A2932" t="str">
            <v>Rachel</v>
          </cell>
          <cell r="B2932" t="str">
            <v>w</v>
          </cell>
        </row>
        <row r="2933">
          <cell r="A2933" t="str">
            <v>Rachele</v>
          </cell>
          <cell r="B2933" t="str">
            <v>w</v>
          </cell>
        </row>
        <row r="2934">
          <cell r="A2934" t="str">
            <v>Rachil</v>
          </cell>
          <cell r="B2934" t="str">
            <v>w</v>
          </cell>
        </row>
        <row r="2935">
          <cell r="A2935" t="str">
            <v>Radbert</v>
          </cell>
          <cell r="B2935" t="str">
            <v>m</v>
          </cell>
        </row>
        <row r="2936">
          <cell r="A2936" t="str">
            <v>Radmila</v>
          </cell>
          <cell r="B2936" t="str">
            <v>w</v>
          </cell>
        </row>
        <row r="2937">
          <cell r="A2937" t="str">
            <v>Radmilla</v>
          </cell>
          <cell r="B2937" t="str">
            <v>w</v>
          </cell>
        </row>
        <row r="2938">
          <cell r="A2938" t="str">
            <v>Radomil</v>
          </cell>
          <cell r="B2938" t="str">
            <v>m</v>
          </cell>
        </row>
        <row r="2939">
          <cell r="A2939" t="str">
            <v>Radomila</v>
          </cell>
          <cell r="B2939" t="str">
            <v>w</v>
          </cell>
        </row>
        <row r="2940">
          <cell r="A2940" t="str">
            <v>Rafael</v>
          </cell>
          <cell r="B2940" t="str">
            <v>m</v>
          </cell>
        </row>
        <row r="2941">
          <cell r="A2941" t="str">
            <v>Rafaela</v>
          </cell>
          <cell r="B2941" t="str">
            <v>w</v>
          </cell>
        </row>
        <row r="2942">
          <cell r="A2942" t="str">
            <v>Raffael</v>
          </cell>
          <cell r="B2942" t="str">
            <v>m</v>
          </cell>
        </row>
        <row r="2943">
          <cell r="A2943" t="str">
            <v>Raffaela</v>
          </cell>
          <cell r="B2943" t="str">
            <v>w</v>
          </cell>
        </row>
        <row r="2944">
          <cell r="A2944" t="str">
            <v>Raffaele</v>
          </cell>
          <cell r="B2944" t="str">
            <v>m</v>
          </cell>
        </row>
        <row r="2945">
          <cell r="A2945" t="str">
            <v>Raffaello</v>
          </cell>
          <cell r="B2945" t="str">
            <v>m</v>
          </cell>
        </row>
        <row r="2946">
          <cell r="A2946" t="str">
            <v>Rahel</v>
          </cell>
          <cell r="B2946" t="str">
            <v>w</v>
          </cell>
        </row>
        <row r="2947">
          <cell r="A2947" t="str">
            <v>Rahul</v>
          </cell>
          <cell r="B2947" t="str">
            <v>m</v>
          </cell>
        </row>
        <row r="2948">
          <cell r="A2948" t="str">
            <v>Raik</v>
          </cell>
          <cell r="B2948" t="str">
            <v>m</v>
          </cell>
        </row>
        <row r="2949">
          <cell r="A2949" t="str">
            <v>Raimond</v>
          </cell>
          <cell r="B2949" t="str">
            <v>m</v>
          </cell>
        </row>
        <row r="2950">
          <cell r="A2950" t="str">
            <v>Raimondo</v>
          </cell>
          <cell r="B2950" t="str">
            <v>m</v>
          </cell>
        </row>
        <row r="2951">
          <cell r="A2951" t="str">
            <v>Raimund</v>
          </cell>
          <cell r="B2951" t="str">
            <v>m</v>
          </cell>
        </row>
        <row r="2952">
          <cell r="A2952" t="str">
            <v>Raina</v>
          </cell>
          <cell r="B2952" t="str">
            <v>w</v>
          </cell>
        </row>
        <row r="2953">
          <cell r="A2953" t="str">
            <v>Rainald</v>
          </cell>
          <cell r="B2953" t="str">
            <v>m</v>
          </cell>
        </row>
        <row r="2954">
          <cell r="A2954" t="str">
            <v>Rainer</v>
          </cell>
          <cell r="B2954" t="str">
            <v>m</v>
          </cell>
        </row>
        <row r="2955">
          <cell r="A2955" t="str">
            <v>Ralf</v>
          </cell>
          <cell r="B2955" t="str">
            <v>m</v>
          </cell>
        </row>
        <row r="2956">
          <cell r="A2956" t="str">
            <v>Ralph</v>
          </cell>
          <cell r="B2956" t="str">
            <v>m</v>
          </cell>
        </row>
        <row r="2957">
          <cell r="A2957" t="str">
            <v>Rama</v>
          </cell>
          <cell r="B2957" t="str">
            <v>w</v>
          </cell>
        </row>
        <row r="2958">
          <cell r="A2958" t="str">
            <v>Rambert</v>
          </cell>
          <cell r="B2958" t="str">
            <v>m</v>
          </cell>
        </row>
        <row r="2959">
          <cell r="A2959" t="str">
            <v>Ramesh</v>
          </cell>
          <cell r="B2959" t="str">
            <v>m</v>
          </cell>
        </row>
        <row r="2960">
          <cell r="A2960" t="str">
            <v>Ramon</v>
          </cell>
          <cell r="B2960" t="str">
            <v>m</v>
          </cell>
        </row>
        <row r="2961">
          <cell r="A2961" t="str">
            <v>Ramona</v>
          </cell>
          <cell r="B2961" t="str">
            <v>w</v>
          </cell>
        </row>
        <row r="2962">
          <cell r="A2962" t="str">
            <v>Ramonda</v>
          </cell>
          <cell r="B2962" t="str">
            <v>w</v>
          </cell>
        </row>
        <row r="2963">
          <cell r="A2963" t="str">
            <v>Ramsay</v>
          </cell>
          <cell r="B2963" t="str">
            <v>m</v>
          </cell>
        </row>
        <row r="2964">
          <cell r="A2964" t="str">
            <v>Ramses</v>
          </cell>
          <cell r="B2964" t="str">
            <v>m</v>
          </cell>
        </row>
        <row r="2965">
          <cell r="A2965" t="str">
            <v>Ramsey</v>
          </cell>
          <cell r="B2965" t="str">
            <v>m</v>
          </cell>
        </row>
        <row r="2966">
          <cell r="A2966" t="str">
            <v>Ramzey</v>
          </cell>
          <cell r="B2966" t="str">
            <v>m</v>
          </cell>
        </row>
        <row r="2967">
          <cell r="A2967" t="str">
            <v>Ramzi</v>
          </cell>
          <cell r="B2967" t="str">
            <v>m</v>
          </cell>
        </row>
        <row r="2968">
          <cell r="A2968" t="str">
            <v>Randy</v>
          </cell>
          <cell r="B2968" t="str">
            <v>m</v>
          </cell>
        </row>
        <row r="2969">
          <cell r="A2969" t="str">
            <v>Ranier</v>
          </cell>
          <cell r="B2969" t="str">
            <v>m</v>
          </cell>
        </row>
        <row r="2970">
          <cell r="A2970" t="str">
            <v>Raoul</v>
          </cell>
          <cell r="B2970" t="str">
            <v>m</v>
          </cell>
        </row>
        <row r="2971">
          <cell r="A2971" t="str">
            <v>Raphael</v>
          </cell>
          <cell r="B2971" t="str">
            <v>m</v>
          </cell>
        </row>
        <row r="2972">
          <cell r="A2972" t="str">
            <v>Raphaela</v>
          </cell>
          <cell r="B2972" t="str">
            <v>w</v>
          </cell>
        </row>
        <row r="2973">
          <cell r="A2973" t="str">
            <v>Raphaele</v>
          </cell>
          <cell r="B2973" t="str">
            <v>w</v>
          </cell>
        </row>
        <row r="2974">
          <cell r="A2974" t="str">
            <v>Rasiel</v>
          </cell>
          <cell r="B2974" t="str">
            <v>m</v>
          </cell>
        </row>
        <row r="2975">
          <cell r="A2975" t="str">
            <v>Ratna</v>
          </cell>
          <cell r="B2975" t="str">
            <v>w</v>
          </cell>
        </row>
        <row r="2976">
          <cell r="A2976" t="str">
            <v>Rawdon</v>
          </cell>
          <cell r="B2976" t="str">
            <v>m</v>
          </cell>
        </row>
        <row r="2977">
          <cell r="A2977" t="str">
            <v>Raymon</v>
          </cell>
          <cell r="B2977" t="str">
            <v>m</v>
          </cell>
        </row>
        <row r="2978">
          <cell r="A2978" t="str">
            <v>Raymond</v>
          </cell>
          <cell r="B2978" t="str">
            <v>m</v>
          </cell>
        </row>
        <row r="2979">
          <cell r="A2979" t="str">
            <v>Raymonda</v>
          </cell>
          <cell r="B2979" t="str">
            <v>w</v>
          </cell>
        </row>
        <row r="2980">
          <cell r="A2980" t="str">
            <v>Raymonde</v>
          </cell>
          <cell r="B2980" t="str">
            <v>w</v>
          </cell>
        </row>
        <row r="2981">
          <cell r="A2981" t="str">
            <v>Raymund</v>
          </cell>
          <cell r="B2981" t="str">
            <v>m</v>
          </cell>
        </row>
        <row r="2982">
          <cell r="A2982" t="str">
            <v>Rea</v>
          </cell>
          <cell r="B2982" t="str">
            <v>w</v>
          </cell>
        </row>
        <row r="2983">
          <cell r="A2983" t="str">
            <v>Reamonn</v>
          </cell>
          <cell r="B2983" t="str">
            <v>m</v>
          </cell>
        </row>
        <row r="2984">
          <cell r="A2984" t="str">
            <v>Rebecca</v>
          </cell>
          <cell r="B2984" t="str">
            <v>w</v>
          </cell>
        </row>
        <row r="2985">
          <cell r="A2985" t="str">
            <v>Rebekka</v>
          </cell>
          <cell r="B2985" t="str">
            <v>w</v>
          </cell>
        </row>
        <row r="2986">
          <cell r="A2986" t="str">
            <v>Recha</v>
          </cell>
          <cell r="B2986" t="str">
            <v>w</v>
          </cell>
        </row>
        <row r="2987">
          <cell r="A2987" t="str">
            <v>Regina</v>
          </cell>
          <cell r="B2987" t="str">
            <v>w</v>
          </cell>
        </row>
        <row r="2988">
          <cell r="A2988" t="str">
            <v>Reginald</v>
          </cell>
          <cell r="B2988" t="str">
            <v>m</v>
          </cell>
        </row>
        <row r="2989">
          <cell r="A2989" t="str">
            <v>Regine</v>
          </cell>
          <cell r="B2989" t="str">
            <v>w</v>
          </cell>
        </row>
        <row r="2990">
          <cell r="A2990" t="str">
            <v>Régis</v>
          </cell>
          <cell r="B2990" t="str">
            <v>m</v>
          </cell>
        </row>
        <row r="2991">
          <cell r="A2991" t="str">
            <v>Regula</v>
          </cell>
          <cell r="B2991" t="str">
            <v>w</v>
          </cell>
        </row>
        <row r="2992">
          <cell r="A2992" t="str">
            <v>Reimar</v>
          </cell>
          <cell r="B2992" t="str">
            <v>m</v>
          </cell>
        </row>
        <row r="2993">
          <cell r="A2993" t="str">
            <v>Reimund</v>
          </cell>
          <cell r="B2993" t="str">
            <v>m</v>
          </cell>
        </row>
        <row r="2994">
          <cell r="A2994" t="str">
            <v>Reiner</v>
          </cell>
          <cell r="B2994" t="str">
            <v>m</v>
          </cell>
        </row>
        <row r="2995">
          <cell r="A2995" t="str">
            <v>Reinhard</v>
          </cell>
          <cell r="B2995" t="str">
            <v>m</v>
          </cell>
        </row>
        <row r="2996">
          <cell r="A2996" t="str">
            <v>Reinhild</v>
          </cell>
          <cell r="B2996" t="str">
            <v>w</v>
          </cell>
        </row>
        <row r="2997">
          <cell r="A2997" t="str">
            <v>Reinhold</v>
          </cell>
          <cell r="B2997" t="str">
            <v>m</v>
          </cell>
        </row>
        <row r="2998">
          <cell r="A2998" t="str">
            <v>Reinold</v>
          </cell>
          <cell r="B2998" t="str">
            <v>m</v>
          </cell>
        </row>
        <row r="2999">
          <cell r="A2999" t="str">
            <v>Remo</v>
          </cell>
          <cell r="B2999" t="str">
            <v>m</v>
          </cell>
        </row>
        <row r="3000">
          <cell r="A3000" t="str">
            <v>Renald</v>
          </cell>
          <cell r="B3000" t="str">
            <v>m</v>
          </cell>
        </row>
        <row r="3001">
          <cell r="A3001" t="str">
            <v>Renata</v>
          </cell>
          <cell r="B3001" t="str">
            <v>w</v>
          </cell>
        </row>
        <row r="3002">
          <cell r="A3002" t="str">
            <v>Renate</v>
          </cell>
          <cell r="B3002" t="str">
            <v>w</v>
          </cell>
        </row>
        <row r="3003">
          <cell r="A3003" t="str">
            <v>Renato</v>
          </cell>
          <cell r="B3003" t="str">
            <v>m</v>
          </cell>
        </row>
        <row r="3004">
          <cell r="A3004" t="str">
            <v>Renault</v>
          </cell>
          <cell r="B3004" t="str">
            <v>m</v>
          </cell>
        </row>
        <row r="3005">
          <cell r="A3005" t="str">
            <v>Rene</v>
          </cell>
          <cell r="B3005" t="str">
            <v>m</v>
          </cell>
        </row>
        <row r="3006">
          <cell r="A3006" t="str">
            <v>René</v>
          </cell>
          <cell r="B3006" t="str">
            <v>m</v>
          </cell>
        </row>
        <row r="3007">
          <cell r="A3007" t="str">
            <v>Renee</v>
          </cell>
          <cell r="B3007" t="str">
            <v>w</v>
          </cell>
        </row>
        <row r="3008">
          <cell r="A3008" t="str">
            <v>Renzo</v>
          </cell>
          <cell r="B3008" t="str">
            <v>m</v>
          </cell>
        </row>
        <row r="3009">
          <cell r="A3009" t="str">
            <v>Resi</v>
          </cell>
          <cell r="B3009" t="str">
            <v>w</v>
          </cell>
        </row>
        <row r="3010">
          <cell r="A3010" t="str">
            <v>Reto</v>
          </cell>
          <cell r="B3010" t="str">
            <v>m</v>
          </cell>
        </row>
        <row r="3011">
          <cell r="A3011" t="str">
            <v>Rex</v>
          </cell>
          <cell r="B3011" t="str">
            <v>m</v>
          </cell>
        </row>
        <row r="3012">
          <cell r="A3012" t="str">
            <v>Reynold</v>
          </cell>
          <cell r="B3012" t="str">
            <v>m</v>
          </cell>
        </row>
        <row r="3013">
          <cell r="A3013" t="str">
            <v>Rhea</v>
          </cell>
          <cell r="B3013" t="str">
            <v>w</v>
          </cell>
        </row>
        <row r="3014">
          <cell r="A3014" t="str">
            <v>Ria</v>
          </cell>
          <cell r="B3014" t="str">
            <v>w</v>
          </cell>
        </row>
        <row r="3015">
          <cell r="A3015" t="str">
            <v>Riana</v>
          </cell>
          <cell r="B3015" t="str">
            <v>w</v>
          </cell>
        </row>
        <row r="3016">
          <cell r="A3016" t="str">
            <v>Rica</v>
          </cell>
          <cell r="B3016" t="str">
            <v>w</v>
          </cell>
        </row>
        <row r="3017">
          <cell r="A3017" t="str">
            <v>Ricard</v>
          </cell>
          <cell r="B3017" t="str">
            <v>m</v>
          </cell>
        </row>
        <row r="3018">
          <cell r="A3018" t="str">
            <v>Ricarda</v>
          </cell>
          <cell r="B3018" t="str">
            <v>w</v>
          </cell>
        </row>
        <row r="3019">
          <cell r="A3019" t="str">
            <v>Ricardo</v>
          </cell>
          <cell r="B3019" t="str">
            <v>m</v>
          </cell>
        </row>
        <row r="3020">
          <cell r="A3020" t="str">
            <v>Rich</v>
          </cell>
          <cell r="B3020" t="str">
            <v>m</v>
          </cell>
        </row>
        <row r="3021">
          <cell r="A3021" t="str">
            <v>Richard</v>
          </cell>
          <cell r="B3021" t="str">
            <v>m</v>
          </cell>
        </row>
        <row r="3022">
          <cell r="A3022" t="str">
            <v>Richarda</v>
          </cell>
          <cell r="B3022" t="str">
            <v>w</v>
          </cell>
        </row>
        <row r="3023">
          <cell r="A3023" t="str">
            <v>Richmond</v>
          </cell>
          <cell r="B3023" t="str">
            <v>m</v>
          </cell>
        </row>
        <row r="3024">
          <cell r="A3024" t="str">
            <v>Rick</v>
          </cell>
          <cell r="B3024" t="str">
            <v>m</v>
          </cell>
        </row>
        <row r="3025">
          <cell r="A3025" t="str">
            <v>Rickard</v>
          </cell>
          <cell r="B3025" t="str">
            <v>m</v>
          </cell>
        </row>
        <row r="3026">
          <cell r="A3026" t="str">
            <v>Rickey</v>
          </cell>
          <cell r="B3026" t="str">
            <v>m</v>
          </cell>
        </row>
        <row r="3027">
          <cell r="A3027" t="str">
            <v>Rickie</v>
          </cell>
          <cell r="B3027" t="str">
            <v>m</v>
          </cell>
        </row>
        <row r="3028">
          <cell r="A3028" t="str">
            <v>Rickie</v>
          </cell>
          <cell r="B3028" t="str">
            <v>w</v>
          </cell>
        </row>
        <row r="3029">
          <cell r="A3029" t="str">
            <v>Ricky</v>
          </cell>
          <cell r="B3029" t="str">
            <v>m</v>
          </cell>
        </row>
        <row r="3030">
          <cell r="A3030" t="str">
            <v>Ricky</v>
          </cell>
          <cell r="B3030" t="str">
            <v>w</v>
          </cell>
        </row>
        <row r="3031">
          <cell r="A3031" t="str">
            <v>Ric-Michael</v>
          </cell>
          <cell r="B3031" t="str">
            <v>m</v>
          </cell>
        </row>
        <row r="3032">
          <cell r="A3032" t="str">
            <v>Rico</v>
          </cell>
          <cell r="B3032" t="str">
            <v>m</v>
          </cell>
        </row>
        <row r="3033">
          <cell r="A3033" t="str">
            <v>Rieke</v>
          </cell>
          <cell r="B3033" t="str">
            <v>w</v>
          </cell>
        </row>
        <row r="3034">
          <cell r="A3034" t="str">
            <v>Rigo</v>
          </cell>
          <cell r="B3034" t="str">
            <v>m</v>
          </cell>
        </row>
        <row r="3035">
          <cell r="A3035" t="str">
            <v>Rikchen</v>
          </cell>
          <cell r="B3035" t="str">
            <v>w</v>
          </cell>
        </row>
        <row r="3036">
          <cell r="A3036" t="str">
            <v>Rike</v>
          </cell>
          <cell r="B3036" t="str">
            <v>w</v>
          </cell>
        </row>
        <row r="3037">
          <cell r="A3037" t="str">
            <v>Rilla</v>
          </cell>
          <cell r="B3037" t="str">
            <v>w</v>
          </cell>
        </row>
        <row r="3038">
          <cell r="A3038" t="str">
            <v>Rille</v>
          </cell>
          <cell r="B3038" t="str">
            <v>w</v>
          </cell>
        </row>
        <row r="3039">
          <cell r="A3039" t="str">
            <v>Rillette</v>
          </cell>
          <cell r="B3039" t="str">
            <v>w</v>
          </cell>
        </row>
        <row r="3040">
          <cell r="A3040" t="str">
            <v>Risto</v>
          </cell>
          <cell r="B3040" t="str">
            <v>m</v>
          </cell>
        </row>
        <row r="3041">
          <cell r="A3041" t="str">
            <v>Rita</v>
          </cell>
          <cell r="B3041" t="str">
            <v>w</v>
          </cell>
        </row>
        <row r="3042">
          <cell r="A3042" t="str">
            <v>Ro</v>
          </cell>
          <cell r="B3042" t="str">
            <v>w</v>
          </cell>
        </row>
        <row r="3043">
          <cell r="A3043" t="str">
            <v>Rob</v>
          </cell>
          <cell r="B3043" t="str">
            <v>m</v>
          </cell>
        </row>
        <row r="3044">
          <cell r="A3044" t="str">
            <v>Robert</v>
          </cell>
          <cell r="B3044" t="str">
            <v>m</v>
          </cell>
        </row>
        <row r="3045">
          <cell r="A3045" t="str">
            <v>Roberta</v>
          </cell>
          <cell r="B3045" t="str">
            <v>w</v>
          </cell>
        </row>
        <row r="3046">
          <cell r="A3046" t="str">
            <v>Roberte</v>
          </cell>
          <cell r="B3046" t="str">
            <v>w</v>
          </cell>
        </row>
        <row r="3047">
          <cell r="A3047" t="str">
            <v>Robertina</v>
          </cell>
          <cell r="B3047" t="str">
            <v>w</v>
          </cell>
        </row>
        <row r="3048">
          <cell r="A3048" t="str">
            <v>Roberto</v>
          </cell>
          <cell r="B3048" t="str">
            <v>m</v>
          </cell>
        </row>
        <row r="3049">
          <cell r="A3049" t="str">
            <v>Robin</v>
          </cell>
          <cell r="B3049" t="str">
            <v>m</v>
          </cell>
        </row>
        <row r="3050">
          <cell r="A3050" t="str">
            <v>Robina</v>
          </cell>
          <cell r="B3050" t="str">
            <v>w</v>
          </cell>
        </row>
        <row r="3051">
          <cell r="A3051" t="str">
            <v>Robine</v>
          </cell>
          <cell r="B3051" t="str">
            <v>w</v>
          </cell>
        </row>
        <row r="3052">
          <cell r="A3052" t="str">
            <v>Rochus</v>
          </cell>
          <cell r="B3052" t="str">
            <v>m</v>
          </cell>
        </row>
        <row r="3053">
          <cell r="A3053" t="str">
            <v>Rocky</v>
          </cell>
          <cell r="B3053" t="str">
            <v>m</v>
          </cell>
        </row>
        <row r="3054">
          <cell r="A3054" t="str">
            <v>Rod</v>
          </cell>
          <cell r="B3054" t="str">
            <v>m</v>
          </cell>
        </row>
        <row r="3055">
          <cell r="A3055" t="str">
            <v>Rodd</v>
          </cell>
          <cell r="B3055" t="str">
            <v>m</v>
          </cell>
        </row>
        <row r="3056">
          <cell r="A3056" t="str">
            <v>Roddie</v>
          </cell>
          <cell r="B3056" t="str">
            <v>m</v>
          </cell>
        </row>
        <row r="3057">
          <cell r="A3057" t="str">
            <v>Roddie</v>
          </cell>
          <cell r="B3057" t="str">
            <v>w</v>
          </cell>
        </row>
        <row r="3058">
          <cell r="A3058" t="str">
            <v>Roddric</v>
          </cell>
          <cell r="B3058" t="str">
            <v>m</v>
          </cell>
        </row>
        <row r="3059">
          <cell r="A3059" t="str">
            <v>Roddrick</v>
          </cell>
          <cell r="B3059" t="str">
            <v>m</v>
          </cell>
        </row>
        <row r="3060">
          <cell r="A3060" t="str">
            <v>Roddy</v>
          </cell>
          <cell r="B3060" t="str">
            <v>m</v>
          </cell>
        </row>
        <row r="3061">
          <cell r="A3061" t="str">
            <v>Roddy</v>
          </cell>
          <cell r="B3061" t="str">
            <v>w</v>
          </cell>
        </row>
        <row r="3062">
          <cell r="A3062" t="str">
            <v>Roderic</v>
          </cell>
          <cell r="B3062" t="str">
            <v>m</v>
          </cell>
        </row>
        <row r="3063">
          <cell r="A3063" t="str">
            <v>Roderica</v>
          </cell>
          <cell r="B3063" t="str">
            <v>w</v>
          </cell>
        </row>
        <row r="3064">
          <cell r="A3064" t="str">
            <v>Roderich</v>
          </cell>
          <cell r="B3064" t="str">
            <v>m</v>
          </cell>
        </row>
        <row r="3065">
          <cell r="A3065" t="str">
            <v>Rodericka</v>
          </cell>
          <cell r="B3065" t="str">
            <v>w</v>
          </cell>
        </row>
        <row r="3066">
          <cell r="A3066" t="str">
            <v>Rodge</v>
          </cell>
          <cell r="B3066" t="str">
            <v>m</v>
          </cell>
        </row>
        <row r="3067">
          <cell r="A3067" t="str">
            <v>Rodger</v>
          </cell>
          <cell r="B3067" t="str">
            <v>m</v>
          </cell>
        </row>
        <row r="3068">
          <cell r="A3068" t="str">
            <v>Rodhlann</v>
          </cell>
          <cell r="B3068" t="str">
            <v>m</v>
          </cell>
        </row>
        <row r="3069">
          <cell r="A3069" t="str">
            <v>Rodi</v>
          </cell>
          <cell r="B3069" t="str">
            <v>m</v>
          </cell>
        </row>
        <row r="3070">
          <cell r="A3070" t="str">
            <v>Rodman</v>
          </cell>
          <cell r="B3070" t="str">
            <v>m</v>
          </cell>
        </row>
        <row r="3071">
          <cell r="A3071" t="str">
            <v>Rodmond</v>
          </cell>
          <cell r="B3071" t="str">
            <v>m</v>
          </cell>
        </row>
        <row r="3072">
          <cell r="A3072" t="str">
            <v>Rodmund</v>
          </cell>
          <cell r="B3072" t="str">
            <v>m</v>
          </cell>
        </row>
        <row r="3073">
          <cell r="A3073" t="str">
            <v>Rodney</v>
          </cell>
          <cell r="B3073" t="str">
            <v>m</v>
          </cell>
        </row>
        <row r="3074">
          <cell r="A3074" t="str">
            <v>Rodolf</v>
          </cell>
          <cell r="B3074" t="str">
            <v>m</v>
          </cell>
        </row>
        <row r="3075">
          <cell r="A3075" t="str">
            <v>Rodolfo</v>
          </cell>
          <cell r="B3075" t="str">
            <v>m</v>
          </cell>
        </row>
        <row r="3076">
          <cell r="A3076" t="str">
            <v>Rodolph</v>
          </cell>
          <cell r="B3076" t="str">
            <v>m</v>
          </cell>
        </row>
        <row r="3077">
          <cell r="A3077" t="str">
            <v>Roger</v>
          </cell>
          <cell r="B3077" t="str">
            <v>m</v>
          </cell>
        </row>
        <row r="3078">
          <cell r="A3078" t="str">
            <v>Rogj</v>
          </cell>
          <cell r="B3078" t="str">
            <v>m</v>
          </cell>
        </row>
        <row r="3079">
          <cell r="A3079" t="str">
            <v>Rol</v>
          </cell>
          <cell r="B3079" t="str">
            <v>m</v>
          </cell>
        </row>
        <row r="3080">
          <cell r="A3080" t="str">
            <v>Rola</v>
          </cell>
          <cell r="B3080" t="str">
            <v>w</v>
          </cell>
        </row>
        <row r="3081">
          <cell r="A3081" t="str">
            <v>Roland</v>
          </cell>
          <cell r="B3081" t="str">
            <v>m</v>
          </cell>
        </row>
        <row r="3082">
          <cell r="A3082" t="str">
            <v>Rolanda</v>
          </cell>
          <cell r="B3082" t="str">
            <v>w</v>
          </cell>
        </row>
        <row r="3083">
          <cell r="A3083" t="str">
            <v>Rolande</v>
          </cell>
          <cell r="B3083" t="str">
            <v>w</v>
          </cell>
        </row>
        <row r="3084">
          <cell r="A3084" t="str">
            <v>Rolando</v>
          </cell>
          <cell r="B3084" t="str">
            <v>m</v>
          </cell>
        </row>
        <row r="3085">
          <cell r="A3085" t="str">
            <v>Rolf</v>
          </cell>
          <cell r="B3085" t="str">
            <v>m</v>
          </cell>
        </row>
        <row r="3086">
          <cell r="A3086" t="str">
            <v>Rolfe</v>
          </cell>
          <cell r="B3086" t="str">
            <v>m</v>
          </cell>
        </row>
        <row r="3087">
          <cell r="A3087" t="str">
            <v>Rollan</v>
          </cell>
          <cell r="B3087" t="str">
            <v>m</v>
          </cell>
        </row>
        <row r="3088">
          <cell r="A3088" t="str">
            <v>Rolland</v>
          </cell>
          <cell r="B3088" t="str">
            <v>m</v>
          </cell>
        </row>
        <row r="3089">
          <cell r="A3089" t="str">
            <v>Rollie</v>
          </cell>
          <cell r="B3089" t="str">
            <v>m</v>
          </cell>
        </row>
        <row r="3090">
          <cell r="A3090" t="str">
            <v>Rollin</v>
          </cell>
          <cell r="B3090" t="str">
            <v>m</v>
          </cell>
        </row>
        <row r="3091">
          <cell r="A3091" t="str">
            <v>Rollo</v>
          </cell>
          <cell r="B3091" t="str">
            <v>m</v>
          </cell>
        </row>
        <row r="3092">
          <cell r="A3092" t="str">
            <v>Rolof</v>
          </cell>
          <cell r="B3092" t="str">
            <v>m</v>
          </cell>
        </row>
        <row r="3093">
          <cell r="A3093" t="str">
            <v>Rolph</v>
          </cell>
          <cell r="B3093" t="str">
            <v>m</v>
          </cell>
        </row>
        <row r="3094">
          <cell r="A3094" t="str">
            <v>Rolt</v>
          </cell>
          <cell r="B3094" t="str">
            <v>m</v>
          </cell>
        </row>
        <row r="3095">
          <cell r="A3095" t="str">
            <v>Roman</v>
          </cell>
          <cell r="B3095" t="str">
            <v>m</v>
          </cell>
        </row>
        <row r="3096">
          <cell r="A3096" t="str">
            <v>Romana</v>
          </cell>
          <cell r="B3096" t="str">
            <v>w</v>
          </cell>
        </row>
        <row r="3097">
          <cell r="A3097" t="str">
            <v>Romano</v>
          </cell>
          <cell r="B3097" t="str">
            <v>m</v>
          </cell>
        </row>
        <row r="3098">
          <cell r="A3098" t="str">
            <v>Romek</v>
          </cell>
          <cell r="B3098" t="str">
            <v>m</v>
          </cell>
        </row>
        <row r="3099">
          <cell r="A3099" t="str">
            <v>Romeo</v>
          </cell>
          <cell r="B3099" t="str">
            <v>m</v>
          </cell>
        </row>
        <row r="3100">
          <cell r="A3100" t="str">
            <v>Romhilda</v>
          </cell>
          <cell r="B3100" t="str">
            <v>w</v>
          </cell>
        </row>
        <row r="3101">
          <cell r="A3101" t="str">
            <v>Romhilde</v>
          </cell>
          <cell r="B3101" t="str">
            <v>w</v>
          </cell>
        </row>
        <row r="3102">
          <cell r="A3102" t="str">
            <v>Romilda</v>
          </cell>
          <cell r="B3102" t="str">
            <v>w</v>
          </cell>
        </row>
        <row r="3103">
          <cell r="A3103" t="str">
            <v>Romilde</v>
          </cell>
          <cell r="B3103" t="str">
            <v>w</v>
          </cell>
        </row>
        <row r="3104">
          <cell r="A3104" t="str">
            <v>Romy</v>
          </cell>
          <cell r="B3104" t="str">
            <v>w</v>
          </cell>
        </row>
        <row r="3105">
          <cell r="A3105" t="str">
            <v>Ron</v>
          </cell>
          <cell r="B3105" t="str">
            <v>m</v>
          </cell>
        </row>
        <row r="3106">
          <cell r="A3106" t="str">
            <v>Ronald</v>
          </cell>
          <cell r="B3106" t="str">
            <v>m</v>
          </cell>
        </row>
        <row r="3107">
          <cell r="A3107" t="str">
            <v>Ronalda</v>
          </cell>
          <cell r="B3107" t="str">
            <v>w</v>
          </cell>
        </row>
        <row r="3108">
          <cell r="A3108" t="str">
            <v>Ronalde</v>
          </cell>
          <cell r="B3108" t="str">
            <v>w</v>
          </cell>
        </row>
        <row r="3109">
          <cell r="A3109" t="str">
            <v>Ronaldo</v>
          </cell>
          <cell r="B3109" t="str">
            <v>m</v>
          </cell>
        </row>
        <row r="3110">
          <cell r="A3110" t="str">
            <v>Ronja</v>
          </cell>
          <cell r="B3110" t="str">
            <v>w</v>
          </cell>
        </row>
        <row r="3111">
          <cell r="A3111" t="str">
            <v>Ronnie</v>
          </cell>
          <cell r="B3111" t="str">
            <v>w</v>
          </cell>
        </row>
        <row r="3112">
          <cell r="A3112" t="str">
            <v>Ronny</v>
          </cell>
          <cell r="B3112" t="str">
            <v>m</v>
          </cell>
        </row>
        <row r="3113">
          <cell r="A3113" t="str">
            <v>Ronny</v>
          </cell>
          <cell r="B3113" t="str">
            <v>w</v>
          </cell>
        </row>
        <row r="3114">
          <cell r="A3114" t="str">
            <v>Rosa</v>
          </cell>
          <cell r="B3114" t="str">
            <v>w</v>
          </cell>
        </row>
        <row r="3115">
          <cell r="A3115" t="str">
            <v>Rosalba</v>
          </cell>
          <cell r="B3115" t="str">
            <v>w</v>
          </cell>
        </row>
        <row r="3116">
          <cell r="A3116" t="str">
            <v>Rosalie</v>
          </cell>
          <cell r="B3116" t="str">
            <v>w</v>
          </cell>
        </row>
        <row r="3117">
          <cell r="A3117" t="str">
            <v>Rosalinde</v>
          </cell>
          <cell r="B3117" t="str">
            <v>w</v>
          </cell>
        </row>
        <row r="3118">
          <cell r="A3118" t="str">
            <v>Rosamunde</v>
          </cell>
          <cell r="B3118" t="str">
            <v>w</v>
          </cell>
        </row>
        <row r="3119">
          <cell r="A3119" t="str">
            <v>Rosanna</v>
          </cell>
          <cell r="B3119" t="str">
            <v>w</v>
          </cell>
        </row>
        <row r="3120">
          <cell r="A3120" t="str">
            <v>Rose</v>
          </cell>
          <cell r="B3120" t="str">
            <v>w</v>
          </cell>
        </row>
        <row r="3121">
          <cell r="A3121" t="str">
            <v>Rosegrethe</v>
          </cell>
          <cell r="B3121" t="str">
            <v>w</v>
          </cell>
        </row>
        <row r="3122">
          <cell r="A3122" t="str">
            <v>Rosel</v>
          </cell>
          <cell r="B3122" t="str">
            <v>w</v>
          </cell>
        </row>
        <row r="3123">
          <cell r="A3123" t="str">
            <v>Rosella</v>
          </cell>
          <cell r="B3123" t="str">
            <v>w</v>
          </cell>
        </row>
        <row r="3124">
          <cell r="A3124" t="str">
            <v>Rosellina</v>
          </cell>
          <cell r="B3124" t="str">
            <v>w</v>
          </cell>
        </row>
        <row r="3125">
          <cell r="A3125" t="str">
            <v>Rosemarie</v>
          </cell>
          <cell r="B3125" t="str">
            <v>w</v>
          </cell>
        </row>
        <row r="3126">
          <cell r="A3126" t="str">
            <v>Rosi</v>
          </cell>
          <cell r="B3126" t="str">
            <v>w</v>
          </cell>
        </row>
        <row r="3127">
          <cell r="A3127" t="str">
            <v>Rosina</v>
          </cell>
          <cell r="B3127" t="str">
            <v>w</v>
          </cell>
        </row>
        <row r="3128">
          <cell r="A3128" t="str">
            <v>Rosine</v>
          </cell>
          <cell r="B3128" t="str">
            <v>w</v>
          </cell>
        </row>
        <row r="3129">
          <cell r="A3129" t="str">
            <v>Rosita</v>
          </cell>
          <cell r="B3129" t="str">
            <v>w</v>
          </cell>
        </row>
        <row r="3130">
          <cell r="A3130" t="str">
            <v>Rosmarie</v>
          </cell>
          <cell r="B3130" t="str">
            <v>w</v>
          </cell>
        </row>
        <row r="3131">
          <cell r="A3131" t="str">
            <v>Roswald</v>
          </cell>
          <cell r="B3131" t="str">
            <v>m</v>
          </cell>
        </row>
        <row r="3132">
          <cell r="A3132" t="str">
            <v>Roswall</v>
          </cell>
          <cell r="B3132" t="str">
            <v>m</v>
          </cell>
        </row>
        <row r="3133">
          <cell r="A3133" t="str">
            <v>Roswell</v>
          </cell>
          <cell r="B3133" t="str">
            <v>m</v>
          </cell>
        </row>
        <row r="3134">
          <cell r="A3134" t="str">
            <v>Roswita</v>
          </cell>
          <cell r="B3134" t="str">
            <v>w</v>
          </cell>
        </row>
        <row r="3135">
          <cell r="A3135" t="str">
            <v>Roswitha</v>
          </cell>
          <cell r="B3135" t="str">
            <v>w</v>
          </cell>
        </row>
        <row r="3136">
          <cell r="A3136" t="str">
            <v>Roterica</v>
          </cell>
          <cell r="B3136" t="str">
            <v>w</v>
          </cell>
        </row>
        <row r="3137">
          <cell r="A3137" t="str">
            <v>Roth</v>
          </cell>
          <cell r="B3137" t="str">
            <v>m</v>
          </cell>
        </row>
        <row r="3138">
          <cell r="A3138" t="str">
            <v>Rouven</v>
          </cell>
          <cell r="B3138" t="str">
            <v>m</v>
          </cell>
        </row>
        <row r="3139">
          <cell r="A3139" t="str">
            <v>Rowe</v>
          </cell>
          <cell r="B3139" t="str">
            <v>m</v>
          </cell>
        </row>
        <row r="3140">
          <cell r="A3140" t="str">
            <v>Rowland</v>
          </cell>
          <cell r="B3140" t="str">
            <v>m</v>
          </cell>
        </row>
        <row r="3141">
          <cell r="A3141" t="str">
            <v>Rownan</v>
          </cell>
          <cell r="B3141" t="str">
            <v>w</v>
          </cell>
        </row>
        <row r="3142">
          <cell r="A3142" t="str">
            <v>Roxana</v>
          </cell>
          <cell r="B3142" t="str">
            <v>w</v>
          </cell>
        </row>
        <row r="3143">
          <cell r="A3143" t="str">
            <v>Roxane</v>
          </cell>
          <cell r="B3143" t="str">
            <v>w</v>
          </cell>
        </row>
        <row r="3144">
          <cell r="A3144" t="str">
            <v>Roxanne</v>
          </cell>
          <cell r="B3144" t="str">
            <v>w</v>
          </cell>
        </row>
        <row r="3145">
          <cell r="A3145" t="str">
            <v>Roy</v>
          </cell>
          <cell r="B3145" t="str">
            <v>m</v>
          </cell>
        </row>
        <row r="3146">
          <cell r="A3146" t="str">
            <v>Roya</v>
          </cell>
          <cell r="B3146" t="str">
            <v>w</v>
          </cell>
        </row>
        <row r="3147">
          <cell r="A3147" t="str">
            <v>Ruben</v>
          </cell>
          <cell r="B3147" t="str">
            <v>m</v>
          </cell>
        </row>
        <row r="3148">
          <cell r="A3148" t="str">
            <v>Rudella</v>
          </cell>
          <cell r="B3148" t="str">
            <v>w</v>
          </cell>
        </row>
        <row r="3149">
          <cell r="A3149" t="str">
            <v>Rudelle</v>
          </cell>
          <cell r="B3149" t="str">
            <v>w</v>
          </cell>
        </row>
        <row r="3150">
          <cell r="A3150" t="str">
            <v>Rudi</v>
          </cell>
          <cell r="B3150" t="str">
            <v>m</v>
          </cell>
        </row>
        <row r="3151">
          <cell r="A3151" t="str">
            <v>Rudiger</v>
          </cell>
          <cell r="B3151" t="str">
            <v>m</v>
          </cell>
        </row>
        <row r="3152">
          <cell r="A3152" t="str">
            <v>Rüdiger</v>
          </cell>
          <cell r="B3152" t="str">
            <v>m</v>
          </cell>
        </row>
        <row r="3153">
          <cell r="A3153" t="str">
            <v>Rudolf</v>
          </cell>
          <cell r="B3153" t="str">
            <v>m</v>
          </cell>
        </row>
        <row r="3154">
          <cell r="A3154" t="str">
            <v>Rudolfo</v>
          </cell>
          <cell r="B3154" t="str">
            <v>m</v>
          </cell>
        </row>
        <row r="3155">
          <cell r="A3155" t="str">
            <v>Rudolph</v>
          </cell>
          <cell r="B3155" t="str">
            <v>m</v>
          </cell>
        </row>
        <row r="3156">
          <cell r="A3156" t="str">
            <v>Rudy</v>
          </cell>
          <cell r="B3156" t="str">
            <v>m</v>
          </cell>
        </row>
        <row r="3157">
          <cell r="A3157" t="str">
            <v>Ruggero</v>
          </cell>
          <cell r="B3157" t="str">
            <v>m</v>
          </cell>
        </row>
        <row r="3158">
          <cell r="A3158" t="str">
            <v>Rui</v>
          </cell>
          <cell r="B3158" t="str">
            <v>m</v>
          </cell>
        </row>
        <row r="3159">
          <cell r="A3159" t="str">
            <v>Rupert</v>
          </cell>
          <cell r="B3159" t="str">
            <v>m</v>
          </cell>
        </row>
        <row r="3160">
          <cell r="A3160" t="str">
            <v>Rupertina</v>
          </cell>
          <cell r="B3160" t="str">
            <v>w</v>
          </cell>
        </row>
        <row r="3161">
          <cell r="A3161" t="str">
            <v>Ruppert</v>
          </cell>
          <cell r="B3161" t="str">
            <v>m</v>
          </cell>
        </row>
        <row r="3162">
          <cell r="A3162" t="str">
            <v>Ruprecht</v>
          </cell>
          <cell r="B3162" t="str">
            <v>m</v>
          </cell>
        </row>
        <row r="3163">
          <cell r="A3163" t="str">
            <v>Ruskin</v>
          </cell>
          <cell r="B3163" t="str">
            <v>m</v>
          </cell>
        </row>
        <row r="3164">
          <cell r="A3164" t="str">
            <v>Rut</v>
          </cell>
          <cell r="B3164" t="str">
            <v>w</v>
          </cell>
        </row>
        <row r="3165">
          <cell r="A3165" t="str">
            <v>Ruth</v>
          </cell>
          <cell r="B3165" t="str">
            <v>w</v>
          </cell>
        </row>
        <row r="3166">
          <cell r="A3166" t="str">
            <v>Ruven</v>
          </cell>
          <cell r="B3166" t="str">
            <v>m</v>
          </cell>
        </row>
        <row r="3167">
          <cell r="A3167" t="str">
            <v>Sabatino</v>
          </cell>
          <cell r="B3167" t="str">
            <v>m</v>
          </cell>
        </row>
        <row r="3168">
          <cell r="A3168" t="str">
            <v>Sabina</v>
          </cell>
          <cell r="B3168" t="str">
            <v>w</v>
          </cell>
        </row>
        <row r="3169">
          <cell r="A3169" t="str">
            <v>Sabine</v>
          </cell>
          <cell r="B3169" t="str">
            <v>w</v>
          </cell>
        </row>
        <row r="3170">
          <cell r="A3170" t="str">
            <v>Sabrina</v>
          </cell>
          <cell r="B3170" t="str">
            <v>w</v>
          </cell>
        </row>
        <row r="3171">
          <cell r="A3171" t="str">
            <v>Sacharja</v>
          </cell>
          <cell r="B3171" t="str">
            <v>m</v>
          </cell>
        </row>
        <row r="3172">
          <cell r="A3172" t="str">
            <v>Sadddique</v>
          </cell>
          <cell r="B3172" t="str">
            <v>m</v>
          </cell>
        </row>
        <row r="3173">
          <cell r="A3173" t="str">
            <v>Safet</v>
          </cell>
          <cell r="B3173" t="str">
            <v>m</v>
          </cell>
        </row>
        <row r="3174">
          <cell r="A3174" t="str">
            <v>Sahra</v>
          </cell>
          <cell r="B3174" t="str">
            <v>w</v>
          </cell>
        </row>
        <row r="3175">
          <cell r="A3175" t="str">
            <v>Saladin</v>
          </cell>
          <cell r="B3175" t="str">
            <v>m</v>
          </cell>
        </row>
        <row r="3176">
          <cell r="A3176" t="str">
            <v>Saladino</v>
          </cell>
          <cell r="B3176" t="str">
            <v>m</v>
          </cell>
        </row>
        <row r="3177">
          <cell r="A3177" t="str">
            <v>Salentin</v>
          </cell>
          <cell r="B3177" t="str">
            <v>m</v>
          </cell>
        </row>
        <row r="3178">
          <cell r="A3178" t="str">
            <v>Salim</v>
          </cell>
          <cell r="B3178" t="str">
            <v>m</v>
          </cell>
        </row>
        <row r="3179">
          <cell r="A3179" t="str">
            <v>Sally</v>
          </cell>
          <cell r="B3179" t="str">
            <v>w</v>
          </cell>
        </row>
        <row r="3180">
          <cell r="A3180" t="str">
            <v>Salome</v>
          </cell>
          <cell r="B3180" t="str">
            <v>w</v>
          </cell>
        </row>
        <row r="3181">
          <cell r="A3181" t="str">
            <v>Salomo</v>
          </cell>
          <cell r="B3181" t="str">
            <v>m</v>
          </cell>
        </row>
        <row r="3182">
          <cell r="A3182" t="str">
            <v>Salomon</v>
          </cell>
          <cell r="B3182" t="str">
            <v>m</v>
          </cell>
        </row>
        <row r="3183">
          <cell r="A3183" t="str">
            <v>Salomone</v>
          </cell>
          <cell r="B3183" t="str">
            <v>m</v>
          </cell>
        </row>
        <row r="3184">
          <cell r="A3184" t="str">
            <v>Salvador</v>
          </cell>
          <cell r="B3184" t="str">
            <v>m</v>
          </cell>
        </row>
        <row r="3185">
          <cell r="A3185" t="str">
            <v>Salvator</v>
          </cell>
          <cell r="B3185" t="str">
            <v>m</v>
          </cell>
        </row>
        <row r="3186">
          <cell r="A3186" t="str">
            <v>Salvatore</v>
          </cell>
          <cell r="B3186" t="str">
            <v>m</v>
          </cell>
        </row>
        <row r="3187">
          <cell r="A3187" t="str">
            <v>Salvina</v>
          </cell>
          <cell r="B3187" t="str">
            <v>w</v>
          </cell>
        </row>
        <row r="3188">
          <cell r="A3188" t="str">
            <v>Salwa</v>
          </cell>
          <cell r="B3188" t="str">
            <v>w</v>
          </cell>
        </row>
        <row r="3189">
          <cell r="A3189" t="str">
            <v>Sam</v>
          </cell>
          <cell r="B3189" t="str">
            <v>m</v>
          </cell>
        </row>
        <row r="3190">
          <cell r="A3190" t="str">
            <v>Samantha</v>
          </cell>
          <cell r="B3190" t="str">
            <v>w</v>
          </cell>
        </row>
        <row r="3191">
          <cell r="A3191" t="str">
            <v>Sami</v>
          </cell>
          <cell r="B3191" t="str">
            <v>m</v>
          </cell>
        </row>
        <row r="3192">
          <cell r="A3192" t="str">
            <v>Samira</v>
          </cell>
          <cell r="B3192" t="str">
            <v>w</v>
          </cell>
        </row>
        <row r="3193">
          <cell r="A3193" t="str">
            <v>Sammy</v>
          </cell>
          <cell r="B3193" t="str">
            <v>m</v>
          </cell>
        </row>
        <row r="3194">
          <cell r="A3194" t="str">
            <v>Samuel</v>
          </cell>
          <cell r="B3194" t="str">
            <v>m</v>
          </cell>
        </row>
        <row r="3195">
          <cell r="A3195" t="str">
            <v>Samy</v>
          </cell>
          <cell r="B3195" t="str">
            <v>m</v>
          </cell>
        </row>
        <row r="3196">
          <cell r="A3196" t="str">
            <v>Sandra</v>
          </cell>
          <cell r="B3196" t="str">
            <v>w</v>
          </cell>
        </row>
        <row r="3197">
          <cell r="A3197" t="str">
            <v>Sandria</v>
          </cell>
          <cell r="B3197" t="str">
            <v>w</v>
          </cell>
        </row>
        <row r="3198">
          <cell r="A3198" t="str">
            <v>Sandrina</v>
          </cell>
          <cell r="B3198" t="str">
            <v>w</v>
          </cell>
        </row>
        <row r="3199">
          <cell r="A3199" t="str">
            <v>Sandrine</v>
          </cell>
          <cell r="B3199" t="str">
            <v>w</v>
          </cell>
        </row>
        <row r="3200">
          <cell r="A3200" t="str">
            <v>Sandro</v>
          </cell>
          <cell r="B3200" t="str">
            <v>m</v>
          </cell>
        </row>
        <row r="3201">
          <cell r="A3201" t="str">
            <v>Sandy</v>
          </cell>
          <cell r="B3201" t="str">
            <v>w</v>
          </cell>
        </row>
        <row r="3202">
          <cell r="A3202" t="str">
            <v>Sanetra</v>
          </cell>
          <cell r="B3202" t="str">
            <v>w</v>
          </cell>
        </row>
        <row r="3203">
          <cell r="A3203" t="str">
            <v>Sanne</v>
          </cell>
          <cell r="B3203" t="str">
            <v>w</v>
          </cell>
        </row>
        <row r="3204">
          <cell r="A3204" t="str">
            <v>Saphira</v>
          </cell>
          <cell r="B3204" t="str">
            <v>w</v>
          </cell>
        </row>
        <row r="3205">
          <cell r="A3205" t="str">
            <v>Sara</v>
          </cell>
          <cell r="B3205" t="str">
            <v>w</v>
          </cell>
        </row>
        <row r="3206">
          <cell r="A3206" t="str">
            <v>Sarah</v>
          </cell>
          <cell r="B3206" t="str">
            <v>w</v>
          </cell>
        </row>
        <row r="3207">
          <cell r="A3207" t="str">
            <v>Sascha</v>
          </cell>
          <cell r="B3207" t="str">
            <v>m</v>
          </cell>
        </row>
        <row r="3208">
          <cell r="A3208" t="str">
            <v>Saskia</v>
          </cell>
          <cell r="B3208" t="str">
            <v>w</v>
          </cell>
        </row>
        <row r="3209">
          <cell r="A3209" t="str">
            <v>Sasna</v>
          </cell>
          <cell r="B3209" t="str">
            <v>w</v>
          </cell>
        </row>
        <row r="3210">
          <cell r="A3210" t="str">
            <v>Saverio</v>
          </cell>
          <cell r="B3210" t="str">
            <v>m</v>
          </cell>
        </row>
        <row r="3211">
          <cell r="A3211" t="str">
            <v>Saxona</v>
          </cell>
          <cell r="B3211" t="str">
            <v>w</v>
          </cell>
        </row>
        <row r="3212">
          <cell r="A3212" t="str">
            <v>Scarlet</v>
          </cell>
          <cell r="B3212" t="str">
            <v>w</v>
          </cell>
        </row>
        <row r="3213">
          <cell r="A3213" t="str">
            <v>Scarlett</v>
          </cell>
          <cell r="B3213" t="str">
            <v>w</v>
          </cell>
        </row>
        <row r="3214">
          <cell r="A3214" t="str">
            <v>Schorsch</v>
          </cell>
          <cell r="B3214" t="str">
            <v>m</v>
          </cell>
        </row>
        <row r="3215">
          <cell r="A3215" t="str">
            <v>Scipio</v>
          </cell>
          <cell r="B3215" t="str">
            <v>m</v>
          </cell>
        </row>
        <row r="3216">
          <cell r="A3216" t="str">
            <v>Scipione</v>
          </cell>
          <cell r="B3216" t="str">
            <v>m</v>
          </cell>
        </row>
        <row r="3217">
          <cell r="A3217" t="str">
            <v>Sean</v>
          </cell>
          <cell r="B3217" t="str">
            <v>m</v>
          </cell>
        </row>
        <row r="3218">
          <cell r="A3218" t="str">
            <v>Searl</v>
          </cell>
          <cell r="B3218" t="str">
            <v>m</v>
          </cell>
        </row>
        <row r="3219">
          <cell r="A3219" t="str">
            <v>Searle</v>
          </cell>
          <cell r="B3219" t="str">
            <v>m</v>
          </cell>
        </row>
        <row r="3220">
          <cell r="A3220" t="str">
            <v>Sebastian</v>
          </cell>
          <cell r="B3220" t="str">
            <v>m</v>
          </cell>
        </row>
        <row r="3221">
          <cell r="A3221" t="str">
            <v>Sebastiano</v>
          </cell>
          <cell r="B3221" t="str">
            <v>m</v>
          </cell>
        </row>
        <row r="3222">
          <cell r="A3222" t="str">
            <v>Seid</v>
          </cell>
          <cell r="B3222" t="str">
            <v>m</v>
          </cell>
        </row>
        <row r="3223">
          <cell r="A3223" t="str">
            <v>Selby</v>
          </cell>
          <cell r="B3223" t="str">
            <v>m</v>
          </cell>
        </row>
        <row r="3224">
          <cell r="A3224" t="str">
            <v>Selim</v>
          </cell>
          <cell r="B3224" t="str">
            <v>m</v>
          </cell>
        </row>
        <row r="3225">
          <cell r="A3225" t="str">
            <v>Selima</v>
          </cell>
          <cell r="B3225" t="str">
            <v>w</v>
          </cell>
        </row>
        <row r="3226">
          <cell r="A3226" t="str">
            <v>Selina</v>
          </cell>
          <cell r="B3226" t="str">
            <v>w</v>
          </cell>
        </row>
        <row r="3227">
          <cell r="A3227" t="str">
            <v>Selma</v>
          </cell>
          <cell r="B3227" t="str">
            <v>w</v>
          </cell>
        </row>
        <row r="3228">
          <cell r="A3228" t="str">
            <v>Semjon</v>
          </cell>
          <cell r="B3228" t="str">
            <v>m</v>
          </cell>
        </row>
        <row r="3229">
          <cell r="A3229" t="str">
            <v>Senad</v>
          </cell>
          <cell r="B3229" t="str">
            <v>m</v>
          </cell>
        </row>
        <row r="3230">
          <cell r="A3230" t="str">
            <v>Senta</v>
          </cell>
          <cell r="B3230" t="str">
            <v>w</v>
          </cell>
        </row>
        <row r="3231">
          <cell r="A3231" t="str">
            <v>Sepp</v>
          </cell>
          <cell r="B3231" t="str">
            <v>m</v>
          </cell>
        </row>
        <row r="3232">
          <cell r="A3232" t="str">
            <v>Seppel</v>
          </cell>
          <cell r="B3232" t="str">
            <v>m</v>
          </cell>
        </row>
        <row r="3233">
          <cell r="A3233" t="str">
            <v>Sepperl</v>
          </cell>
          <cell r="B3233" t="str">
            <v>m</v>
          </cell>
        </row>
        <row r="3234">
          <cell r="A3234" t="str">
            <v>Seppi</v>
          </cell>
          <cell r="B3234" t="str">
            <v>m</v>
          </cell>
        </row>
        <row r="3235">
          <cell r="A3235" t="str">
            <v>Serafin</v>
          </cell>
          <cell r="B3235" t="str">
            <v>w</v>
          </cell>
        </row>
        <row r="3236">
          <cell r="A3236" t="str">
            <v>Serafina</v>
          </cell>
          <cell r="B3236" t="str">
            <v>w</v>
          </cell>
        </row>
        <row r="3237">
          <cell r="A3237" t="str">
            <v>Seraphin</v>
          </cell>
          <cell r="B3237" t="str">
            <v>w</v>
          </cell>
        </row>
        <row r="3238">
          <cell r="A3238" t="str">
            <v>Seraphina</v>
          </cell>
          <cell r="B3238" t="str">
            <v>w</v>
          </cell>
        </row>
        <row r="3239">
          <cell r="A3239" t="str">
            <v>Seraphine</v>
          </cell>
          <cell r="B3239" t="str">
            <v>w</v>
          </cell>
        </row>
        <row r="3240">
          <cell r="A3240" t="str">
            <v>Serfine</v>
          </cell>
          <cell r="B3240" t="str">
            <v>w</v>
          </cell>
        </row>
        <row r="3241">
          <cell r="A3241" t="str">
            <v>Sergej</v>
          </cell>
          <cell r="B3241" t="str">
            <v>m</v>
          </cell>
        </row>
        <row r="3242">
          <cell r="A3242" t="str">
            <v>Sergio</v>
          </cell>
          <cell r="B3242" t="str">
            <v>m</v>
          </cell>
        </row>
        <row r="3243">
          <cell r="A3243" t="str">
            <v>Sergius</v>
          </cell>
          <cell r="B3243" t="str">
            <v>m</v>
          </cell>
        </row>
        <row r="3244">
          <cell r="A3244" t="str">
            <v>Serhilda</v>
          </cell>
          <cell r="B3244" t="str">
            <v>w</v>
          </cell>
        </row>
        <row r="3245">
          <cell r="A3245" t="str">
            <v>Serhilde</v>
          </cell>
          <cell r="B3245" t="str">
            <v>w</v>
          </cell>
        </row>
        <row r="3246">
          <cell r="A3246" t="str">
            <v>Serilda</v>
          </cell>
          <cell r="B3246" t="str">
            <v>w</v>
          </cell>
        </row>
        <row r="3247">
          <cell r="A3247" t="str">
            <v>Serilde</v>
          </cell>
          <cell r="B3247" t="str">
            <v>w</v>
          </cell>
        </row>
        <row r="3248">
          <cell r="A3248" t="str">
            <v>Sesto</v>
          </cell>
          <cell r="B3248" t="str">
            <v>m</v>
          </cell>
        </row>
        <row r="3249">
          <cell r="A3249" t="str">
            <v>Severin</v>
          </cell>
          <cell r="B3249" t="str">
            <v>m</v>
          </cell>
        </row>
        <row r="3250">
          <cell r="A3250" t="str">
            <v>Severinus</v>
          </cell>
          <cell r="B3250" t="str">
            <v>m</v>
          </cell>
        </row>
        <row r="3251">
          <cell r="A3251" t="str">
            <v>Severus</v>
          </cell>
          <cell r="B3251" t="str">
            <v>m</v>
          </cell>
        </row>
        <row r="3252">
          <cell r="A3252" t="str">
            <v>Sevim</v>
          </cell>
          <cell r="B3252" t="str">
            <v>m</v>
          </cell>
        </row>
        <row r="3253">
          <cell r="A3253" t="str">
            <v>Sewell</v>
          </cell>
          <cell r="B3253" t="str">
            <v>m</v>
          </cell>
        </row>
        <row r="3254">
          <cell r="A3254" t="str">
            <v>Seymour</v>
          </cell>
          <cell r="B3254" t="str">
            <v>m</v>
          </cell>
        </row>
        <row r="3255">
          <cell r="A3255" t="str">
            <v>Shalina</v>
          </cell>
          <cell r="B3255" t="str">
            <v>w</v>
          </cell>
        </row>
        <row r="3256">
          <cell r="A3256" t="str">
            <v>Shalyna</v>
          </cell>
          <cell r="B3256" t="str">
            <v>w</v>
          </cell>
        </row>
        <row r="3257">
          <cell r="A3257" t="str">
            <v>Shana</v>
          </cell>
          <cell r="B3257" t="str">
            <v>w</v>
          </cell>
        </row>
        <row r="3258">
          <cell r="A3258" t="str">
            <v>Shania</v>
          </cell>
          <cell r="B3258" t="str">
            <v>w</v>
          </cell>
        </row>
        <row r="3259">
          <cell r="A3259" t="str">
            <v>Shanice</v>
          </cell>
          <cell r="B3259" t="str">
            <v>w</v>
          </cell>
        </row>
        <row r="3260">
          <cell r="A3260" t="str">
            <v>Shantala</v>
          </cell>
          <cell r="B3260" t="str">
            <v>w</v>
          </cell>
        </row>
        <row r="3261">
          <cell r="A3261" t="str">
            <v>Sharleen</v>
          </cell>
          <cell r="B3261" t="str">
            <v>w</v>
          </cell>
        </row>
        <row r="3262">
          <cell r="A3262" t="str">
            <v>Sharon</v>
          </cell>
          <cell r="B3262" t="str">
            <v>w</v>
          </cell>
        </row>
        <row r="3263">
          <cell r="A3263" t="str">
            <v>Sheryl</v>
          </cell>
          <cell r="B3263" t="str">
            <v>w</v>
          </cell>
        </row>
        <row r="3264">
          <cell r="A3264" t="str">
            <v>Sheyla</v>
          </cell>
          <cell r="B3264" t="str">
            <v>w</v>
          </cell>
        </row>
        <row r="3265">
          <cell r="A3265" t="str">
            <v>Shirley</v>
          </cell>
          <cell r="B3265" t="str">
            <v>w</v>
          </cell>
        </row>
        <row r="3266">
          <cell r="A3266" t="str">
            <v>Sibilla</v>
          </cell>
          <cell r="B3266" t="str">
            <v>w</v>
          </cell>
        </row>
        <row r="3267">
          <cell r="A3267" t="str">
            <v>Sibille</v>
          </cell>
          <cell r="B3267" t="str">
            <v>w</v>
          </cell>
        </row>
        <row r="3268">
          <cell r="A3268" t="str">
            <v>Sibylla</v>
          </cell>
          <cell r="B3268" t="str">
            <v>w</v>
          </cell>
        </row>
        <row r="3269">
          <cell r="A3269" t="str">
            <v>Sibylle</v>
          </cell>
          <cell r="B3269" t="str">
            <v>w</v>
          </cell>
        </row>
        <row r="3270">
          <cell r="A3270" t="str">
            <v>Sidney</v>
          </cell>
          <cell r="B3270" t="str">
            <v>m</v>
          </cell>
        </row>
        <row r="3271">
          <cell r="A3271" t="str">
            <v>Siegbert</v>
          </cell>
          <cell r="B3271" t="str">
            <v>m</v>
          </cell>
        </row>
        <row r="3272">
          <cell r="A3272" t="str">
            <v>Siegfrid</v>
          </cell>
          <cell r="B3272" t="str">
            <v>m</v>
          </cell>
        </row>
        <row r="3273">
          <cell r="A3273" t="str">
            <v>Siegfried</v>
          </cell>
          <cell r="B3273" t="str">
            <v>m</v>
          </cell>
        </row>
        <row r="3274">
          <cell r="A3274" t="str">
            <v>Sieghard</v>
          </cell>
          <cell r="B3274" t="str">
            <v>m</v>
          </cell>
        </row>
        <row r="3275">
          <cell r="A3275" t="str">
            <v>Sieglinde</v>
          </cell>
          <cell r="B3275" t="str">
            <v>w</v>
          </cell>
        </row>
        <row r="3276">
          <cell r="A3276" t="str">
            <v>Siegmund</v>
          </cell>
          <cell r="B3276" t="str">
            <v>m</v>
          </cell>
        </row>
        <row r="3277">
          <cell r="A3277" t="str">
            <v>Sigfreda</v>
          </cell>
          <cell r="B3277" t="str">
            <v>w</v>
          </cell>
        </row>
        <row r="3278">
          <cell r="A3278" t="str">
            <v>Sigfrid</v>
          </cell>
          <cell r="B3278" t="str">
            <v>m</v>
          </cell>
        </row>
        <row r="3279">
          <cell r="A3279" t="str">
            <v>Sigfried</v>
          </cell>
          <cell r="B3279" t="str">
            <v>m</v>
          </cell>
        </row>
        <row r="3280">
          <cell r="A3280" t="str">
            <v>Sigfrieda</v>
          </cell>
          <cell r="B3280" t="str">
            <v>w</v>
          </cell>
        </row>
        <row r="3281">
          <cell r="A3281" t="str">
            <v>Sigfriede</v>
          </cell>
          <cell r="B3281" t="str">
            <v>w</v>
          </cell>
        </row>
        <row r="3282">
          <cell r="A3282" t="str">
            <v>Siggi</v>
          </cell>
          <cell r="B3282" t="str">
            <v>m</v>
          </cell>
        </row>
        <row r="3283">
          <cell r="A3283" t="str">
            <v>Sigismond</v>
          </cell>
          <cell r="B3283" t="str">
            <v>m</v>
          </cell>
        </row>
        <row r="3284">
          <cell r="A3284" t="str">
            <v>Sigismund</v>
          </cell>
          <cell r="B3284" t="str">
            <v>m</v>
          </cell>
        </row>
        <row r="3285">
          <cell r="A3285" t="str">
            <v>Sigmond</v>
          </cell>
          <cell r="B3285" t="str">
            <v>m</v>
          </cell>
        </row>
        <row r="3286">
          <cell r="A3286" t="str">
            <v>Sigmund</v>
          </cell>
          <cell r="B3286" t="str">
            <v>m</v>
          </cell>
        </row>
        <row r="3287">
          <cell r="A3287" t="str">
            <v>Sigrid</v>
          </cell>
          <cell r="B3287" t="str">
            <v>w</v>
          </cell>
        </row>
        <row r="3288">
          <cell r="A3288" t="str">
            <v>Sigrun</v>
          </cell>
          <cell r="B3288" t="str">
            <v>w</v>
          </cell>
        </row>
        <row r="3289">
          <cell r="A3289" t="str">
            <v>Sigurd</v>
          </cell>
          <cell r="B3289" t="str">
            <v>m</v>
          </cell>
        </row>
        <row r="3290">
          <cell r="A3290" t="str">
            <v>Sigwald</v>
          </cell>
          <cell r="B3290" t="str">
            <v>m</v>
          </cell>
        </row>
        <row r="3291">
          <cell r="A3291" t="str">
            <v>Silja</v>
          </cell>
          <cell r="B3291" t="str">
            <v>w</v>
          </cell>
        </row>
        <row r="3292">
          <cell r="A3292" t="str">
            <v>Silka</v>
          </cell>
          <cell r="B3292" t="str">
            <v>w</v>
          </cell>
        </row>
        <row r="3293">
          <cell r="A3293" t="str">
            <v>Silke</v>
          </cell>
          <cell r="B3293" t="str">
            <v>w</v>
          </cell>
        </row>
        <row r="3294">
          <cell r="A3294" t="str">
            <v>Silvana</v>
          </cell>
          <cell r="B3294" t="str">
            <v>w</v>
          </cell>
        </row>
        <row r="3295">
          <cell r="A3295" t="str">
            <v>Silvano</v>
          </cell>
          <cell r="B3295" t="str">
            <v>m</v>
          </cell>
        </row>
        <row r="3296">
          <cell r="A3296" t="str">
            <v>Silvester</v>
          </cell>
          <cell r="B3296" t="str">
            <v>m</v>
          </cell>
        </row>
        <row r="3297">
          <cell r="A3297" t="str">
            <v>Silvetta</v>
          </cell>
          <cell r="B3297" t="str">
            <v>w</v>
          </cell>
        </row>
        <row r="3298">
          <cell r="A3298" t="str">
            <v>Silvette</v>
          </cell>
          <cell r="B3298" t="str">
            <v>w</v>
          </cell>
        </row>
        <row r="3299">
          <cell r="A3299" t="str">
            <v>Silvia</v>
          </cell>
          <cell r="B3299" t="str">
            <v>w</v>
          </cell>
        </row>
        <row r="3300">
          <cell r="A3300" t="str">
            <v>Silvina</v>
          </cell>
          <cell r="B3300" t="str">
            <v>w</v>
          </cell>
        </row>
        <row r="3301">
          <cell r="A3301" t="str">
            <v>Silvio</v>
          </cell>
          <cell r="B3301" t="str">
            <v>m</v>
          </cell>
        </row>
        <row r="3302">
          <cell r="A3302" t="str">
            <v>Silvius</v>
          </cell>
          <cell r="B3302" t="str">
            <v>m</v>
          </cell>
        </row>
        <row r="3303">
          <cell r="A3303" t="str">
            <v>Simeon</v>
          </cell>
          <cell r="B3303" t="str">
            <v>m</v>
          </cell>
        </row>
        <row r="3304">
          <cell r="A3304" t="str">
            <v>Simon</v>
          </cell>
          <cell r="B3304" t="str">
            <v>m</v>
          </cell>
        </row>
        <row r="3305">
          <cell r="A3305" t="str">
            <v>Simona</v>
          </cell>
          <cell r="B3305" t="str">
            <v>w</v>
          </cell>
        </row>
        <row r="3306">
          <cell r="A3306" t="str">
            <v>Simone</v>
          </cell>
          <cell r="B3306" t="str">
            <v>w</v>
          </cell>
        </row>
        <row r="3307">
          <cell r="A3307" t="str">
            <v>Simonetta</v>
          </cell>
          <cell r="B3307" t="str">
            <v>w</v>
          </cell>
        </row>
        <row r="3308">
          <cell r="A3308" t="str">
            <v>Simonette</v>
          </cell>
          <cell r="B3308" t="str">
            <v>w</v>
          </cell>
        </row>
        <row r="3309">
          <cell r="A3309" t="str">
            <v>Sina</v>
          </cell>
          <cell r="B3309" t="str">
            <v>w</v>
          </cell>
        </row>
        <row r="3310">
          <cell r="A3310" t="str">
            <v>Sinan</v>
          </cell>
          <cell r="B3310" t="str">
            <v>m</v>
          </cell>
        </row>
        <row r="3311">
          <cell r="A3311" t="str">
            <v>Sinja</v>
          </cell>
          <cell r="B3311" t="str">
            <v>w</v>
          </cell>
        </row>
        <row r="3312">
          <cell r="A3312" t="str">
            <v>Sinje</v>
          </cell>
          <cell r="B3312" t="str">
            <v>w</v>
          </cell>
        </row>
        <row r="3313">
          <cell r="A3313" t="str">
            <v>Sissi</v>
          </cell>
          <cell r="B3313" t="str">
            <v>w</v>
          </cell>
        </row>
        <row r="3314">
          <cell r="A3314" t="str">
            <v>Sisto</v>
          </cell>
          <cell r="B3314" t="str">
            <v>m</v>
          </cell>
        </row>
        <row r="3315">
          <cell r="A3315" t="str">
            <v>Siward</v>
          </cell>
          <cell r="B3315" t="str">
            <v>m</v>
          </cell>
        </row>
        <row r="3316">
          <cell r="A3316" t="str">
            <v>Sixt</v>
          </cell>
          <cell r="B3316" t="str">
            <v>m</v>
          </cell>
        </row>
        <row r="3317">
          <cell r="A3317" t="str">
            <v>Sixtus</v>
          </cell>
          <cell r="B3317" t="str">
            <v>m</v>
          </cell>
        </row>
        <row r="3318">
          <cell r="A3318" t="str">
            <v>Skrolan</v>
          </cell>
          <cell r="B3318" t="str">
            <v>m</v>
          </cell>
        </row>
        <row r="3319">
          <cell r="A3319" t="str">
            <v>Slobodanka</v>
          </cell>
          <cell r="B3319" t="str">
            <v>w</v>
          </cell>
        </row>
        <row r="3320">
          <cell r="A3320" t="str">
            <v>Sobek</v>
          </cell>
          <cell r="B3320" t="str">
            <v>m</v>
          </cell>
        </row>
        <row r="3321">
          <cell r="A3321" t="str">
            <v>Sofia</v>
          </cell>
          <cell r="B3321" t="str">
            <v>w</v>
          </cell>
        </row>
        <row r="3322">
          <cell r="A3322" t="str">
            <v>Sofie</v>
          </cell>
          <cell r="B3322" t="str">
            <v>w</v>
          </cell>
        </row>
        <row r="3323">
          <cell r="A3323" t="str">
            <v>Solomon</v>
          </cell>
          <cell r="B3323" t="str">
            <v>m</v>
          </cell>
        </row>
        <row r="3324">
          <cell r="A3324" t="str">
            <v>Solvig</v>
          </cell>
          <cell r="B3324" t="str">
            <v>w</v>
          </cell>
        </row>
        <row r="3325">
          <cell r="A3325" t="str">
            <v>Somerled</v>
          </cell>
          <cell r="B3325" t="str">
            <v>m</v>
          </cell>
        </row>
        <row r="3326">
          <cell r="A3326" t="str">
            <v>Sonia</v>
          </cell>
          <cell r="B3326" t="str">
            <v>w</v>
          </cell>
        </row>
        <row r="3327">
          <cell r="A3327" t="str">
            <v>Sonja</v>
          </cell>
          <cell r="B3327" t="str">
            <v>w</v>
          </cell>
        </row>
        <row r="3328">
          <cell r="A3328" t="str">
            <v>Sonke</v>
          </cell>
          <cell r="B3328" t="str">
            <v>m</v>
          </cell>
        </row>
        <row r="3329">
          <cell r="A3329" t="str">
            <v>Sönke</v>
          </cell>
          <cell r="B3329" t="str">
            <v>m</v>
          </cell>
        </row>
        <row r="3330">
          <cell r="A3330" t="str">
            <v>Sonny</v>
          </cell>
          <cell r="B3330" t="str">
            <v>m</v>
          </cell>
        </row>
        <row r="3331">
          <cell r="A3331" t="str">
            <v>Sophia</v>
          </cell>
          <cell r="B3331" t="str">
            <v>w</v>
          </cell>
        </row>
        <row r="3332">
          <cell r="A3332" t="str">
            <v>Sophie</v>
          </cell>
          <cell r="B3332" t="str">
            <v>w</v>
          </cell>
        </row>
        <row r="3333">
          <cell r="A3333" t="str">
            <v>Soreen</v>
          </cell>
          <cell r="B3333" t="str">
            <v>w</v>
          </cell>
        </row>
        <row r="3334">
          <cell r="A3334" t="str">
            <v>Soren</v>
          </cell>
          <cell r="B3334" t="str">
            <v>m</v>
          </cell>
        </row>
        <row r="3335">
          <cell r="A3335" t="str">
            <v>Sören</v>
          </cell>
          <cell r="B3335" t="str">
            <v>m</v>
          </cell>
        </row>
        <row r="3336">
          <cell r="A3336" t="str">
            <v>Sorren</v>
          </cell>
          <cell r="B3336" t="str">
            <v>w</v>
          </cell>
        </row>
        <row r="3337">
          <cell r="A3337" t="str">
            <v>Spangler</v>
          </cell>
          <cell r="B3337" t="str">
            <v>m</v>
          </cell>
        </row>
        <row r="3338">
          <cell r="A3338" t="str">
            <v>Spiros</v>
          </cell>
          <cell r="B3338" t="str">
            <v>m</v>
          </cell>
        </row>
        <row r="3339">
          <cell r="A3339" t="str">
            <v>Sprague</v>
          </cell>
          <cell r="B3339" t="str">
            <v>m</v>
          </cell>
        </row>
        <row r="3340">
          <cell r="A3340" t="str">
            <v>Spyridon</v>
          </cell>
          <cell r="B3340" t="str">
            <v>m</v>
          </cell>
        </row>
        <row r="3341">
          <cell r="A3341" t="str">
            <v>Spyros</v>
          </cell>
          <cell r="B3341" t="str">
            <v>m</v>
          </cell>
        </row>
        <row r="3342">
          <cell r="A3342" t="str">
            <v>Stanek</v>
          </cell>
          <cell r="B3342" t="str">
            <v>m</v>
          </cell>
        </row>
        <row r="3343">
          <cell r="A3343" t="str">
            <v>Stanislaus</v>
          </cell>
          <cell r="B3343" t="str">
            <v>m</v>
          </cell>
        </row>
        <row r="3344">
          <cell r="A3344" t="str">
            <v>Stanley</v>
          </cell>
          <cell r="B3344" t="str">
            <v>m</v>
          </cell>
        </row>
        <row r="3345">
          <cell r="A3345" t="str">
            <v>Stefan</v>
          </cell>
          <cell r="B3345" t="str">
            <v>m</v>
          </cell>
        </row>
        <row r="3346">
          <cell r="A3346" t="str">
            <v>Stefana</v>
          </cell>
          <cell r="B3346" t="str">
            <v>w</v>
          </cell>
        </row>
        <row r="3347">
          <cell r="A3347" t="str">
            <v>Stefania</v>
          </cell>
          <cell r="B3347" t="str">
            <v>w</v>
          </cell>
        </row>
        <row r="3348">
          <cell r="A3348" t="str">
            <v>Stefanie</v>
          </cell>
          <cell r="B3348" t="str">
            <v>w</v>
          </cell>
        </row>
        <row r="3349">
          <cell r="A3349" t="str">
            <v>Stefano</v>
          </cell>
          <cell r="B3349" t="str">
            <v>m</v>
          </cell>
        </row>
        <row r="3350">
          <cell r="A3350" t="str">
            <v>Steffen</v>
          </cell>
          <cell r="B3350" t="str">
            <v>m</v>
          </cell>
        </row>
        <row r="3351">
          <cell r="A3351" t="str">
            <v>Steffi</v>
          </cell>
          <cell r="B3351" t="str">
            <v>w</v>
          </cell>
        </row>
        <row r="3352">
          <cell r="A3352" t="str">
            <v>Stein</v>
          </cell>
          <cell r="B3352" t="str">
            <v>m</v>
          </cell>
        </row>
        <row r="3353">
          <cell r="A3353" t="str">
            <v>Stella</v>
          </cell>
          <cell r="B3353" t="str">
            <v>w</v>
          </cell>
        </row>
        <row r="3354">
          <cell r="A3354" t="str">
            <v>Stephan</v>
          </cell>
          <cell r="B3354" t="str">
            <v>m</v>
          </cell>
        </row>
        <row r="3355">
          <cell r="A3355" t="str">
            <v>Stéphane</v>
          </cell>
          <cell r="B3355" t="str">
            <v>m</v>
          </cell>
        </row>
        <row r="3356">
          <cell r="A3356" t="str">
            <v>Stephania</v>
          </cell>
          <cell r="B3356" t="str">
            <v>w</v>
          </cell>
        </row>
        <row r="3357">
          <cell r="A3357" t="str">
            <v>Stephanie</v>
          </cell>
          <cell r="B3357" t="str">
            <v>w</v>
          </cell>
        </row>
        <row r="3358">
          <cell r="A3358" t="str">
            <v>Stephen</v>
          </cell>
          <cell r="B3358" t="str">
            <v>m</v>
          </cell>
        </row>
        <row r="3359">
          <cell r="A3359" t="str">
            <v>Steve</v>
          </cell>
          <cell r="B3359" t="str">
            <v>m</v>
          </cell>
        </row>
        <row r="3360">
          <cell r="A3360" t="str">
            <v>Steven</v>
          </cell>
          <cell r="B3360" t="str">
            <v>m</v>
          </cell>
        </row>
        <row r="3361">
          <cell r="A3361" t="str">
            <v>Stina</v>
          </cell>
          <cell r="B3361" t="str">
            <v>w</v>
          </cell>
        </row>
        <row r="3362">
          <cell r="A3362" t="str">
            <v>Stine</v>
          </cell>
          <cell r="B3362" t="str">
            <v>w</v>
          </cell>
        </row>
        <row r="3363">
          <cell r="A3363" t="str">
            <v>Suleima</v>
          </cell>
          <cell r="B3363" t="str">
            <v>w</v>
          </cell>
        </row>
        <row r="3364">
          <cell r="A3364" t="str">
            <v>Suleiman</v>
          </cell>
          <cell r="B3364" t="str">
            <v>m</v>
          </cell>
        </row>
        <row r="3365">
          <cell r="A3365" t="str">
            <v>Susanna</v>
          </cell>
          <cell r="B3365" t="str">
            <v>w</v>
          </cell>
        </row>
        <row r="3366">
          <cell r="A3366" t="str">
            <v>Susanne</v>
          </cell>
          <cell r="B3366" t="str">
            <v>w</v>
          </cell>
        </row>
        <row r="3367">
          <cell r="A3367" t="str">
            <v>Suse</v>
          </cell>
          <cell r="B3367" t="str">
            <v>w</v>
          </cell>
        </row>
        <row r="3368">
          <cell r="A3368" t="str">
            <v>Susen</v>
          </cell>
          <cell r="B3368" t="str">
            <v>w</v>
          </cell>
        </row>
        <row r="3369">
          <cell r="A3369" t="str">
            <v>Susi</v>
          </cell>
          <cell r="B3369" t="str">
            <v>w</v>
          </cell>
        </row>
        <row r="3370">
          <cell r="A3370" t="str">
            <v>Svana</v>
          </cell>
          <cell r="B3370" t="str">
            <v>w</v>
          </cell>
        </row>
        <row r="3371">
          <cell r="A3371" t="str">
            <v>Svea</v>
          </cell>
          <cell r="B3371" t="str">
            <v>w</v>
          </cell>
        </row>
        <row r="3372">
          <cell r="A3372" t="str">
            <v>Sven</v>
          </cell>
          <cell r="B3372" t="str">
            <v>m</v>
          </cell>
        </row>
        <row r="3373">
          <cell r="A3373" t="str">
            <v>Svenja</v>
          </cell>
          <cell r="B3373" t="str">
            <v>w</v>
          </cell>
        </row>
        <row r="3374">
          <cell r="A3374" t="str">
            <v>Swantje</v>
          </cell>
          <cell r="B3374" t="str">
            <v>w</v>
          </cell>
        </row>
        <row r="3375">
          <cell r="A3375" t="str">
            <v>Swea</v>
          </cell>
          <cell r="B3375" t="str">
            <v>w</v>
          </cell>
        </row>
        <row r="3376">
          <cell r="A3376" t="str">
            <v>Swen</v>
          </cell>
          <cell r="B3376" t="str">
            <v>m</v>
          </cell>
        </row>
        <row r="3377">
          <cell r="A3377" t="str">
            <v>Swenja</v>
          </cell>
          <cell r="B3377" t="str">
            <v>w</v>
          </cell>
        </row>
        <row r="3378">
          <cell r="A3378" t="str">
            <v>Swetlana</v>
          </cell>
          <cell r="B3378" t="str">
            <v>w</v>
          </cell>
        </row>
        <row r="3379">
          <cell r="A3379" t="str">
            <v>Sybille</v>
          </cell>
          <cell r="B3379" t="str">
            <v>w</v>
          </cell>
        </row>
        <row r="3380">
          <cell r="A3380" t="str">
            <v>Sylke</v>
          </cell>
          <cell r="B3380" t="str">
            <v>w</v>
          </cell>
        </row>
        <row r="3381">
          <cell r="A3381" t="str">
            <v>Sylvia</v>
          </cell>
          <cell r="B3381" t="str">
            <v>w</v>
          </cell>
        </row>
        <row r="3382">
          <cell r="A3382" t="str">
            <v>Sylvie</v>
          </cell>
          <cell r="B3382" t="str">
            <v>w</v>
          </cell>
        </row>
        <row r="3383">
          <cell r="A3383" t="str">
            <v>Sylwester</v>
          </cell>
          <cell r="B3383" t="str">
            <v>m</v>
          </cell>
        </row>
        <row r="3384">
          <cell r="A3384" t="str">
            <v>Taavi</v>
          </cell>
          <cell r="B3384" t="str">
            <v>m</v>
          </cell>
        </row>
        <row r="3385">
          <cell r="A3385" t="str">
            <v>Tabaluga</v>
          </cell>
          <cell r="B3385" t="str">
            <v>m</v>
          </cell>
        </row>
        <row r="3386">
          <cell r="A3386" t="str">
            <v>Tabea</v>
          </cell>
          <cell r="B3386" t="str">
            <v>w</v>
          </cell>
        </row>
        <row r="3387">
          <cell r="A3387" t="str">
            <v>Talida</v>
          </cell>
          <cell r="B3387" t="str">
            <v>w</v>
          </cell>
        </row>
        <row r="3388">
          <cell r="A3388" t="str">
            <v>Talika</v>
          </cell>
          <cell r="B3388" t="str">
            <v>w</v>
          </cell>
        </row>
        <row r="3389">
          <cell r="A3389" t="str">
            <v>Tamar</v>
          </cell>
          <cell r="B3389" t="str">
            <v>w</v>
          </cell>
        </row>
        <row r="3390">
          <cell r="A3390" t="str">
            <v>Tamara</v>
          </cell>
          <cell r="B3390" t="str">
            <v>w</v>
          </cell>
        </row>
        <row r="3391">
          <cell r="A3391" t="str">
            <v>Tamira</v>
          </cell>
          <cell r="B3391" t="str">
            <v>w</v>
          </cell>
        </row>
        <row r="3392">
          <cell r="A3392" t="str">
            <v>Tancred</v>
          </cell>
          <cell r="B3392" t="str">
            <v>m</v>
          </cell>
        </row>
        <row r="3393">
          <cell r="A3393" t="str">
            <v>Tania</v>
          </cell>
          <cell r="B3393" t="str">
            <v>w</v>
          </cell>
        </row>
        <row r="3394">
          <cell r="A3394" t="str">
            <v>Tanita</v>
          </cell>
          <cell r="B3394" t="str">
            <v>w</v>
          </cell>
        </row>
        <row r="3395">
          <cell r="A3395" t="str">
            <v>Tanja</v>
          </cell>
          <cell r="B3395" t="str">
            <v>w</v>
          </cell>
        </row>
        <row r="3396">
          <cell r="A3396" t="str">
            <v>Tanjura</v>
          </cell>
          <cell r="B3396" t="str">
            <v>w</v>
          </cell>
        </row>
        <row r="3397">
          <cell r="A3397" t="str">
            <v>Tara-Ann</v>
          </cell>
          <cell r="B3397" t="str">
            <v>w</v>
          </cell>
        </row>
        <row r="3398">
          <cell r="A3398" t="str">
            <v>Tarek</v>
          </cell>
          <cell r="B3398" t="str">
            <v>m</v>
          </cell>
        </row>
        <row r="3399">
          <cell r="A3399" t="str">
            <v>Tarik</v>
          </cell>
          <cell r="B3399" t="str">
            <v>m</v>
          </cell>
        </row>
        <row r="3400">
          <cell r="A3400" t="str">
            <v>Tarzan</v>
          </cell>
          <cell r="B3400" t="str">
            <v>m</v>
          </cell>
        </row>
        <row r="3401">
          <cell r="A3401" t="str">
            <v>Tassilo</v>
          </cell>
          <cell r="B3401" t="str">
            <v>m</v>
          </cell>
        </row>
        <row r="3402">
          <cell r="A3402" t="str">
            <v>Tasso</v>
          </cell>
          <cell r="B3402" t="str">
            <v>m</v>
          </cell>
        </row>
        <row r="3403">
          <cell r="A3403" t="str">
            <v>Tatiana</v>
          </cell>
          <cell r="B3403" t="str">
            <v>w</v>
          </cell>
        </row>
        <row r="3404">
          <cell r="A3404" t="str">
            <v>Tatjana</v>
          </cell>
          <cell r="B3404" t="str">
            <v>w</v>
          </cell>
        </row>
        <row r="3405">
          <cell r="A3405" t="str">
            <v>Tayrese</v>
          </cell>
          <cell r="B3405" t="str">
            <v>m</v>
          </cell>
        </row>
        <row r="3406">
          <cell r="A3406" t="str">
            <v>Ted</v>
          </cell>
          <cell r="B3406" t="str">
            <v>m</v>
          </cell>
        </row>
        <row r="3407">
          <cell r="A3407" t="str">
            <v>Teddic</v>
          </cell>
          <cell r="B3407" t="str">
            <v>m</v>
          </cell>
        </row>
        <row r="3408">
          <cell r="A3408" t="str">
            <v>Tedman</v>
          </cell>
          <cell r="B3408" t="str">
            <v>m</v>
          </cell>
        </row>
        <row r="3409">
          <cell r="A3409" t="str">
            <v>Tedmund</v>
          </cell>
          <cell r="B3409" t="str">
            <v>m</v>
          </cell>
        </row>
        <row r="3410">
          <cell r="A3410" t="str">
            <v>Tedric</v>
          </cell>
          <cell r="B3410" t="str">
            <v>m</v>
          </cell>
        </row>
        <row r="3411">
          <cell r="A3411" t="str">
            <v>Teite</v>
          </cell>
          <cell r="B3411" t="str">
            <v>w</v>
          </cell>
        </row>
        <row r="3412">
          <cell r="A3412" t="str">
            <v>Terenz</v>
          </cell>
          <cell r="B3412" t="str">
            <v>m</v>
          </cell>
        </row>
        <row r="3413">
          <cell r="A3413" t="str">
            <v>Teresa</v>
          </cell>
          <cell r="B3413" t="str">
            <v>w</v>
          </cell>
        </row>
        <row r="3414">
          <cell r="A3414" t="str">
            <v>Terese</v>
          </cell>
          <cell r="B3414" t="str">
            <v>w</v>
          </cell>
        </row>
        <row r="3415">
          <cell r="A3415" t="str">
            <v>Tereza</v>
          </cell>
          <cell r="B3415" t="str">
            <v>w</v>
          </cell>
        </row>
        <row r="3416">
          <cell r="A3416" t="str">
            <v>Terry</v>
          </cell>
          <cell r="B3416" t="str">
            <v>m</v>
          </cell>
        </row>
        <row r="3417">
          <cell r="A3417" t="str">
            <v>Thabita</v>
          </cell>
          <cell r="B3417" t="str">
            <v>w</v>
          </cell>
        </row>
        <row r="3418">
          <cell r="A3418" t="str">
            <v>Thabo</v>
          </cell>
          <cell r="B3418" t="str">
            <v>m</v>
          </cell>
        </row>
        <row r="3419">
          <cell r="A3419" t="str">
            <v>Thaddäus</v>
          </cell>
          <cell r="B3419" t="str">
            <v>m</v>
          </cell>
        </row>
        <row r="3420">
          <cell r="A3420" t="str">
            <v>Thaisen</v>
          </cell>
          <cell r="B3420" t="str">
            <v>m</v>
          </cell>
        </row>
        <row r="3421">
          <cell r="A3421" t="str">
            <v>Thassilo</v>
          </cell>
          <cell r="B3421" t="str">
            <v>m</v>
          </cell>
        </row>
        <row r="3422">
          <cell r="A3422" t="str">
            <v>Thea</v>
          </cell>
          <cell r="B3422" t="str">
            <v>w</v>
          </cell>
        </row>
        <row r="3423">
          <cell r="A3423" t="str">
            <v>Thees</v>
          </cell>
          <cell r="B3423" t="str">
            <v>m</v>
          </cell>
        </row>
        <row r="3424">
          <cell r="A3424" t="str">
            <v>Thekla</v>
          </cell>
          <cell r="B3424" t="str">
            <v>w</v>
          </cell>
        </row>
        <row r="3425">
          <cell r="A3425" t="str">
            <v>Theo</v>
          </cell>
          <cell r="B3425" t="str">
            <v>m</v>
          </cell>
        </row>
        <row r="3426">
          <cell r="A3426" t="str">
            <v>Theobald</v>
          </cell>
          <cell r="B3426" t="str">
            <v>m</v>
          </cell>
        </row>
        <row r="3427">
          <cell r="A3427" t="str">
            <v>Theodor</v>
          </cell>
          <cell r="B3427" t="str">
            <v>m</v>
          </cell>
        </row>
        <row r="3428">
          <cell r="A3428" t="str">
            <v>Theodora</v>
          </cell>
          <cell r="B3428" t="str">
            <v>w</v>
          </cell>
        </row>
        <row r="3429">
          <cell r="A3429" t="str">
            <v>Theodoric</v>
          </cell>
          <cell r="B3429" t="str">
            <v>m</v>
          </cell>
        </row>
        <row r="3430">
          <cell r="A3430" t="str">
            <v>Theodorick</v>
          </cell>
          <cell r="B3430" t="str">
            <v>m</v>
          </cell>
        </row>
        <row r="3431">
          <cell r="A3431" t="str">
            <v>Theres</v>
          </cell>
          <cell r="B3431" t="str">
            <v>w</v>
          </cell>
        </row>
        <row r="3432">
          <cell r="A3432" t="str">
            <v>Theresa</v>
          </cell>
          <cell r="B3432" t="str">
            <v>w</v>
          </cell>
        </row>
        <row r="3433">
          <cell r="A3433" t="str">
            <v>Therese</v>
          </cell>
          <cell r="B3433" t="str">
            <v>w</v>
          </cell>
        </row>
        <row r="3434">
          <cell r="A3434" t="str">
            <v>Theresia</v>
          </cell>
          <cell r="B3434" t="str">
            <v>w</v>
          </cell>
        </row>
        <row r="3435">
          <cell r="A3435" t="str">
            <v>Theresina</v>
          </cell>
          <cell r="B3435" t="str">
            <v>w</v>
          </cell>
        </row>
        <row r="3436">
          <cell r="A3436" t="str">
            <v>Thery</v>
          </cell>
          <cell r="B3436" t="str">
            <v>w</v>
          </cell>
        </row>
        <row r="3437">
          <cell r="A3437" t="str">
            <v>Thibaut</v>
          </cell>
          <cell r="B3437" t="str">
            <v>m</v>
          </cell>
        </row>
        <row r="3438">
          <cell r="A3438" t="str">
            <v>Thiébaut</v>
          </cell>
          <cell r="B3438" t="str">
            <v>m</v>
          </cell>
        </row>
        <row r="3439">
          <cell r="A3439" t="str">
            <v>Thies</v>
          </cell>
          <cell r="B3439" t="str">
            <v>m</v>
          </cell>
        </row>
        <row r="3440">
          <cell r="A3440" t="str">
            <v>Thilde</v>
          </cell>
          <cell r="B3440" t="str">
            <v>w</v>
          </cell>
        </row>
        <row r="3441">
          <cell r="A3441" t="str">
            <v>Thomas</v>
          </cell>
          <cell r="B3441" t="str">
            <v>m</v>
          </cell>
        </row>
        <row r="3442">
          <cell r="A3442" t="str">
            <v>Thor</v>
          </cell>
          <cell r="B3442" t="str">
            <v>m</v>
          </cell>
        </row>
        <row r="3443">
          <cell r="A3443" t="str">
            <v>Thoralf</v>
          </cell>
          <cell r="B3443" t="str">
            <v>m</v>
          </cell>
        </row>
        <row r="3444">
          <cell r="A3444" t="str">
            <v>Thorben</v>
          </cell>
          <cell r="B3444" t="str">
            <v>m</v>
          </cell>
        </row>
        <row r="3445">
          <cell r="A3445" t="str">
            <v>Thorsten</v>
          </cell>
          <cell r="B3445" t="str">
            <v>m</v>
          </cell>
        </row>
        <row r="3446">
          <cell r="A3446" t="str">
            <v>Thure</v>
          </cell>
          <cell r="B3446" t="str">
            <v>m</v>
          </cell>
        </row>
        <row r="3447">
          <cell r="A3447" t="str">
            <v>Tia</v>
          </cell>
          <cell r="B3447" t="str">
            <v>w</v>
          </cell>
        </row>
        <row r="3448">
          <cell r="A3448" t="str">
            <v>Tiana</v>
          </cell>
          <cell r="B3448" t="str">
            <v>w</v>
          </cell>
        </row>
        <row r="3449">
          <cell r="A3449" t="str">
            <v>Tibbald</v>
          </cell>
          <cell r="B3449" t="str">
            <v>m</v>
          </cell>
        </row>
        <row r="3450">
          <cell r="A3450" t="str">
            <v>Tibelda</v>
          </cell>
          <cell r="B3450" t="str">
            <v>w</v>
          </cell>
        </row>
        <row r="3451">
          <cell r="A3451" t="str">
            <v>Tiberio</v>
          </cell>
          <cell r="B3451" t="str">
            <v>m</v>
          </cell>
        </row>
        <row r="3452">
          <cell r="A3452" t="str">
            <v>Tiberius</v>
          </cell>
          <cell r="B3452" t="str">
            <v>m</v>
          </cell>
        </row>
        <row r="3453">
          <cell r="A3453" t="str">
            <v>Tibor</v>
          </cell>
          <cell r="B3453" t="str">
            <v>m</v>
          </cell>
        </row>
        <row r="3454">
          <cell r="A3454" t="str">
            <v>Till</v>
          </cell>
          <cell r="B3454" t="str">
            <v>m</v>
          </cell>
        </row>
        <row r="3455">
          <cell r="A3455" t="str">
            <v>Tillmann</v>
          </cell>
          <cell r="B3455" t="str">
            <v>m</v>
          </cell>
        </row>
        <row r="3456">
          <cell r="A3456" t="str">
            <v>Tilmann</v>
          </cell>
          <cell r="B3456" t="str">
            <v>m</v>
          </cell>
        </row>
        <row r="3457">
          <cell r="A3457" t="str">
            <v>Tilo</v>
          </cell>
          <cell r="B3457" t="str">
            <v>m</v>
          </cell>
        </row>
        <row r="3458">
          <cell r="A3458" t="str">
            <v>Tim</v>
          </cell>
          <cell r="B3458" t="str">
            <v>m</v>
          </cell>
        </row>
        <row r="3459">
          <cell r="A3459" t="str">
            <v>Timea</v>
          </cell>
          <cell r="B3459" t="str">
            <v>w</v>
          </cell>
        </row>
        <row r="3460">
          <cell r="A3460" t="str">
            <v>Timo</v>
          </cell>
          <cell r="B3460" t="str">
            <v>m</v>
          </cell>
        </row>
        <row r="3461">
          <cell r="A3461" t="str">
            <v>Timon</v>
          </cell>
          <cell r="B3461" t="str">
            <v>m</v>
          </cell>
        </row>
        <row r="3462">
          <cell r="A3462" t="str">
            <v>Timothy</v>
          </cell>
          <cell r="B3462" t="str">
            <v>m</v>
          </cell>
        </row>
        <row r="3463">
          <cell r="A3463" t="str">
            <v>Tina</v>
          </cell>
          <cell r="B3463" t="str">
            <v>w</v>
          </cell>
        </row>
        <row r="3464">
          <cell r="A3464" t="str">
            <v>Tinchen</v>
          </cell>
          <cell r="B3464" t="str">
            <v>w</v>
          </cell>
        </row>
        <row r="3465">
          <cell r="A3465" t="str">
            <v>Tine</v>
          </cell>
          <cell r="B3465" t="str">
            <v>w</v>
          </cell>
        </row>
        <row r="3466">
          <cell r="A3466" t="str">
            <v>Tinette</v>
          </cell>
          <cell r="B3466" t="str">
            <v>w</v>
          </cell>
        </row>
        <row r="3467">
          <cell r="A3467" t="str">
            <v>Tino</v>
          </cell>
          <cell r="B3467" t="str">
            <v>m</v>
          </cell>
        </row>
        <row r="3468">
          <cell r="A3468" t="str">
            <v>Tioboid</v>
          </cell>
          <cell r="B3468" t="str">
            <v>m</v>
          </cell>
        </row>
        <row r="3469">
          <cell r="A3469" t="str">
            <v>Tiran</v>
          </cell>
          <cell r="B3469" t="str">
            <v>m</v>
          </cell>
        </row>
        <row r="3470">
          <cell r="A3470" t="str">
            <v>Tito</v>
          </cell>
          <cell r="B3470" t="str">
            <v>m</v>
          </cell>
        </row>
        <row r="3471">
          <cell r="A3471" t="str">
            <v>Titus</v>
          </cell>
          <cell r="B3471" t="str">
            <v>m</v>
          </cell>
        </row>
        <row r="3472">
          <cell r="A3472" t="str">
            <v>Tizia</v>
          </cell>
          <cell r="B3472" t="str">
            <v>w</v>
          </cell>
        </row>
        <row r="3473">
          <cell r="A3473" t="str">
            <v>Tizian</v>
          </cell>
          <cell r="B3473" t="str">
            <v>m</v>
          </cell>
        </row>
        <row r="3474">
          <cell r="A3474" t="str">
            <v>Tiziana</v>
          </cell>
          <cell r="B3474" t="str">
            <v>w</v>
          </cell>
        </row>
        <row r="3475">
          <cell r="A3475" t="str">
            <v>Tiziano</v>
          </cell>
          <cell r="B3475" t="str">
            <v>m</v>
          </cell>
        </row>
        <row r="3476">
          <cell r="A3476" t="str">
            <v>Tjorven</v>
          </cell>
          <cell r="B3476" t="str">
            <v>m</v>
          </cell>
        </row>
        <row r="3477">
          <cell r="A3477" t="str">
            <v>Tobi</v>
          </cell>
          <cell r="B3477" t="str">
            <v>m</v>
          </cell>
        </row>
        <row r="3478">
          <cell r="A3478" t="str">
            <v>Tobia</v>
          </cell>
          <cell r="B3478" t="str">
            <v>m</v>
          </cell>
        </row>
        <row r="3479">
          <cell r="A3479" t="str">
            <v>Tobias</v>
          </cell>
          <cell r="B3479" t="str">
            <v>m</v>
          </cell>
        </row>
        <row r="3480">
          <cell r="A3480" t="str">
            <v>Toffel</v>
          </cell>
          <cell r="B3480" t="str">
            <v>m</v>
          </cell>
        </row>
        <row r="3481">
          <cell r="A3481" t="str">
            <v>Tokessa</v>
          </cell>
          <cell r="B3481" t="str">
            <v>w</v>
          </cell>
        </row>
        <row r="3482">
          <cell r="A3482" t="str">
            <v>Tom</v>
          </cell>
          <cell r="B3482" t="str">
            <v>m</v>
          </cell>
        </row>
        <row r="3483">
          <cell r="A3483" t="str">
            <v>Tomas</v>
          </cell>
          <cell r="B3483" t="str">
            <v>m</v>
          </cell>
        </row>
        <row r="3484">
          <cell r="A3484" t="str">
            <v>Tomaso</v>
          </cell>
          <cell r="B3484" t="str">
            <v>m</v>
          </cell>
        </row>
        <row r="3485">
          <cell r="A3485" t="str">
            <v>Tombke</v>
          </cell>
          <cell r="B3485" t="str">
            <v>m</v>
          </cell>
        </row>
        <row r="3486">
          <cell r="A3486" t="str">
            <v>Tomke</v>
          </cell>
          <cell r="B3486" t="str">
            <v>m</v>
          </cell>
        </row>
        <row r="3487">
          <cell r="A3487" t="str">
            <v>Tommy</v>
          </cell>
          <cell r="B3487" t="str">
            <v>m</v>
          </cell>
        </row>
        <row r="3488">
          <cell r="A3488" t="str">
            <v>Toni</v>
          </cell>
          <cell r="B3488" t="str">
            <v>m</v>
          </cell>
        </row>
        <row r="3489">
          <cell r="A3489" t="str">
            <v>Toni</v>
          </cell>
          <cell r="B3489" t="str">
            <v>w</v>
          </cell>
        </row>
        <row r="3490">
          <cell r="A3490" t="str">
            <v>Tonio</v>
          </cell>
          <cell r="B3490" t="str">
            <v>m</v>
          </cell>
        </row>
        <row r="3491">
          <cell r="A3491" t="str">
            <v>Tonja</v>
          </cell>
          <cell r="B3491" t="str">
            <v>w</v>
          </cell>
        </row>
        <row r="3492">
          <cell r="A3492" t="str">
            <v>Torben</v>
          </cell>
          <cell r="B3492" t="str">
            <v>m</v>
          </cell>
        </row>
        <row r="3493">
          <cell r="A3493" t="str">
            <v>Torge</v>
          </cell>
          <cell r="B3493" t="str">
            <v>m</v>
          </cell>
        </row>
        <row r="3494">
          <cell r="A3494" t="str">
            <v>Torsten</v>
          </cell>
          <cell r="B3494" t="str">
            <v>m</v>
          </cell>
        </row>
        <row r="3495">
          <cell r="A3495" t="str">
            <v>Tosca</v>
          </cell>
          <cell r="B3495" t="str">
            <v>w</v>
          </cell>
        </row>
        <row r="3496">
          <cell r="A3496" t="str">
            <v>Toska</v>
          </cell>
          <cell r="B3496" t="str">
            <v>w</v>
          </cell>
        </row>
        <row r="3497">
          <cell r="A3497" t="str">
            <v>Traudel</v>
          </cell>
          <cell r="B3497" t="str">
            <v>w</v>
          </cell>
        </row>
        <row r="3498">
          <cell r="A3498" t="str">
            <v>Traugott</v>
          </cell>
          <cell r="B3498" t="str">
            <v>m</v>
          </cell>
        </row>
        <row r="3499">
          <cell r="A3499" t="str">
            <v>Travis</v>
          </cell>
          <cell r="B3499" t="str">
            <v>m</v>
          </cell>
        </row>
        <row r="3500">
          <cell r="A3500" t="str">
            <v>Trine</v>
          </cell>
          <cell r="B3500" t="str">
            <v>w</v>
          </cell>
        </row>
        <row r="3501">
          <cell r="A3501" t="str">
            <v>Tristan</v>
          </cell>
          <cell r="B3501" t="str">
            <v>m</v>
          </cell>
        </row>
        <row r="3502">
          <cell r="A3502" t="str">
            <v>Trix</v>
          </cell>
          <cell r="B3502" t="str">
            <v>w</v>
          </cell>
        </row>
        <row r="3503">
          <cell r="A3503" t="str">
            <v>Trixi</v>
          </cell>
          <cell r="B3503" t="str">
            <v>w</v>
          </cell>
        </row>
        <row r="3504">
          <cell r="A3504" t="str">
            <v>Tru</v>
          </cell>
          <cell r="B3504" t="str">
            <v>w</v>
          </cell>
        </row>
        <row r="3505">
          <cell r="A3505" t="str">
            <v>Trudchen</v>
          </cell>
          <cell r="B3505" t="str">
            <v>w</v>
          </cell>
        </row>
        <row r="3506">
          <cell r="A3506" t="str">
            <v>Trude</v>
          </cell>
          <cell r="B3506" t="str">
            <v>w</v>
          </cell>
        </row>
        <row r="3507">
          <cell r="A3507" t="str">
            <v>Trudel</v>
          </cell>
          <cell r="B3507" t="str">
            <v>w</v>
          </cell>
        </row>
        <row r="3508">
          <cell r="A3508" t="str">
            <v>Trudi</v>
          </cell>
          <cell r="B3508" t="str">
            <v>w</v>
          </cell>
        </row>
        <row r="3509">
          <cell r="A3509" t="str">
            <v>Trudie</v>
          </cell>
          <cell r="B3509" t="str">
            <v>w</v>
          </cell>
        </row>
        <row r="3510">
          <cell r="A3510" t="str">
            <v>Trudy</v>
          </cell>
          <cell r="B3510" t="str">
            <v>w</v>
          </cell>
        </row>
        <row r="3511">
          <cell r="A3511" t="str">
            <v>Turan</v>
          </cell>
          <cell r="B3511" t="str">
            <v>m</v>
          </cell>
        </row>
        <row r="3512">
          <cell r="A3512" t="str">
            <v>Ty</v>
          </cell>
          <cell r="B3512" t="str">
            <v>m</v>
          </cell>
        </row>
        <row r="3513">
          <cell r="A3513" t="str">
            <v>Tybalt</v>
          </cell>
          <cell r="B3513" t="str">
            <v>m</v>
          </cell>
        </row>
        <row r="3514">
          <cell r="A3514" t="str">
            <v>Tycho</v>
          </cell>
          <cell r="B3514" t="str">
            <v>m</v>
          </cell>
        </row>
        <row r="3515">
          <cell r="A3515" t="str">
            <v>Tychon</v>
          </cell>
          <cell r="B3515" t="str">
            <v>m</v>
          </cell>
        </row>
        <row r="3516">
          <cell r="A3516" t="str">
            <v>Tyra</v>
          </cell>
          <cell r="B3516" t="str">
            <v>w</v>
          </cell>
        </row>
        <row r="3517">
          <cell r="A3517" t="str">
            <v>Tyron</v>
          </cell>
          <cell r="B3517" t="str">
            <v>m</v>
          </cell>
        </row>
        <row r="3518">
          <cell r="A3518" t="str">
            <v>Tyson</v>
          </cell>
          <cell r="B3518" t="str">
            <v>m</v>
          </cell>
        </row>
        <row r="3519">
          <cell r="A3519" t="str">
            <v>Uda</v>
          </cell>
          <cell r="B3519" t="str">
            <v>w</v>
          </cell>
        </row>
        <row r="3520">
          <cell r="A3520" t="str">
            <v>Udele</v>
          </cell>
          <cell r="B3520" t="str">
            <v>w</v>
          </cell>
        </row>
        <row r="3521">
          <cell r="A3521" t="str">
            <v>Udella</v>
          </cell>
          <cell r="B3521" t="str">
            <v>w</v>
          </cell>
        </row>
        <row r="3522">
          <cell r="A3522" t="str">
            <v>Udelle</v>
          </cell>
          <cell r="B3522" t="str">
            <v>w</v>
          </cell>
        </row>
        <row r="3523">
          <cell r="A3523" t="str">
            <v>Udo</v>
          </cell>
          <cell r="B3523" t="str">
            <v>m</v>
          </cell>
        </row>
        <row r="3524">
          <cell r="A3524" t="str">
            <v>Ugo</v>
          </cell>
          <cell r="B3524" t="str">
            <v>m</v>
          </cell>
        </row>
        <row r="3525">
          <cell r="A3525" t="str">
            <v>Ugolino</v>
          </cell>
          <cell r="B3525" t="str">
            <v>m</v>
          </cell>
        </row>
        <row r="3526">
          <cell r="A3526" t="str">
            <v>Uhland</v>
          </cell>
          <cell r="B3526" t="str">
            <v>m</v>
          </cell>
        </row>
        <row r="3527">
          <cell r="A3527" t="str">
            <v>Uka</v>
          </cell>
          <cell r="B3527" t="str">
            <v>w</v>
          </cell>
        </row>
        <row r="3528">
          <cell r="A3528" t="str">
            <v>Ula</v>
          </cell>
          <cell r="B3528" t="str">
            <v>w</v>
          </cell>
        </row>
        <row r="3529">
          <cell r="A3529" t="str">
            <v>Uland</v>
          </cell>
          <cell r="B3529" t="str">
            <v>m</v>
          </cell>
        </row>
        <row r="3530">
          <cell r="A3530" t="str">
            <v>Ulf</v>
          </cell>
          <cell r="B3530" t="str">
            <v>m</v>
          </cell>
        </row>
        <row r="3531">
          <cell r="A3531" t="str">
            <v>Uli</v>
          </cell>
          <cell r="B3531" t="str">
            <v>m</v>
          </cell>
        </row>
        <row r="3532">
          <cell r="A3532" t="str">
            <v>Ulita</v>
          </cell>
          <cell r="B3532" t="str">
            <v>w</v>
          </cell>
        </row>
        <row r="3533">
          <cell r="A3533" t="str">
            <v>Ulitta</v>
          </cell>
          <cell r="B3533" t="str">
            <v>w</v>
          </cell>
        </row>
        <row r="3534">
          <cell r="A3534" t="str">
            <v>Ulixes</v>
          </cell>
          <cell r="B3534" t="str">
            <v>m</v>
          </cell>
        </row>
        <row r="3535">
          <cell r="A3535" t="str">
            <v>Uljana</v>
          </cell>
          <cell r="B3535" t="str">
            <v>w</v>
          </cell>
        </row>
        <row r="3536">
          <cell r="A3536" t="str">
            <v>Ulla</v>
          </cell>
          <cell r="B3536" t="str">
            <v>w</v>
          </cell>
        </row>
        <row r="3537">
          <cell r="A3537" t="str">
            <v>Ulli</v>
          </cell>
          <cell r="B3537" t="str">
            <v>m</v>
          </cell>
        </row>
        <row r="3538">
          <cell r="A3538" t="str">
            <v>Ulli</v>
          </cell>
          <cell r="B3538" t="str">
            <v>w</v>
          </cell>
        </row>
        <row r="3539">
          <cell r="A3539" t="str">
            <v>Ullrich</v>
          </cell>
          <cell r="B3539" t="str">
            <v>m</v>
          </cell>
        </row>
        <row r="3540">
          <cell r="A3540" t="str">
            <v>Ulric</v>
          </cell>
          <cell r="B3540" t="str">
            <v>m</v>
          </cell>
        </row>
        <row r="3541">
          <cell r="A3541" t="str">
            <v>Ulrica</v>
          </cell>
          <cell r="B3541" t="str">
            <v>w</v>
          </cell>
        </row>
        <row r="3542">
          <cell r="A3542" t="str">
            <v>Ulrich</v>
          </cell>
          <cell r="B3542" t="str">
            <v>m</v>
          </cell>
        </row>
        <row r="3543">
          <cell r="A3543" t="str">
            <v>Ulrico</v>
          </cell>
          <cell r="B3543" t="str">
            <v>m</v>
          </cell>
        </row>
        <row r="3544">
          <cell r="A3544" t="str">
            <v>Ulrika</v>
          </cell>
          <cell r="B3544" t="str">
            <v>w</v>
          </cell>
        </row>
        <row r="3545">
          <cell r="A3545" t="str">
            <v>Ulrike</v>
          </cell>
          <cell r="B3545" t="str">
            <v>w</v>
          </cell>
        </row>
        <row r="3546">
          <cell r="A3546" t="str">
            <v>Ulva</v>
          </cell>
          <cell r="B3546" t="str">
            <v>w</v>
          </cell>
        </row>
        <row r="3547">
          <cell r="A3547" t="str">
            <v>Ulysses</v>
          </cell>
          <cell r="B3547" t="str">
            <v>m</v>
          </cell>
        </row>
        <row r="3548">
          <cell r="A3548" t="str">
            <v>Umberto</v>
          </cell>
          <cell r="B3548" t="str">
            <v>m</v>
          </cell>
        </row>
        <row r="3549">
          <cell r="A3549" t="str">
            <v>Undine</v>
          </cell>
          <cell r="B3549" t="str">
            <v>w</v>
          </cell>
        </row>
        <row r="3550">
          <cell r="A3550" t="str">
            <v>Urania</v>
          </cell>
          <cell r="B3550" t="str">
            <v>w</v>
          </cell>
        </row>
        <row r="3551">
          <cell r="A3551" t="str">
            <v>Urban</v>
          </cell>
          <cell r="B3551" t="str">
            <v>m</v>
          </cell>
        </row>
        <row r="3552">
          <cell r="A3552" t="str">
            <v>Urbano</v>
          </cell>
          <cell r="B3552" t="str">
            <v>m</v>
          </cell>
        </row>
        <row r="3553">
          <cell r="A3553" t="str">
            <v>Urbanus</v>
          </cell>
          <cell r="B3553" t="str">
            <v>m</v>
          </cell>
        </row>
        <row r="3554">
          <cell r="A3554" t="str">
            <v>Urias</v>
          </cell>
          <cell r="B3554" t="str">
            <v>m</v>
          </cell>
        </row>
        <row r="3555">
          <cell r="A3555" t="str">
            <v>Uriel</v>
          </cell>
          <cell r="B3555" t="str">
            <v>m</v>
          </cell>
        </row>
        <row r="3556">
          <cell r="A3556" t="str">
            <v>Urija</v>
          </cell>
          <cell r="B3556" t="str">
            <v>m</v>
          </cell>
        </row>
        <row r="3557">
          <cell r="A3557" t="str">
            <v>Urith</v>
          </cell>
          <cell r="B3557" t="str">
            <v>w</v>
          </cell>
        </row>
        <row r="3558">
          <cell r="A3558" t="str">
            <v>Urs</v>
          </cell>
          <cell r="B3558" t="str">
            <v>m</v>
          </cell>
        </row>
        <row r="3559">
          <cell r="A3559" t="str">
            <v>Ursel</v>
          </cell>
          <cell r="B3559" t="str">
            <v>w</v>
          </cell>
        </row>
        <row r="3560">
          <cell r="A3560" t="str">
            <v>Ursina</v>
          </cell>
          <cell r="B3560" t="str">
            <v>w</v>
          </cell>
        </row>
        <row r="3561">
          <cell r="A3561" t="str">
            <v>Ursine</v>
          </cell>
          <cell r="B3561" t="str">
            <v>w</v>
          </cell>
        </row>
        <row r="3562">
          <cell r="A3562" t="str">
            <v>Ursinus</v>
          </cell>
          <cell r="B3562" t="str">
            <v>m</v>
          </cell>
        </row>
        <row r="3563">
          <cell r="A3563" t="str">
            <v>Ursio</v>
          </cell>
          <cell r="B3563" t="str">
            <v>m</v>
          </cell>
        </row>
        <row r="3564">
          <cell r="A3564" t="str">
            <v>Ursula</v>
          </cell>
          <cell r="B3564" t="str">
            <v>w</v>
          </cell>
        </row>
        <row r="3565">
          <cell r="A3565" t="str">
            <v>Ursus</v>
          </cell>
          <cell r="B3565" t="str">
            <v>m</v>
          </cell>
        </row>
        <row r="3566">
          <cell r="A3566" t="str">
            <v>Urte</v>
          </cell>
          <cell r="B3566" t="str">
            <v>w</v>
          </cell>
        </row>
        <row r="3567">
          <cell r="A3567" t="str">
            <v>Uschi</v>
          </cell>
          <cell r="B3567" t="str">
            <v>w</v>
          </cell>
        </row>
        <row r="3568">
          <cell r="A3568" t="str">
            <v>Uta</v>
          </cell>
          <cell r="B3568" t="str">
            <v>w</v>
          </cell>
        </row>
        <row r="3569">
          <cell r="A3569" t="str">
            <v>Ute</v>
          </cell>
          <cell r="B3569" t="str">
            <v>w</v>
          </cell>
        </row>
        <row r="3570">
          <cell r="A3570" t="str">
            <v>Uto</v>
          </cell>
          <cell r="B3570" t="str">
            <v>m</v>
          </cell>
        </row>
        <row r="3571">
          <cell r="A3571" t="str">
            <v>Utto</v>
          </cell>
          <cell r="B3571" t="str">
            <v>m</v>
          </cell>
        </row>
        <row r="3572">
          <cell r="A3572" t="str">
            <v>Utz</v>
          </cell>
          <cell r="B3572" t="str">
            <v>m</v>
          </cell>
        </row>
        <row r="3573">
          <cell r="A3573" t="str">
            <v>Uve</v>
          </cell>
          <cell r="B3573" t="str">
            <v>m</v>
          </cell>
        </row>
        <row r="3574">
          <cell r="A3574" t="str">
            <v>Uvo</v>
          </cell>
          <cell r="B3574" t="str">
            <v>m</v>
          </cell>
        </row>
        <row r="3575">
          <cell r="A3575" t="str">
            <v>Uwe</v>
          </cell>
          <cell r="B3575" t="str">
            <v>m</v>
          </cell>
        </row>
        <row r="3576">
          <cell r="A3576" t="str">
            <v>Uwo</v>
          </cell>
          <cell r="B3576" t="str">
            <v>m</v>
          </cell>
        </row>
        <row r="3577">
          <cell r="A3577" t="str">
            <v>Vala</v>
          </cell>
          <cell r="B3577" t="str">
            <v>w</v>
          </cell>
        </row>
        <row r="3578">
          <cell r="A3578" t="str">
            <v>Valborga</v>
          </cell>
          <cell r="B3578" t="str">
            <v>w</v>
          </cell>
        </row>
        <row r="3579">
          <cell r="A3579" t="str">
            <v>Valburga</v>
          </cell>
          <cell r="B3579" t="str">
            <v>w</v>
          </cell>
        </row>
        <row r="3580">
          <cell r="A3580" t="str">
            <v>Valda</v>
          </cell>
          <cell r="B3580" t="str">
            <v>w</v>
          </cell>
        </row>
        <row r="3581">
          <cell r="A3581" t="str">
            <v>Valdemar</v>
          </cell>
          <cell r="B3581" t="str">
            <v>m</v>
          </cell>
        </row>
        <row r="3582">
          <cell r="A3582" t="str">
            <v>Valdimar</v>
          </cell>
          <cell r="B3582" t="str">
            <v>m</v>
          </cell>
        </row>
        <row r="3583">
          <cell r="A3583" t="str">
            <v>Valdimiro</v>
          </cell>
          <cell r="B3583" t="str">
            <v>m</v>
          </cell>
        </row>
        <row r="3584">
          <cell r="A3584" t="str">
            <v>Valdis</v>
          </cell>
          <cell r="B3584" t="str">
            <v>m</v>
          </cell>
        </row>
        <row r="3585">
          <cell r="A3585" t="str">
            <v>Valentianus</v>
          </cell>
          <cell r="B3585" t="str">
            <v>m</v>
          </cell>
        </row>
        <row r="3586">
          <cell r="A3586" t="str">
            <v>Valentin</v>
          </cell>
          <cell r="B3586" t="str">
            <v>m</v>
          </cell>
        </row>
        <row r="3587">
          <cell r="A3587" t="str">
            <v>Valentina</v>
          </cell>
          <cell r="B3587" t="str">
            <v>w</v>
          </cell>
        </row>
        <row r="3588">
          <cell r="A3588" t="str">
            <v>Valentine</v>
          </cell>
          <cell r="B3588" t="str">
            <v>w</v>
          </cell>
        </row>
        <row r="3589">
          <cell r="A3589" t="str">
            <v>Valentiniano</v>
          </cell>
          <cell r="B3589" t="str">
            <v>m</v>
          </cell>
        </row>
        <row r="3590">
          <cell r="A3590" t="str">
            <v>Valentino</v>
          </cell>
          <cell r="B3590" t="str">
            <v>m</v>
          </cell>
        </row>
        <row r="3591">
          <cell r="A3591" t="str">
            <v>Valentinus</v>
          </cell>
          <cell r="B3591" t="str">
            <v>m</v>
          </cell>
        </row>
        <row r="3592">
          <cell r="A3592" t="str">
            <v>Valentius</v>
          </cell>
          <cell r="B3592" t="str">
            <v>m</v>
          </cell>
        </row>
        <row r="3593">
          <cell r="A3593" t="str">
            <v>Valeri</v>
          </cell>
          <cell r="B3593" t="str">
            <v>w</v>
          </cell>
        </row>
        <row r="3594">
          <cell r="A3594" t="str">
            <v>Valeria</v>
          </cell>
          <cell r="B3594" t="str">
            <v>w</v>
          </cell>
        </row>
        <row r="3595">
          <cell r="A3595" t="str">
            <v>Valerian</v>
          </cell>
          <cell r="B3595" t="str">
            <v>m</v>
          </cell>
        </row>
        <row r="3596">
          <cell r="A3596" t="str">
            <v>Valeriana</v>
          </cell>
          <cell r="B3596" t="str">
            <v>w</v>
          </cell>
        </row>
        <row r="3597">
          <cell r="A3597" t="str">
            <v>Valeriane</v>
          </cell>
          <cell r="B3597" t="str">
            <v>w</v>
          </cell>
        </row>
        <row r="3598">
          <cell r="A3598" t="str">
            <v>Valerianus</v>
          </cell>
          <cell r="B3598" t="str">
            <v>m</v>
          </cell>
        </row>
        <row r="3599">
          <cell r="A3599" t="str">
            <v>Valerie</v>
          </cell>
          <cell r="B3599" t="str">
            <v>w</v>
          </cell>
        </row>
        <row r="3600">
          <cell r="A3600" t="str">
            <v>Valerien</v>
          </cell>
          <cell r="B3600" t="str">
            <v>w</v>
          </cell>
        </row>
        <row r="3601">
          <cell r="A3601" t="str">
            <v>Valerio</v>
          </cell>
          <cell r="B3601" t="str">
            <v>m</v>
          </cell>
        </row>
        <row r="3602">
          <cell r="A3602" t="str">
            <v>Valerius</v>
          </cell>
          <cell r="B3602" t="str">
            <v>m</v>
          </cell>
        </row>
        <row r="3603">
          <cell r="A3603" t="str">
            <v>Valeska</v>
          </cell>
          <cell r="B3603" t="str">
            <v>w</v>
          </cell>
        </row>
        <row r="3604">
          <cell r="A3604" t="str">
            <v>Valida</v>
          </cell>
          <cell r="B3604" t="str">
            <v>w</v>
          </cell>
        </row>
        <row r="3605">
          <cell r="A3605" t="str">
            <v>Vanadis</v>
          </cell>
          <cell r="B3605" t="str">
            <v>w</v>
          </cell>
        </row>
        <row r="3606">
          <cell r="A3606" t="str">
            <v>Vanessa</v>
          </cell>
          <cell r="B3606" t="str">
            <v>w</v>
          </cell>
        </row>
        <row r="3607">
          <cell r="A3607" t="str">
            <v>Vania</v>
          </cell>
          <cell r="B3607" t="str">
            <v>w</v>
          </cell>
        </row>
        <row r="3608">
          <cell r="A3608" t="str">
            <v>Vanja</v>
          </cell>
          <cell r="B3608" t="str">
            <v>w</v>
          </cell>
        </row>
        <row r="3609">
          <cell r="A3609" t="str">
            <v>Vanni</v>
          </cell>
          <cell r="B3609" t="str">
            <v>w</v>
          </cell>
        </row>
        <row r="3610">
          <cell r="A3610" t="str">
            <v>Varinka</v>
          </cell>
          <cell r="B3610" t="str">
            <v>w</v>
          </cell>
        </row>
        <row r="3611">
          <cell r="A3611" t="str">
            <v>Vasco</v>
          </cell>
          <cell r="B3611" t="str">
            <v>m</v>
          </cell>
        </row>
        <row r="3612">
          <cell r="A3612" t="str">
            <v>Veit</v>
          </cell>
          <cell r="B3612" t="str">
            <v>m</v>
          </cell>
        </row>
        <row r="3613">
          <cell r="A3613" t="str">
            <v>Velda</v>
          </cell>
          <cell r="B3613" t="str">
            <v>w</v>
          </cell>
        </row>
        <row r="3614">
          <cell r="A3614" t="str">
            <v>Velma</v>
          </cell>
          <cell r="B3614" t="str">
            <v>w</v>
          </cell>
        </row>
        <row r="3615">
          <cell r="A3615" t="str">
            <v>Veloy</v>
          </cell>
          <cell r="B3615" t="str">
            <v>w</v>
          </cell>
        </row>
        <row r="3616">
          <cell r="A3616" t="str">
            <v>Veneta</v>
          </cell>
          <cell r="B3616" t="str">
            <v>w</v>
          </cell>
        </row>
        <row r="3617">
          <cell r="A3617" t="str">
            <v>Venetia</v>
          </cell>
          <cell r="B3617" t="str">
            <v>w</v>
          </cell>
        </row>
        <row r="3618">
          <cell r="A3618" t="str">
            <v>Venetta</v>
          </cell>
          <cell r="B3618" t="str">
            <v>w</v>
          </cell>
        </row>
        <row r="3619">
          <cell r="A3619" t="str">
            <v>Venus</v>
          </cell>
          <cell r="B3619" t="str">
            <v>w</v>
          </cell>
        </row>
        <row r="3620">
          <cell r="A3620" t="str">
            <v>Vera</v>
          </cell>
          <cell r="B3620" t="str">
            <v>w</v>
          </cell>
        </row>
        <row r="3621">
          <cell r="A3621" t="str">
            <v>Verena</v>
          </cell>
          <cell r="B3621" t="str">
            <v>w</v>
          </cell>
        </row>
        <row r="3622">
          <cell r="A3622" t="str">
            <v>Verner</v>
          </cell>
          <cell r="B3622" t="str">
            <v>m</v>
          </cell>
        </row>
        <row r="3623">
          <cell r="A3623" t="str">
            <v>Verona</v>
          </cell>
          <cell r="B3623" t="str">
            <v>w</v>
          </cell>
        </row>
        <row r="3624">
          <cell r="A3624" t="str">
            <v>Verone</v>
          </cell>
          <cell r="B3624" t="str">
            <v>w</v>
          </cell>
        </row>
        <row r="3625">
          <cell r="A3625" t="str">
            <v>Verónica</v>
          </cell>
          <cell r="B3625" t="str">
            <v>w</v>
          </cell>
        </row>
        <row r="3626">
          <cell r="A3626" t="str">
            <v>Veronika</v>
          </cell>
          <cell r="B3626" t="str">
            <v>w</v>
          </cell>
        </row>
        <row r="3627">
          <cell r="A3627" t="str">
            <v>Vicky</v>
          </cell>
          <cell r="B3627" t="str">
            <v>w</v>
          </cell>
        </row>
        <row r="3628">
          <cell r="A3628" t="str">
            <v>Vico</v>
          </cell>
          <cell r="B3628" t="str">
            <v>m</v>
          </cell>
        </row>
        <row r="3629">
          <cell r="A3629" t="str">
            <v>Victor</v>
          </cell>
          <cell r="B3629" t="str">
            <v>m</v>
          </cell>
        </row>
        <row r="3630">
          <cell r="A3630" t="str">
            <v>Victoria</v>
          </cell>
          <cell r="B3630" t="str">
            <v>w</v>
          </cell>
        </row>
        <row r="3631">
          <cell r="A3631" t="str">
            <v>Victorian</v>
          </cell>
          <cell r="B3631" t="str">
            <v>m</v>
          </cell>
        </row>
        <row r="3632">
          <cell r="A3632" t="str">
            <v>Victorianus</v>
          </cell>
          <cell r="B3632" t="str">
            <v>m</v>
          </cell>
        </row>
        <row r="3633">
          <cell r="A3633" t="str">
            <v>Victorina</v>
          </cell>
          <cell r="B3633" t="str">
            <v>w</v>
          </cell>
        </row>
        <row r="3634">
          <cell r="A3634" t="str">
            <v>Victorine</v>
          </cell>
          <cell r="B3634" t="str">
            <v>w</v>
          </cell>
        </row>
        <row r="3635">
          <cell r="A3635" t="str">
            <v>Victorinus</v>
          </cell>
          <cell r="B3635" t="str">
            <v>m</v>
          </cell>
        </row>
        <row r="3636">
          <cell r="A3636" t="str">
            <v>Vike</v>
          </cell>
          <cell r="B3636" t="str">
            <v>m</v>
          </cell>
        </row>
        <row r="3637">
          <cell r="A3637" t="str">
            <v>Viktor</v>
          </cell>
          <cell r="B3637" t="str">
            <v>m</v>
          </cell>
        </row>
        <row r="3638">
          <cell r="A3638" t="str">
            <v>Viktoria</v>
          </cell>
          <cell r="B3638" t="str">
            <v>w</v>
          </cell>
        </row>
        <row r="3639">
          <cell r="A3639" t="str">
            <v>Viktorin</v>
          </cell>
          <cell r="B3639" t="str">
            <v>m</v>
          </cell>
        </row>
        <row r="3640">
          <cell r="A3640" t="str">
            <v>Viktorin</v>
          </cell>
          <cell r="B3640" t="str">
            <v>w</v>
          </cell>
        </row>
        <row r="3641">
          <cell r="A3641" t="str">
            <v>Viktorina</v>
          </cell>
          <cell r="B3641" t="str">
            <v>w</v>
          </cell>
        </row>
        <row r="3642">
          <cell r="A3642" t="str">
            <v>Viktorine</v>
          </cell>
          <cell r="B3642" t="str">
            <v>w</v>
          </cell>
        </row>
        <row r="3643">
          <cell r="A3643" t="str">
            <v>Vilmos</v>
          </cell>
          <cell r="B3643" t="str">
            <v>m</v>
          </cell>
        </row>
        <row r="3644">
          <cell r="A3644" t="str">
            <v>Vina</v>
          </cell>
          <cell r="B3644" t="str">
            <v>w</v>
          </cell>
        </row>
        <row r="3645">
          <cell r="A3645" t="str">
            <v>Vincent</v>
          </cell>
          <cell r="B3645" t="str">
            <v>m</v>
          </cell>
        </row>
        <row r="3646">
          <cell r="A3646" t="str">
            <v>Vincentius</v>
          </cell>
          <cell r="B3646" t="str">
            <v>m</v>
          </cell>
        </row>
        <row r="3647">
          <cell r="A3647" t="str">
            <v>Vincenz</v>
          </cell>
          <cell r="B3647" t="str">
            <v>m</v>
          </cell>
        </row>
        <row r="3648">
          <cell r="A3648" t="str">
            <v>Vincenza</v>
          </cell>
          <cell r="B3648" t="str">
            <v>m</v>
          </cell>
        </row>
        <row r="3649">
          <cell r="A3649" t="str">
            <v>Vincenzo</v>
          </cell>
          <cell r="B3649" t="str">
            <v>m</v>
          </cell>
        </row>
        <row r="3650">
          <cell r="A3650" t="str">
            <v>Vineta</v>
          </cell>
          <cell r="B3650" t="str">
            <v>w</v>
          </cell>
        </row>
        <row r="3651">
          <cell r="A3651" t="str">
            <v>Vinka</v>
          </cell>
          <cell r="B3651" t="str">
            <v>w</v>
          </cell>
        </row>
        <row r="3652">
          <cell r="A3652" t="str">
            <v>Vinzenez</v>
          </cell>
          <cell r="B3652" t="str">
            <v>m</v>
          </cell>
        </row>
        <row r="3653">
          <cell r="A3653" t="str">
            <v>Vinzent</v>
          </cell>
          <cell r="B3653" t="str">
            <v>m</v>
          </cell>
        </row>
        <row r="3654">
          <cell r="A3654" t="str">
            <v>Vinzenz</v>
          </cell>
          <cell r="B3654" t="str">
            <v>m</v>
          </cell>
        </row>
        <row r="3655">
          <cell r="A3655" t="str">
            <v>Viola</v>
          </cell>
          <cell r="B3655" t="str">
            <v>w</v>
          </cell>
        </row>
        <row r="3656">
          <cell r="A3656" t="str">
            <v>Violet</v>
          </cell>
          <cell r="B3656" t="str">
            <v>w</v>
          </cell>
        </row>
        <row r="3657">
          <cell r="A3657" t="str">
            <v>Violett</v>
          </cell>
          <cell r="B3657" t="str">
            <v>w</v>
          </cell>
        </row>
        <row r="3658">
          <cell r="A3658" t="str">
            <v>Violetta</v>
          </cell>
          <cell r="B3658" t="str">
            <v>w</v>
          </cell>
        </row>
        <row r="3659">
          <cell r="A3659" t="str">
            <v>Violette</v>
          </cell>
          <cell r="B3659" t="str">
            <v>w</v>
          </cell>
        </row>
        <row r="3660">
          <cell r="A3660" t="str">
            <v>Virgil</v>
          </cell>
          <cell r="B3660" t="str">
            <v>m</v>
          </cell>
        </row>
        <row r="3661">
          <cell r="A3661" t="str">
            <v>Virginia</v>
          </cell>
          <cell r="B3661" t="str">
            <v>w</v>
          </cell>
        </row>
        <row r="3662">
          <cell r="A3662" t="str">
            <v>Virginie</v>
          </cell>
          <cell r="B3662" t="str">
            <v>w</v>
          </cell>
        </row>
        <row r="3663">
          <cell r="A3663" t="str">
            <v>Vital</v>
          </cell>
          <cell r="B3663" t="str">
            <v>m</v>
          </cell>
        </row>
        <row r="3664">
          <cell r="A3664" t="str">
            <v>Vitale</v>
          </cell>
          <cell r="B3664" t="str">
            <v>m</v>
          </cell>
        </row>
        <row r="3665">
          <cell r="A3665" t="str">
            <v>Vitalis</v>
          </cell>
          <cell r="B3665" t="str">
            <v>m</v>
          </cell>
        </row>
        <row r="3666">
          <cell r="A3666" t="str">
            <v>Vito</v>
          </cell>
          <cell r="B3666" t="str">
            <v>m</v>
          </cell>
        </row>
        <row r="3667">
          <cell r="A3667" t="str">
            <v>Vittoria</v>
          </cell>
          <cell r="B3667" t="str">
            <v>w</v>
          </cell>
        </row>
        <row r="3668">
          <cell r="A3668" t="str">
            <v>Vittorio</v>
          </cell>
          <cell r="B3668" t="str">
            <v>m</v>
          </cell>
        </row>
        <row r="3669">
          <cell r="A3669" t="str">
            <v>Vivian</v>
          </cell>
          <cell r="B3669" t="str">
            <v>w</v>
          </cell>
        </row>
        <row r="3670">
          <cell r="A3670" t="str">
            <v>Vladimir</v>
          </cell>
          <cell r="B3670" t="str">
            <v>m</v>
          </cell>
        </row>
        <row r="3671">
          <cell r="A3671" t="str">
            <v>Volkan</v>
          </cell>
          <cell r="B3671" t="str">
            <v>m</v>
          </cell>
        </row>
        <row r="3672">
          <cell r="A3672" t="str">
            <v>Volker</v>
          </cell>
          <cell r="B3672" t="str">
            <v>m</v>
          </cell>
        </row>
        <row r="3673">
          <cell r="A3673" t="str">
            <v>Volkher</v>
          </cell>
          <cell r="B3673" t="str">
            <v>m</v>
          </cell>
        </row>
        <row r="3674">
          <cell r="A3674" t="str">
            <v>Volkmar</v>
          </cell>
          <cell r="B3674" t="str">
            <v>m</v>
          </cell>
        </row>
        <row r="3675">
          <cell r="A3675" t="str">
            <v>Volkmer</v>
          </cell>
          <cell r="B3675" t="str">
            <v>m</v>
          </cell>
        </row>
        <row r="3676">
          <cell r="A3676" t="str">
            <v>Vollert</v>
          </cell>
          <cell r="B3676" t="str">
            <v>m</v>
          </cell>
        </row>
        <row r="3677">
          <cell r="A3677" t="str">
            <v>Volmar</v>
          </cell>
          <cell r="B3677" t="str">
            <v>m</v>
          </cell>
        </row>
        <row r="3678">
          <cell r="A3678" t="str">
            <v>Volney</v>
          </cell>
          <cell r="B3678" t="str">
            <v>m</v>
          </cell>
        </row>
        <row r="3679">
          <cell r="A3679" t="str">
            <v>Von</v>
          </cell>
          <cell r="B3679" t="str">
            <v>m</v>
          </cell>
        </row>
        <row r="3680">
          <cell r="A3680" t="str">
            <v>Vroni</v>
          </cell>
          <cell r="B3680" t="str">
            <v>w</v>
          </cell>
        </row>
        <row r="3681">
          <cell r="A3681" t="str">
            <v>Wagner</v>
          </cell>
          <cell r="B3681" t="str">
            <v>m</v>
          </cell>
        </row>
        <row r="3682">
          <cell r="A3682" t="str">
            <v>Wain</v>
          </cell>
          <cell r="B3682" t="str">
            <v>m</v>
          </cell>
        </row>
        <row r="3683">
          <cell r="A3683" t="str">
            <v>Waine</v>
          </cell>
          <cell r="B3683" t="str">
            <v>m</v>
          </cell>
        </row>
        <row r="3684">
          <cell r="A3684" t="str">
            <v>Walborga</v>
          </cell>
          <cell r="B3684" t="str">
            <v>w</v>
          </cell>
        </row>
        <row r="3685">
          <cell r="A3685" t="str">
            <v>Walburg</v>
          </cell>
          <cell r="B3685" t="str">
            <v>w</v>
          </cell>
        </row>
        <row r="3686">
          <cell r="A3686" t="str">
            <v>Walburga</v>
          </cell>
          <cell r="B3686" t="str">
            <v>w</v>
          </cell>
        </row>
        <row r="3687">
          <cell r="A3687" t="str">
            <v>Walburge</v>
          </cell>
          <cell r="B3687" t="str">
            <v>w</v>
          </cell>
        </row>
        <row r="3688">
          <cell r="A3688" t="str">
            <v>Walda</v>
          </cell>
          <cell r="B3688" t="str">
            <v>w</v>
          </cell>
        </row>
        <row r="3689">
          <cell r="A3689" t="str">
            <v>Waldburg</v>
          </cell>
          <cell r="B3689" t="str">
            <v>w</v>
          </cell>
        </row>
        <row r="3690">
          <cell r="A3690" t="str">
            <v>Waldemar</v>
          </cell>
          <cell r="B3690" t="str">
            <v>m</v>
          </cell>
        </row>
        <row r="3691">
          <cell r="A3691" t="str">
            <v>Waldo</v>
          </cell>
          <cell r="B3691" t="str">
            <v>m</v>
          </cell>
        </row>
        <row r="3692">
          <cell r="A3692" t="str">
            <v>Waldomar</v>
          </cell>
          <cell r="B3692" t="str">
            <v>m</v>
          </cell>
        </row>
        <row r="3693">
          <cell r="A3693" t="str">
            <v>Waldron</v>
          </cell>
          <cell r="B3693" t="str">
            <v>m</v>
          </cell>
        </row>
        <row r="3694">
          <cell r="A3694" t="str">
            <v>Walfried</v>
          </cell>
          <cell r="B3694" t="str">
            <v>m</v>
          </cell>
        </row>
        <row r="3695">
          <cell r="A3695" t="str">
            <v>Walli</v>
          </cell>
          <cell r="B3695" t="str">
            <v>w</v>
          </cell>
        </row>
        <row r="3696">
          <cell r="A3696" t="str">
            <v>Wally</v>
          </cell>
          <cell r="B3696" t="str">
            <v>m</v>
          </cell>
        </row>
        <row r="3697">
          <cell r="A3697" t="str">
            <v>Wally</v>
          </cell>
          <cell r="B3697" t="str">
            <v>w</v>
          </cell>
        </row>
        <row r="3698">
          <cell r="A3698" t="str">
            <v>Walmond</v>
          </cell>
          <cell r="B3698" t="str">
            <v>m</v>
          </cell>
        </row>
        <row r="3699">
          <cell r="A3699" t="str">
            <v>Walmund</v>
          </cell>
          <cell r="B3699" t="str">
            <v>m</v>
          </cell>
        </row>
        <row r="3700">
          <cell r="A3700" t="str">
            <v>Walpurgis</v>
          </cell>
          <cell r="B3700" t="str">
            <v>w</v>
          </cell>
        </row>
        <row r="3701">
          <cell r="A3701" t="str">
            <v>Walt</v>
          </cell>
          <cell r="B3701" t="str">
            <v>m</v>
          </cell>
        </row>
        <row r="3702">
          <cell r="A3702" t="str">
            <v>Walter</v>
          </cell>
          <cell r="B3702" t="str">
            <v>m</v>
          </cell>
        </row>
        <row r="3703">
          <cell r="A3703" t="str">
            <v>Walters</v>
          </cell>
          <cell r="B3703" t="str">
            <v>m</v>
          </cell>
        </row>
        <row r="3704">
          <cell r="A3704" t="str">
            <v>Walther</v>
          </cell>
          <cell r="B3704" t="str">
            <v>m</v>
          </cell>
        </row>
        <row r="3705">
          <cell r="A3705" t="str">
            <v>Waltraud</v>
          </cell>
          <cell r="B3705" t="str">
            <v>w</v>
          </cell>
        </row>
        <row r="3706">
          <cell r="A3706" t="str">
            <v>Waltraut</v>
          </cell>
          <cell r="B3706" t="str">
            <v>w</v>
          </cell>
        </row>
        <row r="3707">
          <cell r="A3707" t="str">
            <v>Waltraute</v>
          </cell>
          <cell r="B3707" t="str">
            <v>w</v>
          </cell>
        </row>
        <row r="3708">
          <cell r="A3708" t="str">
            <v>Waltrud</v>
          </cell>
          <cell r="B3708" t="str">
            <v>w</v>
          </cell>
        </row>
        <row r="3709">
          <cell r="A3709" t="str">
            <v>Wanda</v>
          </cell>
          <cell r="B3709" t="str">
            <v>w</v>
          </cell>
        </row>
        <row r="3710">
          <cell r="A3710" t="str">
            <v>Wandie</v>
          </cell>
          <cell r="B3710" t="str">
            <v>w</v>
          </cell>
        </row>
        <row r="3711">
          <cell r="A3711" t="str">
            <v>Wandis</v>
          </cell>
          <cell r="B3711" t="str">
            <v>w</v>
          </cell>
        </row>
        <row r="3712">
          <cell r="A3712" t="str">
            <v>Wanja</v>
          </cell>
          <cell r="B3712" t="str">
            <v>m</v>
          </cell>
        </row>
        <row r="3713">
          <cell r="A3713" t="str">
            <v>Wanja</v>
          </cell>
          <cell r="B3713" t="str">
            <v>w</v>
          </cell>
        </row>
        <row r="3714">
          <cell r="A3714" t="str">
            <v>Wanko</v>
          </cell>
          <cell r="B3714" t="str">
            <v>m</v>
          </cell>
        </row>
        <row r="3715">
          <cell r="A3715" t="str">
            <v>Warda</v>
          </cell>
          <cell r="B3715" t="str">
            <v>w</v>
          </cell>
        </row>
        <row r="3716">
          <cell r="A3716" t="str">
            <v>Warenka</v>
          </cell>
          <cell r="B3716" t="str">
            <v>w</v>
          </cell>
        </row>
        <row r="3717">
          <cell r="A3717" t="str">
            <v>Waring</v>
          </cell>
          <cell r="B3717" t="str">
            <v>m</v>
          </cell>
        </row>
        <row r="3718">
          <cell r="A3718" t="str">
            <v>Warmond</v>
          </cell>
          <cell r="B3718" t="str">
            <v>m</v>
          </cell>
        </row>
        <row r="3719">
          <cell r="A3719" t="str">
            <v>Warmund</v>
          </cell>
          <cell r="B3719" t="str">
            <v>m</v>
          </cell>
        </row>
        <row r="3720">
          <cell r="A3720" t="str">
            <v>Warner</v>
          </cell>
          <cell r="B3720" t="str">
            <v>m</v>
          </cell>
        </row>
        <row r="3721">
          <cell r="A3721" t="str">
            <v>Warnke</v>
          </cell>
          <cell r="B3721" t="str">
            <v>m</v>
          </cell>
        </row>
        <row r="3722">
          <cell r="A3722" t="str">
            <v>Warren</v>
          </cell>
          <cell r="B3722" t="str">
            <v>m</v>
          </cell>
        </row>
        <row r="3723">
          <cell r="A3723" t="str">
            <v>Warrick</v>
          </cell>
          <cell r="B3723" t="str">
            <v>m</v>
          </cell>
        </row>
        <row r="3724">
          <cell r="A3724" t="str">
            <v>Warwick</v>
          </cell>
          <cell r="B3724" t="str">
            <v>m</v>
          </cell>
        </row>
        <row r="3725">
          <cell r="A3725" t="str">
            <v>Wassilie</v>
          </cell>
          <cell r="B3725" t="str">
            <v>m</v>
          </cell>
        </row>
        <row r="3726">
          <cell r="A3726" t="str">
            <v>Wat</v>
          </cell>
          <cell r="B3726" t="str">
            <v>m</v>
          </cell>
        </row>
        <row r="3727">
          <cell r="A3727" t="str">
            <v>Wayne</v>
          </cell>
          <cell r="B3727" t="str">
            <v>m</v>
          </cell>
        </row>
        <row r="3728">
          <cell r="A3728" t="str">
            <v>Weimer</v>
          </cell>
          <cell r="B3728" t="str">
            <v>m</v>
          </cell>
        </row>
        <row r="3729">
          <cell r="A3729" t="str">
            <v>Welda</v>
          </cell>
          <cell r="B3729" t="str">
            <v>w</v>
          </cell>
        </row>
        <row r="3730">
          <cell r="A3730" t="str">
            <v>Welf</v>
          </cell>
          <cell r="B3730" t="str">
            <v>m</v>
          </cell>
        </row>
        <row r="3731">
          <cell r="A3731" t="str">
            <v>Wenceslas</v>
          </cell>
          <cell r="B3731" t="str">
            <v>m</v>
          </cell>
        </row>
        <row r="3732">
          <cell r="A3732" t="str">
            <v>Wencke</v>
          </cell>
          <cell r="B3732" t="str">
            <v>w</v>
          </cell>
        </row>
        <row r="3733">
          <cell r="A3733" t="str">
            <v>Wenda</v>
          </cell>
          <cell r="B3733" t="str">
            <v>w</v>
          </cell>
        </row>
        <row r="3734">
          <cell r="A3734" t="str">
            <v>Wendel</v>
          </cell>
          <cell r="B3734" t="str">
            <v>m</v>
          </cell>
        </row>
        <row r="3735">
          <cell r="A3735" t="str">
            <v>Wendelin</v>
          </cell>
          <cell r="B3735" t="str">
            <v>m</v>
          </cell>
        </row>
        <row r="3736">
          <cell r="A3736" t="str">
            <v>Wendeline</v>
          </cell>
          <cell r="B3736" t="str">
            <v>w</v>
          </cell>
        </row>
        <row r="3737">
          <cell r="A3737" t="str">
            <v>Wendell</v>
          </cell>
          <cell r="B3737" t="str">
            <v>m</v>
          </cell>
        </row>
        <row r="3738">
          <cell r="A3738" t="str">
            <v>Wendy</v>
          </cell>
          <cell r="B3738" t="str">
            <v>w</v>
          </cell>
        </row>
        <row r="3739">
          <cell r="A3739" t="str">
            <v>Wenke</v>
          </cell>
          <cell r="B3739" t="str">
            <v>w</v>
          </cell>
        </row>
        <row r="3740">
          <cell r="A3740" t="str">
            <v>Wenzel</v>
          </cell>
          <cell r="B3740" t="str">
            <v>m</v>
          </cell>
        </row>
        <row r="3741">
          <cell r="A3741" t="str">
            <v>Werner</v>
          </cell>
          <cell r="B3741" t="str">
            <v>m</v>
          </cell>
        </row>
        <row r="3742">
          <cell r="A3742" t="str">
            <v>Werner August</v>
          </cell>
          <cell r="B3742" t="str">
            <v>m</v>
          </cell>
        </row>
        <row r="3743">
          <cell r="A3743" t="str">
            <v>Wernher</v>
          </cell>
          <cell r="B3743" t="str">
            <v>m</v>
          </cell>
        </row>
        <row r="3744">
          <cell r="A3744" t="str">
            <v>Werther</v>
          </cell>
          <cell r="B3744" t="str">
            <v>m</v>
          </cell>
        </row>
        <row r="3745">
          <cell r="A3745" t="str">
            <v>Wiba</v>
          </cell>
          <cell r="B3745" t="str">
            <v>w</v>
          </cell>
        </row>
        <row r="3746">
          <cell r="A3746" t="str">
            <v>Wibeke</v>
          </cell>
          <cell r="B3746" t="str">
            <v>w</v>
          </cell>
        </row>
        <row r="3747">
          <cell r="A3747" t="str">
            <v>Wibke</v>
          </cell>
          <cell r="B3747" t="str">
            <v>w</v>
          </cell>
        </row>
        <row r="3748">
          <cell r="A3748" t="str">
            <v>Wiclef</v>
          </cell>
          <cell r="B3748" t="str">
            <v>m</v>
          </cell>
        </row>
        <row r="3749">
          <cell r="A3749" t="str">
            <v>Wiclif</v>
          </cell>
          <cell r="B3749" t="str">
            <v>m</v>
          </cell>
        </row>
        <row r="3750">
          <cell r="A3750" t="str">
            <v>Wido</v>
          </cell>
          <cell r="B3750" t="str">
            <v>m</v>
          </cell>
        </row>
        <row r="3751">
          <cell r="A3751" t="str">
            <v>Wiebke</v>
          </cell>
          <cell r="B3751" t="str">
            <v>w</v>
          </cell>
        </row>
        <row r="3752">
          <cell r="A3752" t="str">
            <v>Wigberta</v>
          </cell>
          <cell r="B3752" t="str">
            <v>w</v>
          </cell>
        </row>
        <row r="3753">
          <cell r="A3753" t="str">
            <v>Wiktor</v>
          </cell>
          <cell r="B3753" t="str">
            <v>m</v>
          </cell>
        </row>
        <row r="3754">
          <cell r="A3754" t="str">
            <v>Wilbur</v>
          </cell>
          <cell r="B3754" t="str">
            <v>m</v>
          </cell>
        </row>
        <row r="3755">
          <cell r="A3755" t="str">
            <v>Wileen</v>
          </cell>
          <cell r="B3755" t="str">
            <v>w</v>
          </cell>
        </row>
        <row r="3756">
          <cell r="A3756" t="str">
            <v>Wilf</v>
          </cell>
          <cell r="B3756" t="str">
            <v>w</v>
          </cell>
        </row>
        <row r="3757">
          <cell r="A3757" t="str">
            <v>Wilfer</v>
          </cell>
          <cell r="B3757" t="str">
            <v>m</v>
          </cell>
        </row>
        <row r="3758">
          <cell r="A3758" t="str">
            <v>Wilfert</v>
          </cell>
          <cell r="B3758" t="str">
            <v>m</v>
          </cell>
        </row>
        <row r="3759">
          <cell r="A3759" t="str">
            <v>Wilfiede</v>
          </cell>
          <cell r="B3759" t="str">
            <v>w</v>
          </cell>
        </row>
        <row r="3760">
          <cell r="A3760" t="str">
            <v>Wilfred</v>
          </cell>
          <cell r="B3760" t="str">
            <v>m</v>
          </cell>
        </row>
        <row r="3761">
          <cell r="A3761" t="str">
            <v>Wilfreda</v>
          </cell>
          <cell r="B3761" t="str">
            <v>w</v>
          </cell>
        </row>
        <row r="3762">
          <cell r="A3762" t="str">
            <v>Wilfreida</v>
          </cell>
          <cell r="B3762" t="str">
            <v>w</v>
          </cell>
        </row>
        <row r="3763">
          <cell r="A3763" t="str">
            <v>Wilfrid</v>
          </cell>
          <cell r="B3763" t="str">
            <v>m</v>
          </cell>
        </row>
        <row r="3764">
          <cell r="A3764" t="str">
            <v>Wilfried</v>
          </cell>
          <cell r="B3764" t="str">
            <v>m</v>
          </cell>
        </row>
        <row r="3765">
          <cell r="A3765" t="str">
            <v>Wilfrieda</v>
          </cell>
          <cell r="B3765" t="str">
            <v>w</v>
          </cell>
        </row>
        <row r="3766">
          <cell r="A3766" t="str">
            <v>Wilfriede</v>
          </cell>
          <cell r="B3766" t="str">
            <v>w</v>
          </cell>
        </row>
        <row r="3767">
          <cell r="A3767" t="str">
            <v>Wilhelm</v>
          </cell>
          <cell r="B3767" t="str">
            <v>m</v>
          </cell>
        </row>
        <row r="3768">
          <cell r="A3768" t="str">
            <v>Wilhelm Josef</v>
          </cell>
          <cell r="B3768" t="str">
            <v>m</v>
          </cell>
        </row>
        <row r="3769">
          <cell r="A3769" t="str">
            <v>Wilhelma</v>
          </cell>
          <cell r="B3769" t="str">
            <v>w</v>
          </cell>
        </row>
        <row r="3770">
          <cell r="A3770" t="str">
            <v>Wilhelmina</v>
          </cell>
          <cell r="B3770" t="str">
            <v>w</v>
          </cell>
        </row>
        <row r="3771">
          <cell r="A3771" t="str">
            <v>Wilhelmine</v>
          </cell>
          <cell r="B3771" t="str">
            <v>w</v>
          </cell>
        </row>
        <row r="3772">
          <cell r="A3772" t="str">
            <v>Willa</v>
          </cell>
          <cell r="B3772" t="str">
            <v>w</v>
          </cell>
        </row>
        <row r="3773">
          <cell r="A3773" t="str">
            <v>Willem</v>
          </cell>
          <cell r="B3773" t="str">
            <v>m</v>
          </cell>
        </row>
        <row r="3774">
          <cell r="A3774" t="str">
            <v>Willi</v>
          </cell>
          <cell r="B3774" t="str">
            <v>m</v>
          </cell>
        </row>
        <row r="3775">
          <cell r="A3775" t="str">
            <v>William</v>
          </cell>
          <cell r="B3775" t="str">
            <v>m</v>
          </cell>
        </row>
        <row r="3776">
          <cell r="A3776" t="str">
            <v>Willibald</v>
          </cell>
          <cell r="B3776" t="str">
            <v>m</v>
          </cell>
        </row>
        <row r="3777">
          <cell r="A3777" t="str">
            <v>Willow</v>
          </cell>
          <cell r="B3777" t="str">
            <v>m</v>
          </cell>
        </row>
        <row r="3778">
          <cell r="A3778" t="str">
            <v>Willy</v>
          </cell>
          <cell r="B3778" t="str">
            <v>m</v>
          </cell>
        </row>
        <row r="3779">
          <cell r="A3779" t="str">
            <v>Wilma</v>
          </cell>
          <cell r="B3779" t="str">
            <v>w</v>
          </cell>
        </row>
        <row r="3780">
          <cell r="A3780" t="str">
            <v>Wilmer</v>
          </cell>
          <cell r="B3780" t="str">
            <v>m</v>
          </cell>
        </row>
        <row r="3781">
          <cell r="A3781" t="str">
            <v>Wilmot</v>
          </cell>
          <cell r="B3781" t="str">
            <v>m</v>
          </cell>
        </row>
        <row r="3782">
          <cell r="A3782" t="str">
            <v>Wiltrud</v>
          </cell>
          <cell r="B3782" t="str">
            <v>w</v>
          </cell>
        </row>
        <row r="3783">
          <cell r="A3783" t="str">
            <v>Wim</v>
          </cell>
          <cell r="B3783" t="str">
            <v>m</v>
          </cell>
        </row>
        <row r="3784">
          <cell r="A3784" t="str">
            <v>Windemuth</v>
          </cell>
          <cell r="B3784" t="str">
            <v>m</v>
          </cell>
        </row>
        <row r="3785">
          <cell r="A3785" t="str">
            <v>Windsor</v>
          </cell>
          <cell r="B3785" t="str">
            <v>m</v>
          </cell>
        </row>
        <row r="3786">
          <cell r="A3786" t="str">
            <v>Winemar</v>
          </cell>
          <cell r="B3786" t="str">
            <v>m</v>
          </cell>
        </row>
        <row r="3787">
          <cell r="A3787" t="str">
            <v>Winfred</v>
          </cell>
          <cell r="B3787" t="str">
            <v>m</v>
          </cell>
        </row>
        <row r="3788">
          <cell r="A3788" t="str">
            <v>Winfrid</v>
          </cell>
          <cell r="B3788" t="str">
            <v>m</v>
          </cell>
        </row>
        <row r="3789">
          <cell r="A3789" t="str">
            <v>Winfried</v>
          </cell>
          <cell r="B3789" t="str">
            <v>m</v>
          </cell>
        </row>
        <row r="3790">
          <cell r="A3790" t="str">
            <v>Winifred</v>
          </cell>
          <cell r="B3790" t="str">
            <v>w</v>
          </cell>
        </row>
        <row r="3791">
          <cell r="A3791" t="str">
            <v>Winifrieda</v>
          </cell>
          <cell r="B3791" t="str">
            <v>w</v>
          </cell>
        </row>
        <row r="3792">
          <cell r="A3792" t="str">
            <v>Winimar</v>
          </cell>
          <cell r="B3792" t="str">
            <v>m</v>
          </cell>
        </row>
        <row r="3793">
          <cell r="A3793" t="str">
            <v>Winmar</v>
          </cell>
          <cell r="B3793" t="str">
            <v>m</v>
          </cell>
        </row>
        <row r="3794">
          <cell r="A3794" t="str">
            <v>Winnie</v>
          </cell>
          <cell r="B3794" t="str">
            <v>w</v>
          </cell>
        </row>
        <row r="3795">
          <cell r="A3795" t="str">
            <v>Winny</v>
          </cell>
          <cell r="B3795" t="str">
            <v>w</v>
          </cell>
        </row>
        <row r="3796">
          <cell r="A3796" t="str">
            <v>Winola</v>
          </cell>
          <cell r="B3796" t="str">
            <v>w</v>
          </cell>
        </row>
        <row r="3797">
          <cell r="A3797" t="str">
            <v>Winona</v>
          </cell>
          <cell r="B3797" t="str">
            <v>w</v>
          </cell>
        </row>
        <row r="3798">
          <cell r="A3798" t="str">
            <v>Winsor</v>
          </cell>
          <cell r="B3798" t="str">
            <v>m</v>
          </cell>
        </row>
        <row r="3799">
          <cell r="A3799" t="str">
            <v>Winston</v>
          </cell>
          <cell r="B3799" t="str">
            <v>m</v>
          </cell>
        </row>
        <row r="3800">
          <cell r="A3800" t="str">
            <v>Winthrop</v>
          </cell>
          <cell r="B3800" t="str">
            <v>m</v>
          </cell>
        </row>
        <row r="3801">
          <cell r="A3801" t="str">
            <v>Wirt</v>
          </cell>
          <cell r="B3801" t="str">
            <v>m</v>
          </cell>
        </row>
        <row r="3802">
          <cell r="A3802" t="str">
            <v>Wirth</v>
          </cell>
          <cell r="B3802" t="str">
            <v>m</v>
          </cell>
        </row>
        <row r="3803">
          <cell r="A3803" t="str">
            <v>Witas</v>
          </cell>
          <cell r="B3803" t="str">
            <v>m</v>
          </cell>
        </row>
        <row r="3804">
          <cell r="A3804" t="str">
            <v>Witt</v>
          </cell>
          <cell r="B3804" t="str">
            <v>m</v>
          </cell>
        </row>
        <row r="3805">
          <cell r="A3805" t="str">
            <v>Witter</v>
          </cell>
          <cell r="B3805" t="str">
            <v>m</v>
          </cell>
        </row>
        <row r="3806">
          <cell r="A3806" t="str">
            <v>Witton</v>
          </cell>
          <cell r="B3806" t="str">
            <v>m</v>
          </cell>
        </row>
        <row r="3807">
          <cell r="A3807" t="str">
            <v>Wladimir</v>
          </cell>
          <cell r="B3807" t="str">
            <v>m</v>
          </cell>
        </row>
        <row r="3808">
          <cell r="A3808" t="str">
            <v>Wladisla</v>
          </cell>
          <cell r="B3808" t="str">
            <v>m</v>
          </cell>
        </row>
        <row r="3809">
          <cell r="A3809" t="str">
            <v>Woflgang</v>
          </cell>
          <cell r="B3809" t="str">
            <v>m</v>
          </cell>
        </row>
        <row r="3810">
          <cell r="A3810" t="str">
            <v>Woitech</v>
          </cell>
          <cell r="B3810" t="str">
            <v>m</v>
          </cell>
        </row>
        <row r="3811">
          <cell r="A3811" t="str">
            <v>Wolf</v>
          </cell>
          <cell r="B3811" t="str">
            <v>m</v>
          </cell>
        </row>
        <row r="3812">
          <cell r="A3812" t="str">
            <v>Wolfe</v>
          </cell>
          <cell r="B3812" t="str">
            <v>m</v>
          </cell>
        </row>
        <row r="3813">
          <cell r="A3813" t="str">
            <v>Wolfgang</v>
          </cell>
          <cell r="B3813" t="str">
            <v>m</v>
          </cell>
        </row>
        <row r="3814">
          <cell r="A3814" t="str">
            <v>Wolfram</v>
          </cell>
          <cell r="B3814" t="str">
            <v>m</v>
          </cell>
        </row>
        <row r="3815">
          <cell r="A3815" t="str">
            <v>Wolter</v>
          </cell>
          <cell r="B3815" t="str">
            <v>m</v>
          </cell>
        </row>
        <row r="3816">
          <cell r="A3816" t="str">
            <v>Wulf</v>
          </cell>
          <cell r="B3816" t="str">
            <v>m</v>
          </cell>
        </row>
        <row r="3817">
          <cell r="A3817" t="str">
            <v>Wum</v>
          </cell>
          <cell r="B3817" t="str">
            <v>m</v>
          </cell>
        </row>
        <row r="3818">
          <cell r="A3818" t="str">
            <v>Xander</v>
          </cell>
          <cell r="B3818" t="str">
            <v>m</v>
          </cell>
        </row>
        <row r="3819">
          <cell r="A3819" t="str">
            <v>Xandra</v>
          </cell>
          <cell r="B3819" t="str">
            <v>w</v>
          </cell>
        </row>
        <row r="3820">
          <cell r="A3820" t="str">
            <v>Xaver</v>
          </cell>
          <cell r="B3820" t="str">
            <v>m</v>
          </cell>
        </row>
        <row r="3821">
          <cell r="A3821" t="str">
            <v>Xaveria</v>
          </cell>
          <cell r="B3821" t="str">
            <v>w</v>
          </cell>
        </row>
        <row r="3822">
          <cell r="A3822" t="str">
            <v>Xaverine</v>
          </cell>
          <cell r="B3822" t="str">
            <v>w</v>
          </cell>
        </row>
        <row r="3823">
          <cell r="A3823" t="str">
            <v>Xaverius</v>
          </cell>
          <cell r="B3823" t="str">
            <v>m</v>
          </cell>
        </row>
        <row r="3824">
          <cell r="A3824" t="str">
            <v>Xavier</v>
          </cell>
          <cell r="B3824" t="str">
            <v>m</v>
          </cell>
        </row>
        <row r="3825">
          <cell r="A3825" t="str">
            <v>Xena</v>
          </cell>
          <cell r="B3825" t="str">
            <v>w</v>
          </cell>
        </row>
        <row r="3826">
          <cell r="A3826" t="str">
            <v>Xenia</v>
          </cell>
          <cell r="B3826" t="str">
            <v>w</v>
          </cell>
        </row>
        <row r="3827">
          <cell r="A3827" t="str">
            <v>Yamil</v>
          </cell>
          <cell r="B3827" t="str">
            <v>m</v>
          </cell>
        </row>
        <row r="3828">
          <cell r="A3828" t="str">
            <v>Yamina</v>
          </cell>
          <cell r="B3828" t="str">
            <v>w</v>
          </cell>
        </row>
        <row r="3829">
          <cell r="A3829" t="str">
            <v>Yan</v>
          </cell>
          <cell r="B3829" t="str">
            <v>m</v>
          </cell>
        </row>
        <row r="3830">
          <cell r="A3830" t="str">
            <v>Yannic</v>
          </cell>
          <cell r="B3830" t="str">
            <v>m</v>
          </cell>
        </row>
        <row r="3831">
          <cell r="A3831" t="str">
            <v>Yannick</v>
          </cell>
          <cell r="B3831" t="str">
            <v>m</v>
          </cell>
        </row>
        <row r="3832">
          <cell r="A3832" t="str">
            <v>Yannis</v>
          </cell>
          <cell r="B3832" t="str">
            <v>m</v>
          </cell>
        </row>
        <row r="3833">
          <cell r="A3833" t="str">
            <v>Yara</v>
          </cell>
          <cell r="B3833" t="str">
            <v>w</v>
          </cell>
        </row>
        <row r="3834">
          <cell r="A3834" t="str">
            <v>Yaren</v>
          </cell>
          <cell r="B3834" t="str">
            <v>w</v>
          </cell>
        </row>
        <row r="3835">
          <cell r="A3835" t="str">
            <v>Yasin</v>
          </cell>
          <cell r="B3835" t="str">
            <v>m</v>
          </cell>
        </row>
        <row r="3836">
          <cell r="A3836" t="str">
            <v>Yasmin</v>
          </cell>
          <cell r="B3836" t="str">
            <v>w</v>
          </cell>
        </row>
        <row r="3837">
          <cell r="A3837" t="str">
            <v>Yasmina</v>
          </cell>
          <cell r="B3837" t="str">
            <v>w</v>
          </cell>
        </row>
        <row r="3838">
          <cell r="A3838" t="str">
            <v>Yasmine</v>
          </cell>
          <cell r="B3838" t="str">
            <v>w</v>
          </cell>
        </row>
        <row r="3839">
          <cell r="A3839" t="str">
            <v>Yehudi</v>
          </cell>
          <cell r="B3839" t="str">
            <v>m</v>
          </cell>
        </row>
        <row r="3840">
          <cell r="A3840" t="str">
            <v>Yelena</v>
          </cell>
          <cell r="B3840" t="str">
            <v>w</v>
          </cell>
        </row>
        <row r="3841">
          <cell r="A3841" t="str">
            <v>Yola</v>
          </cell>
          <cell r="B3841" t="str">
            <v>w</v>
          </cell>
        </row>
        <row r="3842">
          <cell r="A3842" t="str">
            <v>Yolanda</v>
          </cell>
          <cell r="B3842" t="str">
            <v>w</v>
          </cell>
        </row>
        <row r="3843">
          <cell r="A3843" t="str">
            <v>Yorik</v>
          </cell>
          <cell r="B3843" t="str">
            <v>m</v>
          </cell>
        </row>
        <row r="3844">
          <cell r="A3844" t="str">
            <v>York</v>
          </cell>
          <cell r="B3844" t="str">
            <v>m</v>
          </cell>
        </row>
        <row r="3845">
          <cell r="A3845" t="str">
            <v>Yul</v>
          </cell>
          <cell r="B3845" t="str">
            <v>m</v>
          </cell>
        </row>
        <row r="3846">
          <cell r="A3846" t="str">
            <v>Yule</v>
          </cell>
          <cell r="B3846" t="str">
            <v>m</v>
          </cell>
        </row>
        <row r="3847">
          <cell r="A3847" t="str">
            <v>Yuria</v>
          </cell>
          <cell r="B3847" t="str">
            <v>w</v>
          </cell>
        </row>
        <row r="3848">
          <cell r="A3848" t="str">
            <v>Yven</v>
          </cell>
          <cell r="B3848" t="str">
            <v>m</v>
          </cell>
        </row>
        <row r="3849">
          <cell r="A3849" t="str">
            <v>Yves</v>
          </cell>
          <cell r="B3849" t="str">
            <v>m</v>
          </cell>
        </row>
        <row r="3850">
          <cell r="A3850" t="str">
            <v>Yvette</v>
          </cell>
          <cell r="B3850" t="str">
            <v>w</v>
          </cell>
        </row>
        <row r="3851">
          <cell r="A3851" t="str">
            <v>Yvonne</v>
          </cell>
          <cell r="B3851" t="str">
            <v>w</v>
          </cell>
        </row>
        <row r="3852">
          <cell r="A3852" t="str">
            <v>Ywan</v>
          </cell>
          <cell r="B3852" t="str">
            <v>m</v>
          </cell>
        </row>
        <row r="3853">
          <cell r="A3853" t="str">
            <v>Zacharias</v>
          </cell>
          <cell r="B3853" t="str">
            <v>m</v>
          </cell>
        </row>
        <row r="3854">
          <cell r="A3854" t="str">
            <v>Zachary</v>
          </cell>
          <cell r="B3854" t="str">
            <v>m</v>
          </cell>
        </row>
        <row r="3855">
          <cell r="A3855" t="str">
            <v>Zadoc</v>
          </cell>
          <cell r="B3855" t="str">
            <v>m</v>
          </cell>
        </row>
        <row r="3856">
          <cell r="A3856" t="str">
            <v>Zaida</v>
          </cell>
          <cell r="B3856" t="str">
            <v>w</v>
          </cell>
        </row>
        <row r="3857">
          <cell r="A3857" t="str">
            <v>Zaina</v>
          </cell>
          <cell r="B3857" t="str">
            <v>w</v>
          </cell>
        </row>
        <row r="3858">
          <cell r="A3858" t="str">
            <v>Zara</v>
          </cell>
          <cell r="B3858" t="str">
            <v>w</v>
          </cell>
        </row>
        <row r="3859">
          <cell r="A3859" t="str">
            <v>Zarah</v>
          </cell>
          <cell r="B3859" t="str">
            <v>w</v>
          </cell>
        </row>
        <row r="3860">
          <cell r="A3860" t="str">
            <v>Zeider</v>
          </cell>
          <cell r="B3860" t="str">
            <v>w</v>
          </cell>
        </row>
        <row r="3861">
          <cell r="A3861" t="str">
            <v>Zelda</v>
          </cell>
          <cell r="B3861" t="str">
            <v>w</v>
          </cell>
        </row>
        <row r="3862">
          <cell r="A3862" t="str">
            <v>Zelig</v>
          </cell>
          <cell r="B3862" t="str">
            <v>m</v>
          </cell>
        </row>
        <row r="3863">
          <cell r="A3863" t="str">
            <v>Zeljko</v>
          </cell>
          <cell r="B3863" t="str">
            <v>m</v>
          </cell>
        </row>
        <row r="3864">
          <cell r="A3864" t="str">
            <v>Zena</v>
          </cell>
          <cell r="B3864" t="str">
            <v>w</v>
          </cell>
        </row>
        <row r="3865">
          <cell r="A3865" t="str">
            <v>Zenobia</v>
          </cell>
          <cell r="B3865" t="str">
            <v>w</v>
          </cell>
        </row>
        <row r="3866">
          <cell r="A3866" t="str">
            <v>Zenobio</v>
          </cell>
          <cell r="B3866" t="str">
            <v>m</v>
          </cell>
        </row>
        <row r="3867">
          <cell r="A3867" t="str">
            <v>Zenzi</v>
          </cell>
          <cell r="B3867" t="str">
            <v>w</v>
          </cell>
        </row>
        <row r="3868">
          <cell r="A3868" t="str">
            <v>Zerelda</v>
          </cell>
          <cell r="B3868" t="str">
            <v>w</v>
          </cell>
        </row>
        <row r="3869">
          <cell r="A3869" t="str">
            <v>Zerla</v>
          </cell>
          <cell r="B3869" t="str">
            <v>w</v>
          </cell>
        </row>
        <row r="3870">
          <cell r="A3870" t="str">
            <v>Zerlina</v>
          </cell>
          <cell r="B3870" t="str">
            <v>w</v>
          </cell>
        </row>
        <row r="3871">
          <cell r="A3871" t="str">
            <v>Zerline</v>
          </cell>
          <cell r="B3871" t="str">
            <v>w</v>
          </cell>
        </row>
        <row r="3872">
          <cell r="A3872" t="str">
            <v>Zero</v>
          </cell>
          <cell r="B3872" t="str">
            <v>m</v>
          </cell>
        </row>
        <row r="3873">
          <cell r="A3873" t="str">
            <v>Zeus</v>
          </cell>
          <cell r="B3873" t="str">
            <v>m</v>
          </cell>
        </row>
        <row r="3874">
          <cell r="A3874" t="str">
            <v>Zilli</v>
          </cell>
          <cell r="B3874" t="str">
            <v>w</v>
          </cell>
        </row>
        <row r="3875">
          <cell r="A3875" t="str">
            <v>Zina</v>
          </cell>
          <cell r="B3875" t="str">
            <v>w</v>
          </cell>
        </row>
        <row r="3876">
          <cell r="A3876" t="str">
            <v>Zino</v>
          </cell>
          <cell r="B3876" t="str">
            <v>m</v>
          </cell>
        </row>
        <row r="3877">
          <cell r="A3877" t="str">
            <v>Zita</v>
          </cell>
          <cell r="B3877" t="str">
            <v>w</v>
          </cell>
        </row>
        <row r="3878">
          <cell r="A3878" t="str">
            <v>Zlatko</v>
          </cell>
          <cell r="B3878" t="str">
            <v>m</v>
          </cell>
        </row>
        <row r="3879">
          <cell r="A3879" t="str">
            <v>Zoe</v>
          </cell>
          <cell r="B3879" t="str">
            <v>m</v>
          </cell>
        </row>
        <row r="3880">
          <cell r="A3880" t="str">
            <v>Zoe</v>
          </cell>
          <cell r="B3880" t="str">
            <v>w</v>
          </cell>
        </row>
        <row r="3881">
          <cell r="A3881" t="str">
            <v>Zora</v>
          </cell>
          <cell r="B3881" t="str">
            <v>w</v>
          </cell>
        </row>
        <row r="3882">
          <cell r="A3882" t="str">
            <v>Zorra</v>
          </cell>
          <cell r="B3882" t="str">
            <v>w</v>
          </cell>
        </row>
        <row r="3883">
          <cell r="A3883" t="str">
            <v>Zorro</v>
          </cell>
          <cell r="B3883" t="str">
            <v>m</v>
          </cell>
        </row>
        <row r="3884">
          <cell r="A3884" t="str">
            <v>Zyrus</v>
          </cell>
          <cell r="B3884" t="str">
            <v>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8"/>
  <sheetViews>
    <sheetView workbookViewId="0">
      <pane ySplit="5" topLeftCell="A308" activePane="bottomLeft" state="frozen"/>
      <selection pane="bottomLeft" activeCell="M273" sqref="M273"/>
    </sheetView>
  </sheetViews>
  <sheetFormatPr baseColWidth="10" defaultColWidth="11.5703125" defaultRowHeight="12.75" x14ac:dyDescent="0.2"/>
  <cols>
    <col min="1" max="2" width="10.7109375" style="9" customWidth="1"/>
    <col min="3" max="3" width="9.7109375" style="9" customWidth="1"/>
    <col min="4" max="4" width="20" style="10" bestFit="1" customWidth="1"/>
    <col min="5" max="5" width="14.5703125" style="11" bestFit="1" customWidth="1"/>
    <col min="6" max="6" width="25.42578125" style="6" bestFit="1" customWidth="1"/>
    <col min="7" max="7" width="9.5703125" style="11" bestFit="1" customWidth="1"/>
    <col min="8" max="8" width="9" style="11" bestFit="1" customWidth="1"/>
    <col min="9" max="9" width="9.5703125" style="11" bestFit="1" customWidth="1"/>
    <col min="10" max="10" width="10.140625" style="11" bestFit="1" customWidth="1"/>
    <col min="11" max="12" width="10.140625" style="6" bestFit="1" customWidth="1"/>
    <col min="13" max="13" width="16.85546875" style="6" customWidth="1"/>
    <col min="14" max="14" width="23" style="6" bestFit="1" customWidth="1"/>
    <col min="15" max="16384" width="11.5703125" style="6"/>
  </cols>
  <sheetData>
    <row r="1" spans="1:14" s="2" customFormat="1" ht="15.95" customHeight="1" x14ac:dyDescent="0.25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0"/>
      <c r="N1" s="50"/>
    </row>
    <row r="2" spans="1:14" s="2" customFormat="1" ht="15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4" s="5" customFormat="1" ht="12" x14ac:dyDescent="0.2">
      <c r="A3" s="274" t="s">
        <v>137</v>
      </c>
      <c r="B3" s="275" t="s">
        <v>165</v>
      </c>
      <c r="C3" s="276" t="s">
        <v>166</v>
      </c>
      <c r="D3" s="276" t="s">
        <v>167</v>
      </c>
      <c r="E3" s="273" t="s">
        <v>134</v>
      </c>
      <c r="F3" s="273"/>
      <c r="G3" s="270" t="s">
        <v>168</v>
      </c>
      <c r="H3" s="270"/>
      <c r="I3" s="273" t="s">
        <v>169</v>
      </c>
      <c r="J3" s="273"/>
      <c r="K3" s="270" t="s">
        <v>138</v>
      </c>
      <c r="L3" s="270"/>
      <c r="M3" s="270" t="s">
        <v>170</v>
      </c>
      <c r="N3" s="270"/>
    </row>
    <row r="4" spans="1:14" ht="13.5" customHeight="1" x14ac:dyDescent="0.2">
      <c r="A4" s="274"/>
      <c r="B4" s="275"/>
      <c r="C4" s="276"/>
      <c r="D4" s="276"/>
      <c r="E4" s="276" t="s">
        <v>171</v>
      </c>
      <c r="F4" s="276" t="s">
        <v>172</v>
      </c>
      <c r="G4" s="270" t="s">
        <v>173</v>
      </c>
      <c r="H4" s="270" t="s">
        <v>174</v>
      </c>
      <c r="I4" s="270" t="s">
        <v>173</v>
      </c>
      <c r="J4" s="270" t="s">
        <v>174</v>
      </c>
      <c r="K4" s="270" t="s">
        <v>135</v>
      </c>
      <c r="L4" s="270" t="s">
        <v>136</v>
      </c>
      <c r="M4" s="271" t="s">
        <v>171</v>
      </c>
      <c r="N4" s="270" t="s">
        <v>172</v>
      </c>
    </row>
    <row r="5" spans="1:14" ht="13.5" customHeight="1" x14ac:dyDescent="0.2">
      <c r="A5" s="274"/>
      <c r="B5" s="275"/>
      <c r="C5" s="276"/>
      <c r="D5" s="276"/>
      <c r="E5" s="276"/>
      <c r="F5" s="276"/>
      <c r="G5" s="270"/>
      <c r="H5" s="270"/>
      <c r="I5" s="270"/>
      <c r="J5" s="270"/>
      <c r="K5" s="270"/>
      <c r="L5" s="270"/>
      <c r="M5" s="272"/>
      <c r="N5" s="270"/>
    </row>
    <row r="6" spans="1:14" s="30" customFormat="1" ht="18.75" customHeight="1" x14ac:dyDescent="0.2">
      <c r="A6" s="27">
        <v>34735</v>
      </c>
      <c r="B6" s="27">
        <v>34749</v>
      </c>
      <c r="C6" s="28">
        <v>134</v>
      </c>
      <c r="D6" s="29" t="s">
        <v>139</v>
      </c>
      <c r="E6" s="30" t="s">
        <v>21</v>
      </c>
      <c r="F6" s="30" t="s">
        <v>80</v>
      </c>
      <c r="G6" s="31">
        <v>60.67</v>
      </c>
      <c r="H6" s="28"/>
      <c r="I6" s="32">
        <v>48.1</v>
      </c>
      <c r="J6" s="32"/>
      <c r="K6" s="27">
        <v>34750</v>
      </c>
      <c r="L6" s="27">
        <f>DATE(YEAR(K6)+8,MONTH(K6),DAY(K6)-1)</f>
        <v>37671</v>
      </c>
    </row>
    <row r="7" spans="1:14" s="5" customFormat="1" ht="18.75" customHeight="1" x14ac:dyDescent="0.2">
      <c r="A7" s="12"/>
      <c r="B7" s="12"/>
      <c r="C7" s="13"/>
      <c r="D7" s="14"/>
      <c r="E7" s="5" t="s">
        <v>19</v>
      </c>
      <c r="F7" s="5" t="s">
        <v>81</v>
      </c>
      <c r="G7" s="20">
        <v>35.909999999999997</v>
      </c>
      <c r="H7" s="12"/>
      <c r="I7" s="12"/>
    </row>
    <row r="8" spans="1:14" s="5" customFormat="1" ht="18.75" customHeight="1" x14ac:dyDescent="0.2">
      <c r="A8" s="12"/>
      <c r="B8" s="12"/>
      <c r="C8" s="13"/>
      <c r="D8" s="14"/>
      <c r="E8" s="5" t="s">
        <v>83</v>
      </c>
      <c r="F8" s="5" t="s">
        <v>82</v>
      </c>
      <c r="G8" s="20">
        <v>3.41</v>
      </c>
      <c r="H8" s="12"/>
      <c r="I8" s="12"/>
    </row>
    <row r="9" spans="1:14" s="5" customFormat="1" ht="18.75" customHeight="1" x14ac:dyDescent="0.2">
      <c r="A9" s="12"/>
      <c r="B9" s="12"/>
      <c r="C9" s="13"/>
      <c r="D9" s="14"/>
      <c r="H9" s="12"/>
      <c r="I9" s="12"/>
    </row>
    <row r="10" spans="1:14" s="30" customFormat="1" ht="18.75" customHeight="1" x14ac:dyDescent="0.2">
      <c r="A10" s="27">
        <v>35631</v>
      </c>
      <c r="B10" s="27">
        <v>35645</v>
      </c>
      <c r="C10" s="28">
        <v>337</v>
      </c>
      <c r="D10" s="33" t="s">
        <v>140</v>
      </c>
      <c r="E10" s="30" t="s">
        <v>21</v>
      </c>
      <c r="F10" s="30" t="s">
        <v>85</v>
      </c>
      <c r="G10" s="31">
        <v>50.68</v>
      </c>
      <c r="H10" s="28"/>
      <c r="I10" s="32">
        <v>55.6</v>
      </c>
      <c r="J10" s="32"/>
      <c r="K10" s="27">
        <v>35681</v>
      </c>
      <c r="L10" s="27">
        <f>DATE(YEAR(K10)+8,MONTH(K10),DAY(K10)-1)</f>
        <v>38602</v>
      </c>
    </row>
    <row r="11" spans="1:14" s="5" customFormat="1" ht="18.75" customHeight="1" x14ac:dyDescent="0.2">
      <c r="A11" s="12"/>
      <c r="B11" s="12"/>
      <c r="C11" s="13"/>
      <c r="D11" s="17"/>
      <c r="E11" s="5" t="s">
        <v>19</v>
      </c>
      <c r="F11" s="5" t="s">
        <v>84</v>
      </c>
      <c r="G11" s="20">
        <v>49.32</v>
      </c>
      <c r="H11" s="12"/>
      <c r="I11" s="12"/>
    </row>
    <row r="12" spans="1:14" s="5" customFormat="1" ht="18.75" customHeight="1" x14ac:dyDescent="0.2">
      <c r="A12" s="12"/>
      <c r="B12" s="12"/>
      <c r="C12" s="13"/>
      <c r="D12" s="17"/>
      <c r="G12" s="22"/>
      <c r="H12" s="12"/>
      <c r="I12" s="12"/>
    </row>
    <row r="13" spans="1:14" s="30" customFormat="1" ht="18.75" customHeight="1" x14ac:dyDescent="0.2">
      <c r="A13" s="27">
        <v>35953</v>
      </c>
      <c r="B13" s="27">
        <v>35967</v>
      </c>
      <c r="C13" s="28">
        <v>132</v>
      </c>
      <c r="D13" s="33" t="s">
        <v>201</v>
      </c>
      <c r="E13" s="30" t="s">
        <v>19</v>
      </c>
      <c r="F13" s="30" t="s">
        <v>73</v>
      </c>
      <c r="G13" s="31">
        <v>57.75</v>
      </c>
      <c r="H13" s="28"/>
      <c r="I13" s="32">
        <v>41.6</v>
      </c>
      <c r="J13" s="32"/>
      <c r="K13" s="27">
        <v>36052</v>
      </c>
      <c r="L13" s="27">
        <f>DATE(YEAR(K13)+8,MONTH(K13),DAY(K13)-1)</f>
        <v>38973</v>
      </c>
    </row>
    <row r="14" spans="1:14" s="5" customFormat="1" ht="18.75" customHeight="1" x14ac:dyDescent="0.2">
      <c r="A14" s="12"/>
      <c r="B14" s="12"/>
      <c r="C14" s="13"/>
      <c r="D14" s="17"/>
      <c r="E14" s="5" t="s">
        <v>21</v>
      </c>
      <c r="F14" s="5" t="s">
        <v>74</v>
      </c>
      <c r="G14" s="20">
        <v>33.369999999999997</v>
      </c>
      <c r="H14" s="12"/>
      <c r="I14" s="12"/>
    </row>
    <row r="15" spans="1:14" s="5" customFormat="1" ht="18.75" customHeight="1" x14ac:dyDescent="0.2">
      <c r="A15" s="12"/>
      <c r="B15" s="12"/>
      <c r="C15" s="13"/>
      <c r="D15" s="17"/>
      <c r="E15" s="5" t="s">
        <v>34</v>
      </c>
      <c r="F15" s="5" t="s">
        <v>75</v>
      </c>
      <c r="G15" s="20">
        <v>6.11</v>
      </c>
      <c r="H15" s="12"/>
      <c r="I15" s="12"/>
    </row>
    <row r="16" spans="1:14" s="5" customFormat="1" ht="18.75" customHeight="1" x14ac:dyDescent="0.2">
      <c r="A16" s="12"/>
      <c r="B16" s="12"/>
      <c r="C16" s="13"/>
      <c r="D16" s="17"/>
      <c r="E16" s="5" t="s">
        <v>38</v>
      </c>
      <c r="F16" s="5" t="s">
        <v>76</v>
      </c>
      <c r="G16" s="20">
        <v>2.78</v>
      </c>
      <c r="H16" s="12"/>
      <c r="I16" s="12"/>
    </row>
    <row r="17" spans="1:12" s="5" customFormat="1" ht="18.75" customHeight="1" x14ac:dyDescent="0.2">
      <c r="A17" s="12"/>
      <c r="B17" s="12"/>
      <c r="C17" s="13"/>
      <c r="D17" s="17"/>
      <c r="H17" s="12"/>
      <c r="I17" s="12"/>
    </row>
    <row r="18" spans="1:12" s="30" customFormat="1" ht="18.75" customHeight="1" x14ac:dyDescent="0.2">
      <c r="A18" s="27">
        <v>36065</v>
      </c>
      <c r="B18" s="27">
        <v>36079</v>
      </c>
      <c r="C18" s="28">
        <v>140</v>
      </c>
      <c r="D18" s="33" t="s">
        <v>141</v>
      </c>
      <c r="E18" s="30" t="s">
        <v>19</v>
      </c>
      <c r="F18" s="30" t="s">
        <v>70</v>
      </c>
      <c r="G18" s="31">
        <v>54.29</v>
      </c>
      <c r="H18" s="28"/>
      <c r="I18" s="32">
        <v>82</v>
      </c>
      <c r="J18" s="32"/>
      <c r="K18" s="27">
        <v>36283</v>
      </c>
      <c r="L18" s="27">
        <f>DATE(YEAR(K18)+8,MONTH(K18),DAY(K18)-1)</f>
        <v>39204</v>
      </c>
    </row>
    <row r="19" spans="1:12" s="5" customFormat="1" ht="18.75" customHeight="1" x14ac:dyDescent="0.2">
      <c r="A19" s="12"/>
      <c r="B19" s="12"/>
      <c r="C19" s="13"/>
      <c r="D19" s="17"/>
      <c r="E19" s="5" t="s">
        <v>21</v>
      </c>
      <c r="F19" s="5" t="s">
        <v>71</v>
      </c>
      <c r="G19" s="20">
        <v>40.44</v>
      </c>
      <c r="H19" s="12"/>
      <c r="I19" s="12"/>
    </row>
    <row r="20" spans="1:12" s="5" customFormat="1" ht="18.75" customHeight="1" x14ac:dyDescent="0.2">
      <c r="A20" s="12"/>
      <c r="B20" s="12"/>
      <c r="C20" s="13"/>
      <c r="D20" s="17"/>
      <c r="E20" s="5" t="s">
        <v>38</v>
      </c>
      <c r="F20" s="5" t="s">
        <v>72</v>
      </c>
      <c r="G20" s="20">
        <v>5.28</v>
      </c>
      <c r="H20" s="12"/>
      <c r="I20" s="12"/>
    </row>
    <row r="21" spans="1:12" s="5" customFormat="1" ht="18.75" customHeight="1" x14ac:dyDescent="0.2">
      <c r="A21" s="12"/>
      <c r="B21" s="12"/>
      <c r="C21" s="13"/>
      <c r="D21" s="17"/>
      <c r="G21" s="20"/>
      <c r="H21" s="12"/>
      <c r="I21" s="12"/>
    </row>
    <row r="22" spans="1:12" s="30" customFormat="1" ht="18.75" customHeight="1" x14ac:dyDescent="0.2">
      <c r="A22" s="27">
        <v>36324</v>
      </c>
      <c r="B22" s="27">
        <v>36338</v>
      </c>
      <c r="C22" s="28">
        <v>233</v>
      </c>
      <c r="D22" s="33" t="s">
        <v>142</v>
      </c>
      <c r="E22" s="30" t="s">
        <v>26</v>
      </c>
      <c r="F22" s="30" t="s">
        <v>69</v>
      </c>
      <c r="G22" s="31">
        <v>53.44</v>
      </c>
      <c r="H22" s="28"/>
      <c r="I22" s="32">
        <v>72.900000000000006</v>
      </c>
      <c r="J22" s="32"/>
      <c r="K22" s="27">
        <v>36404</v>
      </c>
      <c r="L22" s="27">
        <f>DATE(YEAR(K22)+8,MONTH(K22),DAY(K22)-1)</f>
        <v>39325</v>
      </c>
    </row>
    <row r="23" spans="1:12" s="5" customFormat="1" ht="18.75" customHeight="1" x14ac:dyDescent="0.2">
      <c r="A23" s="12"/>
      <c r="B23" s="12"/>
      <c r="C23" s="13"/>
      <c r="D23" s="17"/>
      <c r="E23" s="5" t="s">
        <v>19</v>
      </c>
      <c r="F23" s="5" t="s">
        <v>68</v>
      </c>
      <c r="G23" s="20">
        <v>46.56</v>
      </c>
      <c r="H23" s="12"/>
      <c r="I23" s="12"/>
    </row>
    <row r="24" spans="1:12" s="5" customFormat="1" ht="18.75" customHeight="1" x14ac:dyDescent="0.2">
      <c r="A24" s="12"/>
      <c r="B24" s="12"/>
      <c r="C24" s="13"/>
      <c r="D24" s="17"/>
      <c r="G24" s="19"/>
      <c r="H24" s="12"/>
      <c r="I24" s="12"/>
    </row>
    <row r="25" spans="1:12" s="30" customFormat="1" ht="18.75" customHeight="1" x14ac:dyDescent="0.2">
      <c r="A25" s="27">
        <v>36492</v>
      </c>
      <c r="B25" s="27">
        <v>36506</v>
      </c>
      <c r="C25" s="28">
        <v>135</v>
      </c>
      <c r="D25" s="33" t="s">
        <v>143</v>
      </c>
      <c r="E25" s="30" t="s">
        <v>19</v>
      </c>
      <c r="F25" s="30" t="s">
        <v>65</v>
      </c>
      <c r="G25" s="31">
        <v>52.25</v>
      </c>
      <c r="H25" s="28"/>
      <c r="I25" s="32">
        <v>43.9</v>
      </c>
      <c r="J25" s="32"/>
      <c r="K25" s="27">
        <v>36643</v>
      </c>
      <c r="L25" s="27">
        <v>39386</v>
      </c>
    </row>
    <row r="26" spans="1:12" s="5" customFormat="1" ht="18.75" customHeight="1" x14ac:dyDescent="0.2">
      <c r="A26" s="12"/>
      <c r="B26" s="12"/>
      <c r="C26" s="13"/>
      <c r="D26" s="17"/>
      <c r="E26" s="5" t="s">
        <v>21</v>
      </c>
      <c r="F26" s="5" t="s">
        <v>66</v>
      </c>
      <c r="G26" s="20">
        <v>45.88</v>
      </c>
      <c r="H26" s="12"/>
      <c r="I26" s="12"/>
    </row>
    <row r="27" spans="1:12" s="5" customFormat="1" ht="18.75" customHeight="1" x14ac:dyDescent="0.2">
      <c r="A27" s="12"/>
      <c r="B27" s="12"/>
      <c r="C27" s="13"/>
      <c r="D27" s="17"/>
      <c r="E27" s="5" t="s">
        <v>34</v>
      </c>
      <c r="F27" s="5" t="s">
        <v>67</v>
      </c>
      <c r="G27" s="20">
        <v>1.87</v>
      </c>
      <c r="H27" s="12"/>
      <c r="I27" s="12"/>
    </row>
    <row r="28" spans="1:12" s="5" customFormat="1" ht="18.75" customHeight="1" x14ac:dyDescent="0.2">
      <c r="A28" s="12"/>
      <c r="B28" s="12"/>
      <c r="C28" s="13"/>
      <c r="D28" s="17"/>
      <c r="G28" s="22"/>
      <c r="H28" s="12"/>
      <c r="I28" s="12"/>
    </row>
    <row r="29" spans="1:12" s="30" customFormat="1" ht="18.75" customHeight="1" x14ac:dyDescent="0.2">
      <c r="A29" s="27">
        <v>36541</v>
      </c>
      <c r="B29" s="27">
        <v>36555</v>
      </c>
      <c r="C29" s="28">
        <v>131</v>
      </c>
      <c r="D29" s="33" t="s">
        <v>144</v>
      </c>
      <c r="E29" s="30" t="s">
        <v>19</v>
      </c>
      <c r="F29" s="30" t="s">
        <v>63</v>
      </c>
      <c r="G29" s="31">
        <v>63.38</v>
      </c>
      <c r="H29" s="28"/>
      <c r="I29" s="32">
        <v>32.799999999999997</v>
      </c>
      <c r="J29" s="32"/>
      <c r="K29" s="27">
        <v>36558</v>
      </c>
      <c r="L29" s="27">
        <f>DATE(YEAR(K29)+8,MONTH(K29),DAY(K29)-1)</f>
        <v>39479</v>
      </c>
    </row>
    <row r="30" spans="1:12" s="5" customFormat="1" ht="18.75" customHeight="1" x14ac:dyDescent="0.2">
      <c r="A30" s="12"/>
      <c r="B30" s="12"/>
      <c r="C30" s="13"/>
      <c r="D30" s="17"/>
      <c r="E30" s="5" t="s">
        <v>21</v>
      </c>
      <c r="F30" s="5" t="s">
        <v>64</v>
      </c>
      <c r="G30" s="20">
        <v>36.619999999999997</v>
      </c>
      <c r="H30" s="12"/>
      <c r="I30" s="12"/>
    </row>
    <row r="31" spans="1:12" s="5" customFormat="1" ht="18.75" customHeight="1" x14ac:dyDescent="0.2">
      <c r="A31" s="12"/>
      <c r="B31" s="12"/>
      <c r="C31" s="13"/>
      <c r="D31" s="17"/>
      <c r="G31" s="22"/>
      <c r="H31" s="12"/>
      <c r="I31" s="12"/>
    </row>
    <row r="32" spans="1:12" s="30" customFormat="1" ht="18.75" customHeight="1" x14ac:dyDescent="0.2">
      <c r="A32" s="27">
        <v>36975</v>
      </c>
      <c r="B32" s="27">
        <v>36989</v>
      </c>
      <c r="C32" s="28">
        <v>133</v>
      </c>
      <c r="D32" s="33" t="s">
        <v>145</v>
      </c>
      <c r="E32" s="30" t="s">
        <v>21</v>
      </c>
      <c r="F32" s="30" t="s">
        <v>61</v>
      </c>
      <c r="G32" s="31">
        <v>53.56</v>
      </c>
      <c r="H32" s="28"/>
      <c r="I32" s="32">
        <v>63.2</v>
      </c>
      <c r="J32" s="32"/>
      <c r="K32" s="27">
        <v>37080</v>
      </c>
      <c r="L32" s="27">
        <f>DATE(YEAR(K32)+8,MONTH(K32),DAY(K32)-1)</f>
        <v>40001</v>
      </c>
    </row>
    <row r="33" spans="1:12" s="5" customFormat="1" ht="18.75" customHeight="1" x14ac:dyDescent="0.2">
      <c r="A33" s="12"/>
      <c r="B33" s="12"/>
      <c r="C33" s="13"/>
      <c r="D33" s="17"/>
      <c r="E33" s="5" t="s">
        <v>19</v>
      </c>
      <c r="F33" s="5" t="s">
        <v>60</v>
      </c>
      <c r="G33" s="20">
        <v>39.270000000000003</v>
      </c>
      <c r="H33" s="12"/>
      <c r="I33" s="12"/>
    </row>
    <row r="34" spans="1:12" s="5" customFormat="1" ht="18.75" customHeight="1" x14ac:dyDescent="0.2">
      <c r="A34" s="12"/>
      <c r="B34" s="12"/>
      <c r="C34" s="13"/>
      <c r="D34" s="17"/>
      <c r="E34" s="5" t="s">
        <v>34</v>
      </c>
      <c r="F34" s="5" t="s">
        <v>62</v>
      </c>
      <c r="G34" s="20">
        <v>7.16</v>
      </c>
      <c r="H34" s="12"/>
      <c r="I34" s="12"/>
    </row>
    <row r="35" spans="1:12" s="5" customFormat="1" ht="18.75" customHeight="1" x14ac:dyDescent="0.2">
      <c r="A35" s="12"/>
      <c r="B35" s="12"/>
      <c r="C35" s="13"/>
      <c r="D35" s="17"/>
      <c r="H35" s="12"/>
      <c r="I35" s="12"/>
    </row>
    <row r="36" spans="1:12" s="30" customFormat="1" ht="18.75" customHeight="1" x14ac:dyDescent="0.2">
      <c r="A36" s="27">
        <v>36975</v>
      </c>
      <c r="B36" s="27">
        <v>36989</v>
      </c>
      <c r="C36" s="28">
        <v>141</v>
      </c>
      <c r="D36" s="33" t="s">
        <v>146</v>
      </c>
      <c r="E36" s="30" t="s">
        <v>21</v>
      </c>
      <c r="F36" s="30" t="s">
        <v>50</v>
      </c>
      <c r="G36" s="31">
        <v>86.66</v>
      </c>
      <c r="H36" s="28"/>
      <c r="I36" s="32">
        <v>61.4</v>
      </c>
      <c r="J36" s="32"/>
      <c r="K36" s="27">
        <v>37170</v>
      </c>
      <c r="L36" s="49">
        <v>37864</v>
      </c>
    </row>
    <row r="37" spans="1:12" s="5" customFormat="1" ht="18.75" customHeight="1" x14ac:dyDescent="0.2">
      <c r="A37" s="12"/>
      <c r="B37" s="12"/>
      <c r="C37" s="13"/>
      <c r="D37" s="17"/>
      <c r="E37" s="5" t="s">
        <v>34</v>
      </c>
      <c r="F37" s="5" t="s">
        <v>51</v>
      </c>
      <c r="G37" s="20">
        <v>13.34</v>
      </c>
      <c r="H37" s="12"/>
      <c r="I37" s="12"/>
    </row>
    <row r="38" spans="1:12" s="5" customFormat="1" ht="18.75" customHeight="1" x14ac:dyDescent="0.2">
      <c r="A38" s="12"/>
      <c r="B38" s="12"/>
      <c r="C38" s="13"/>
      <c r="D38" s="17"/>
      <c r="G38" s="22"/>
      <c r="H38" s="12"/>
      <c r="I38" s="12"/>
    </row>
    <row r="39" spans="1:12" s="30" customFormat="1" ht="18.75" customHeight="1" x14ac:dyDescent="0.2">
      <c r="A39" s="27">
        <v>36975</v>
      </c>
      <c r="B39" s="27">
        <v>36989</v>
      </c>
      <c r="C39" s="28">
        <v>143</v>
      </c>
      <c r="D39" s="33" t="s">
        <v>147</v>
      </c>
      <c r="E39" s="30" t="s">
        <v>19</v>
      </c>
      <c r="F39" s="30" t="s">
        <v>48</v>
      </c>
      <c r="G39" s="31">
        <v>66.319999999999993</v>
      </c>
      <c r="H39" s="28"/>
      <c r="I39" s="32">
        <v>60.6</v>
      </c>
      <c r="J39" s="32"/>
      <c r="K39" s="27">
        <v>37175</v>
      </c>
      <c r="L39" s="27">
        <f>DATE(YEAR(K39)+8,MONTH(K39),DAY(K39)-1)</f>
        <v>40096</v>
      </c>
    </row>
    <row r="40" spans="1:12" s="5" customFormat="1" ht="18.75" customHeight="1" x14ac:dyDescent="0.2">
      <c r="A40" s="12"/>
      <c r="B40" s="12"/>
      <c r="C40" s="13"/>
      <c r="D40" s="17"/>
      <c r="E40" s="5" t="s">
        <v>21</v>
      </c>
      <c r="F40" s="5" t="s">
        <v>49</v>
      </c>
      <c r="G40" s="20">
        <v>33.68</v>
      </c>
      <c r="H40" s="12"/>
      <c r="I40" s="12"/>
    </row>
    <row r="41" spans="1:12" s="5" customFormat="1" ht="18.75" customHeight="1" x14ac:dyDescent="0.2">
      <c r="A41" s="12"/>
      <c r="B41" s="12"/>
      <c r="C41" s="13"/>
      <c r="D41" s="17"/>
      <c r="G41" s="22"/>
      <c r="H41" s="12"/>
      <c r="I41" s="12"/>
    </row>
    <row r="42" spans="1:12" s="30" customFormat="1" ht="18.75" customHeight="1" x14ac:dyDescent="0.2">
      <c r="A42" s="27">
        <v>36975</v>
      </c>
      <c r="B42" s="27">
        <v>36989</v>
      </c>
      <c r="C42" s="28">
        <v>232</v>
      </c>
      <c r="D42" s="33" t="s">
        <v>148</v>
      </c>
      <c r="E42" s="30" t="s">
        <v>19</v>
      </c>
      <c r="F42" s="30" t="s">
        <v>30</v>
      </c>
      <c r="G42" s="31">
        <v>56.11</v>
      </c>
      <c r="H42" s="28"/>
      <c r="I42" s="32">
        <v>63</v>
      </c>
      <c r="J42" s="32"/>
      <c r="K42" s="27">
        <v>37241</v>
      </c>
      <c r="L42" s="27">
        <f>DATE(YEAR(K42)+8,MONTH(K42),DAY(K42)-1)</f>
        <v>40162</v>
      </c>
    </row>
    <row r="43" spans="1:12" s="5" customFormat="1" ht="18.75" customHeight="1" x14ac:dyDescent="0.2">
      <c r="A43" s="12"/>
      <c r="B43" s="12"/>
      <c r="C43" s="13"/>
      <c r="D43" s="17"/>
      <c r="E43" s="5" t="s">
        <v>21</v>
      </c>
      <c r="F43" s="5" t="s">
        <v>31</v>
      </c>
      <c r="G43" s="20">
        <v>43.89</v>
      </c>
      <c r="H43" s="12"/>
      <c r="I43" s="12"/>
    </row>
    <row r="44" spans="1:12" s="5" customFormat="1" ht="18.75" customHeight="1" x14ac:dyDescent="0.2">
      <c r="A44" s="12"/>
      <c r="B44" s="12"/>
      <c r="C44" s="13"/>
      <c r="D44" s="17"/>
      <c r="H44" s="12"/>
      <c r="I44" s="12"/>
    </row>
    <row r="45" spans="1:12" s="30" customFormat="1" ht="18.75" customHeight="1" x14ac:dyDescent="0.2">
      <c r="A45" s="27">
        <v>36975</v>
      </c>
      <c r="B45" s="27">
        <v>36989</v>
      </c>
      <c r="C45" s="28">
        <v>235</v>
      </c>
      <c r="D45" s="33" t="s">
        <v>149</v>
      </c>
      <c r="E45" s="30" t="s">
        <v>19</v>
      </c>
      <c r="F45" s="30" t="s">
        <v>88</v>
      </c>
      <c r="G45" s="31">
        <v>62.45</v>
      </c>
      <c r="H45" s="28"/>
      <c r="I45" s="32">
        <v>64.599999999999994</v>
      </c>
      <c r="J45" s="32"/>
      <c r="K45" s="27">
        <v>37214</v>
      </c>
      <c r="L45" s="49">
        <v>38717</v>
      </c>
    </row>
    <row r="46" spans="1:12" s="5" customFormat="1" ht="18.75" customHeight="1" x14ac:dyDescent="0.2">
      <c r="A46" s="12"/>
      <c r="B46" s="12"/>
      <c r="C46" s="13"/>
      <c r="D46" s="17"/>
      <c r="E46" s="5" t="s">
        <v>21</v>
      </c>
      <c r="F46" s="5" t="s">
        <v>89</v>
      </c>
      <c r="G46" s="20">
        <v>37.549999999999997</v>
      </c>
      <c r="H46" s="12"/>
      <c r="I46" s="12"/>
    </row>
    <row r="47" spans="1:12" s="5" customFormat="1" ht="18.75" customHeight="1" x14ac:dyDescent="0.2">
      <c r="A47" s="12"/>
      <c r="B47" s="12"/>
      <c r="C47" s="13"/>
      <c r="D47" s="17"/>
      <c r="G47" s="20"/>
      <c r="H47" s="12"/>
      <c r="I47" s="12"/>
    </row>
    <row r="48" spans="1:12" s="30" customFormat="1" ht="18.75" customHeight="1" x14ac:dyDescent="0.2">
      <c r="A48" s="27">
        <v>36975</v>
      </c>
      <c r="B48" s="27">
        <v>36989</v>
      </c>
      <c r="C48" s="28">
        <v>331</v>
      </c>
      <c r="D48" s="33" t="s">
        <v>150</v>
      </c>
      <c r="E48" s="30" t="s">
        <v>21</v>
      </c>
      <c r="F48" s="30" t="s">
        <v>86</v>
      </c>
      <c r="G48" s="31">
        <v>65.91</v>
      </c>
      <c r="H48" s="28"/>
      <c r="I48" s="32">
        <v>62.8</v>
      </c>
      <c r="J48" s="32"/>
      <c r="K48" s="27">
        <v>37199</v>
      </c>
      <c r="L48" s="27">
        <v>38291</v>
      </c>
    </row>
    <row r="49" spans="1:12" s="5" customFormat="1" ht="18.75" customHeight="1" x14ac:dyDescent="0.2">
      <c r="A49" s="12"/>
      <c r="B49" s="12"/>
      <c r="C49" s="13"/>
      <c r="D49" s="17"/>
      <c r="E49" s="5" t="s">
        <v>38</v>
      </c>
      <c r="F49" s="5" t="s">
        <v>6</v>
      </c>
      <c r="G49" s="20">
        <v>24.58</v>
      </c>
      <c r="H49" s="12"/>
      <c r="I49" s="12"/>
    </row>
    <row r="50" spans="1:12" s="5" customFormat="1" ht="18.75" customHeight="1" x14ac:dyDescent="0.2">
      <c r="A50" s="12"/>
      <c r="B50" s="12"/>
      <c r="C50" s="13"/>
      <c r="D50" s="17"/>
      <c r="E50" s="5" t="s">
        <v>34</v>
      </c>
      <c r="F50" s="5" t="s">
        <v>87</v>
      </c>
      <c r="G50" s="20">
        <v>9.52</v>
      </c>
      <c r="H50" s="12"/>
      <c r="I50" s="12"/>
    </row>
    <row r="51" spans="1:12" s="5" customFormat="1" ht="18.75" customHeight="1" x14ac:dyDescent="0.2">
      <c r="A51" s="12"/>
      <c r="B51" s="12"/>
      <c r="C51" s="13"/>
      <c r="D51" s="17"/>
      <c r="H51" s="12"/>
      <c r="I51" s="12"/>
    </row>
    <row r="52" spans="1:12" s="30" customFormat="1" ht="18.75" customHeight="1" x14ac:dyDescent="0.2">
      <c r="A52" s="27">
        <v>36975</v>
      </c>
      <c r="B52" s="27">
        <v>36989</v>
      </c>
      <c r="C52" s="28">
        <v>332</v>
      </c>
      <c r="D52" s="33" t="s">
        <v>151</v>
      </c>
      <c r="E52" s="30" t="s">
        <v>21</v>
      </c>
      <c r="F52" s="30" t="s">
        <v>40</v>
      </c>
      <c r="G52" s="31">
        <v>50.65</v>
      </c>
      <c r="H52" s="28"/>
      <c r="I52" s="32">
        <v>65.400000000000006</v>
      </c>
      <c r="J52" s="32"/>
      <c r="K52" s="27">
        <v>37194</v>
      </c>
      <c r="L52" s="27">
        <v>40115</v>
      </c>
    </row>
    <row r="53" spans="1:12" s="5" customFormat="1" ht="18.75" customHeight="1" x14ac:dyDescent="0.2">
      <c r="A53" s="12"/>
      <c r="B53" s="12"/>
      <c r="C53" s="13"/>
      <c r="D53" s="17"/>
      <c r="E53" s="5" t="s">
        <v>19</v>
      </c>
      <c r="F53" s="5" t="s">
        <v>39</v>
      </c>
      <c r="G53" s="20">
        <v>40.090000000000003</v>
      </c>
      <c r="H53" s="12"/>
      <c r="I53" s="12"/>
    </row>
    <row r="54" spans="1:12" s="5" customFormat="1" ht="18.75" customHeight="1" x14ac:dyDescent="0.2">
      <c r="A54" s="12"/>
      <c r="B54" s="12"/>
      <c r="C54" s="13"/>
      <c r="D54" s="17"/>
      <c r="E54" s="5" t="s">
        <v>38</v>
      </c>
      <c r="F54" s="5" t="s">
        <v>41</v>
      </c>
      <c r="G54" s="20">
        <v>9.26</v>
      </c>
      <c r="H54" s="12"/>
      <c r="I54" s="12"/>
    </row>
    <row r="55" spans="1:12" s="5" customFormat="1" ht="18.75" customHeight="1" x14ac:dyDescent="0.2">
      <c r="A55" s="12"/>
      <c r="B55" s="12"/>
      <c r="C55" s="13"/>
      <c r="D55" s="17"/>
      <c r="G55" s="22"/>
      <c r="H55" s="12"/>
      <c r="I55" s="12"/>
    </row>
    <row r="56" spans="1:12" s="30" customFormat="1" ht="18.75" customHeight="1" x14ac:dyDescent="0.2">
      <c r="A56" s="27">
        <v>36975</v>
      </c>
      <c r="B56" s="27">
        <v>36989</v>
      </c>
      <c r="C56" s="28">
        <v>333</v>
      </c>
      <c r="D56" s="33" t="s">
        <v>152</v>
      </c>
      <c r="E56" s="30" t="s">
        <v>21</v>
      </c>
      <c r="F56" s="30" t="s">
        <v>56</v>
      </c>
      <c r="G56" s="31">
        <v>52.05</v>
      </c>
      <c r="H56" s="28"/>
      <c r="I56" s="32">
        <v>62.6</v>
      </c>
      <c r="J56" s="32"/>
      <c r="K56" s="27">
        <v>37157</v>
      </c>
      <c r="L56" s="27">
        <f>DATE(YEAR(K56)+8,MONTH(K56),DAY(K56)-1)</f>
        <v>40078</v>
      </c>
    </row>
    <row r="57" spans="1:12" s="5" customFormat="1" ht="18.75" customHeight="1" x14ac:dyDescent="0.2">
      <c r="A57" s="12"/>
      <c r="B57" s="12"/>
      <c r="C57" s="13"/>
      <c r="D57" s="17"/>
      <c r="E57" s="5" t="s">
        <v>19</v>
      </c>
      <c r="F57" s="5" t="s">
        <v>57</v>
      </c>
      <c r="G57" s="20">
        <v>25.19</v>
      </c>
      <c r="H57" s="12"/>
      <c r="I57" s="12"/>
    </row>
    <row r="58" spans="1:12" s="5" customFormat="1" ht="18.75" customHeight="1" x14ac:dyDescent="0.2">
      <c r="A58" s="12"/>
      <c r="B58" s="12"/>
      <c r="C58" s="13"/>
      <c r="D58" s="17"/>
      <c r="E58" s="5" t="s">
        <v>55</v>
      </c>
      <c r="F58" s="5" t="s">
        <v>58</v>
      </c>
      <c r="G58" s="20">
        <v>17.21</v>
      </c>
      <c r="H58" s="12"/>
      <c r="I58" s="12"/>
    </row>
    <row r="59" spans="1:12" s="5" customFormat="1" ht="18.75" customHeight="1" x14ac:dyDescent="0.2">
      <c r="A59" s="12"/>
      <c r="B59" s="12"/>
      <c r="C59" s="13"/>
      <c r="D59" s="17"/>
      <c r="E59" s="5" t="s">
        <v>34</v>
      </c>
      <c r="F59" s="5" t="s">
        <v>59</v>
      </c>
      <c r="G59" s="20">
        <v>5.56</v>
      </c>
      <c r="H59" s="12"/>
      <c r="I59" s="12"/>
    </row>
    <row r="60" spans="1:12" s="5" customFormat="1" ht="18.75" customHeight="1" x14ac:dyDescent="0.2">
      <c r="A60" s="12"/>
      <c r="B60" s="12"/>
      <c r="C60" s="13"/>
      <c r="D60" s="17"/>
      <c r="G60" s="22"/>
      <c r="H60" s="12"/>
      <c r="I60" s="12"/>
    </row>
    <row r="61" spans="1:12" s="30" customFormat="1" ht="18.75" customHeight="1" x14ac:dyDescent="0.2">
      <c r="A61" s="27">
        <v>36975</v>
      </c>
      <c r="B61" s="27">
        <v>36989</v>
      </c>
      <c r="C61" s="28">
        <v>334</v>
      </c>
      <c r="D61" s="33" t="s">
        <v>153</v>
      </c>
      <c r="E61" s="30" t="s">
        <v>19</v>
      </c>
      <c r="F61" s="30" t="s">
        <v>42</v>
      </c>
      <c r="G61" s="31">
        <v>47.95</v>
      </c>
      <c r="H61" s="31">
        <v>55.1</v>
      </c>
      <c r="I61" s="32">
        <v>63.4</v>
      </c>
      <c r="J61" s="32">
        <v>46</v>
      </c>
      <c r="K61" s="27">
        <v>37183</v>
      </c>
      <c r="L61" s="27">
        <f>DATE(YEAR(K61)+8,MONTH(K61),DAY(K61)-1)</f>
        <v>40104</v>
      </c>
    </row>
    <row r="62" spans="1:12" s="5" customFormat="1" ht="18.75" customHeight="1" x14ac:dyDescent="0.2">
      <c r="A62" s="12"/>
      <c r="B62" s="12"/>
      <c r="C62" s="13"/>
      <c r="D62" s="17"/>
      <c r="E62" s="5" t="s">
        <v>21</v>
      </c>
      <c r="F62" s="5" t="s">
        <v>43</v>
      </c>
      <c r="G62" s="20">
        <v>41.86</v>
      </c>
      <c r="H62" s="20">
        <v>44.9</v>
      </c>
      <c r="I62" s="12"/>
    </row>
    <row r="63" spans="1:12" s="5" customFormat="1" ht="18.75" customHeight="1" x14ac:dyDescent="0.2">
      <c r="A63" s="12"/>
      <c r="B63" s="12"/>
      <c r="C63" s="13"/>
      <c r="D63" s="17"/>
      <c r="E63" s="5" t="s">
        <v>26</v>
      </c>
      <c r="F63" s="5" t="s">
        <v>44</v>
      </c>
      <c r="G63" s="20">
        <v>10.19</v>
      </c>
      <c r="H63" s="23"/>
      <c r="I63" s="12"/>
    </row>
    <row r="64" spans="1:12" s="5" customFormat="1" ht="18.75" customHeight="1" x14ac:dyDescent="0.2">
      <c r="A64" s="12"/>
      <c r="B64" s="12"/>
      <c r="C64" s="13"/>
      <c r="D64" s="17"/>
      <c r="H64" s="12"/>
      <c r="I64" s="12"/>
    </row>
    <row r="65" spans="1:12" s="30" customFormat="1" ht="18.75" customHeight="1" x14ac:dyDescent="0.2">
      <c r="A65" s="27">
        <v>36975</v>
      </c>
      <c r="B65" s="27">
        <v>36989</v>
      </c>
      <c r="C65" s="28">
        <v>335</v>
      </c>
      <c r="D65" s="33" t="s">
        <v>154</v>
      </c>
      <c r="E65" s="30" t="s">
        <v>21</v>
      </c>
      <c r="F65" s="30" t="s">
        <v>33</v>
      </c>
      <c r="G65" s="31">
        <v>52.23</v>
      </c>
      <c r="H65" s="27"/>
      <c r="I65" s="32">
        <v>65.400000000000006</v>
      </c>
      <c r="J65" s="32"/>
      <c r="K65" s="27">
        <v>37234</v>
      </c>
      <c r="L65" s="27">
        <f>DATE(YEAR(K65)+8,MONTH(K65),DAY(K65)-1)</f>
        <v>40155</v>
      </c>
    </row>
    <row r="66" spans="1:12" s="5" customFormat="1" ht="18.75" customHeight="1" x14ac:dyDescent="0.2">
      <c r="A66" s="12"/>
      <c r="B66" s="12"/>
      <c r="C66" s="13"/>
      <c r="D66" s="17"/>
      <c r="E66" s="5" t="s">
        <v>19</v>
      </c>
      <c r="F66" s="5" t="s">
        <v>32</v>
      </c>
      <c r="G66" s="20">
        <v>47.77</v>
      </c>
      <c r="H66" s="13"/>
      <c r="I66" s="12"/>
    </row>
    <row r="67" spans="1:12" s="5" customFormat="1" ht="18.75" customHeight="1" x14ac:dyDescent="0.2">
      <c r="A67" s="12"/>
      <c r="B67" s="12"/>
      <c r="C67" s="13"/>
      <c r="D67" s="17"/>
      <c r="G67" s="22"/>
      <c r="H67" s="12"/>
      <c r="I67" s="12"/>
    </row>
    <row r="68" spans="1:12" s="30" customFormat="1" ht="18.75" customHeight="1" x14ac:dyDescent="0.2">
      <c r="A68" s="27">
        <v>36975</v>
      </c>
      <c r="B68" s="27">
        <v>36989</v>
      </c>
      <c r="C68" s="28">
        <v>336</v>
      </c>
      <c r="D68" s="33" t="s">
        <v>155</v>
      </c>
      <c r="E68" s="30" t="s">
        <v>21</v>
      </c>
      <c r="F68" s="30" t="s">
        <v>45</v>
      </c>
      <c r="G68" s="31">
        <v>60.01</v>
      </c>
      <c r="H68" s="28"/>
      <c r="I68" s="32">
        <v>62.4</v>
      </c>
      <c r="J68" s="32"/>
      <c r="K68" s="27">
        <v>37178</v>
      </c>
      <c r="L68" s="27">
        <f>DATE(YEAR(K68)+8,MONTH(K68),DAY(K68)-1)</f>
        <v>40099</v>
      </c>
    </row>
    <row r="69" spans="1:12" s="5" customFormat="1" ht="18.75" customHeight="1" x14ac:dyDescent="0.2">
      <c r="A69" s="12"/>
      <c r="B69" s="12"/>
      <c r="C69" s="13"/>
      <c r="D69" s="17"/>
      <c r="E69" s="5" t="s">
        <v>78</v>
      </c>
      <c r="F69" s="5" t="s">
        <v>46</v>
      </c>
      <c r="G69" s="20">
        <v>29.44</v>
      </c>
      <c r="H69" s="12"/>
      <c r="I69" s="12"/>
    </row>
    <row r="70" spans="1:12" s="5" customFormat="1" ht="18.75" customHeight="1" x14ac:dyDescent="0.2">
      <c r="A70" s="12"/>
      <c r="B70" s="12"/>
      <c r="C70" s="13"/>
      <c r="D70" s="17"/>
      <c r="E70" s="5" t="s">
        <v>79</v>
      </c>
      <c r="F70" s="5" t="s">
        <v>47</v>
      </c>
      <c r="G70" s="20">
        <v>10.55</v>
      </c>
      <c r="H70" s="12"/>
      <c r="I70" s="12"/>
    </row>
    <row r="71" spans="1:12" s="5" customFormat="1" ht="18.75" customHeight="1" x14ac:dyDescent="0.2">
      <c r="A71" s="12"/>
      <c r="B71" s="12"/>
      <c r="C71" s="13"/>
      <c r="D71" s="17"/>
      <c r="H71" s="12"/>
      <c r="I71" s="12"/>
    </row>
    <row r="72" spans="1:12" s="30" customFormat="1" ht="18.75" customHeight="1" x14ac:dyDescent="0.2">
      <c r="A72" s="27">
        <v>36975</v>
      </c>
      <c r="B72" s="27">
        <v>36989</v>
      </c>
      <c r="C72" s="28">
        <v>338</v>
      </c>
      <c r="D72" s="33" t="s">
        <v>156</v>
      </c>
      <c r="E72" s="30" t="s">
        <v>21</v>
      </c>
      <c r="F72" s="30" t="s">
        <v>36</v>
      </c>
      <c r="G72" s="31">
        <v>47.94</v>
      </c>
      <c r="H72" s="31">
        <v>55.16</v>
      </c>
      <c r="I72" s="32">
        <v>66</v>
      </c>
      <c r="J72" s="32">
        <v>44.1</v>
      </c>
      <c r="K72" s="27">
        <v>37213</v>
      </c>
      <c r="L72" s="27">
        <f>DATE(YEAR(K72)+8,MONTH(K72),DAY(K72)-1)</f>
        <v>40134</v>
      </c>
    </row>
    <row r="73" spans="1:12" s="5" customFormat="1" ht="18.75" customHeight="1" x14ac:dyDescent="0.2">
      <c r="A73" s="12"/>
      <c r="B73" s="12"/>
      <c r="C73" s="13"/>
      <c r="D73" s="17"/>
      <c r="E73" s="5" t="s">
        <v>19</v>
      </c>
      <c r="F73" s="5" t="s">
        <v>35</v>
      </c>
      <c r="G73" s="20">
        <v>44.35</v>
      </c>
      <c r="H73" s="20">
        <v>44.84</v>
      </c>
      <c r="I73" s="12"/>
    </row>
    <row r="74" spans="1:12" s="5" customFormat="1" ht="18.75" customHeight="1" x14ac:dyDescent="0.2">
      <c r="A74" s="12"/>
      <c r="B74" s="12"/>
      <c r="C74" s="13"/>
      <c r="D74" s="17"/>
      <c r="E74" s="5" t="s">
        <v>34</v>
      </c>
      <c r="F74" s="5" t="s">
        <v>37</v>
      </c>
      <c r="G74" s="20">
        <v>7.71</v>
      </c>
      <c r="H74" s="23"/>
      <c r="I74" s="12"/>
    </row>
    <row r="75" spans="1:12" s="5" customFormat="1" ht="18.75" customHeight="1" x14ac:dyDescent="0.2">
      <c r="A75" s="12"/>
      <c r="B75" s="12"/>
      <c r="C75" s="13"/>
      <c r="D75" s="17"/>
      <c r="H75" s="12"/>
      <c r="I75" s="12"/>
    </row>
    <row r="76" spans="1:12" s="30" customFormat="1" ht="18.75" customHeight="1" x14ac:dyDescent="0.2">
      <c r="A76" s="27">
        <v>36975</v>
      </c>
      <c r="B76" s="27">
        <v>36989</v>
      </c>
      <c r="C76" s="28">
        <v>340</v>
      </c>
      <c r="D76" s="33" t="s">
        <v>157</v>
      </c>
      <c r="E76" s="30" t="s">
        <v>19</v>
      </c>
      <c r="F76" s="30" t="s">
        <v>52</v>
      </c>
      <c r="G76" s="31">
        <v>60.82</v>
      </c>
      <c r="H76" s="28"/>
      <c r="I76" s="32">
        <v>66.2</v>
      </c>
      <c r="J76" s="32"/>
      <c r="K76" s="27">
        <v>37165</v>
      </c>
      <c r="L76" s="27">
        <f>DATE(YEAR(K76)+8,MONTH(K76),DAY(K76)-1)</f>
        <v>40086</v>
      </c>
    </row>
    <row r="77" spans="1:12" s="5" customFormat="1" ht="18.75" customHeight="1" x14ac:dyDescent="0.2">
      <c r="A77" s="12"/>
      <c r="B77" s="12"/>
      <c r="C77" s="13"/>
      <c r="D77" s="17"/>
      <c r="E77" s="5" t="s">
        <v>21</v>
      </c>
      <c r="F77" s="5" t="s">
        <v>54</v>
      </c>
      <c r="G77" s="20">
        <v>31.95</v>
      </c>
      <c r="H77" s="12"/>
      <c r="I77" s="12"/>
    </row>
    <row r="78" spans="1:12" s="5" customFormat="1" ht="18.75" customHeight="1" x14ac:dyDescent="0.2">
      <c r="A78" s="12"/>
      <c r="B78" s="12"/>
      <c r="C78" s="13"/>
      <c r="D78" s="17"/>
      <c r="E78" s="5" t="s">
        <v>34</v>
      </c>
      <c r="F78" s="5" t="s">
        <v>53</v>
      </c>
      <c r="G78" s="20">
        <v>7.23</v>
      </c>
      <c r="H78" s="12"/>
      <c r="I78" s="12"/>
    </row>
    <row r="79" spans="1:12" s="5" customFormat="1" ht="18.75" customHeight="1" x14ac:dyDescent="0.2">
      <c r="A79" s="12"/>
      <c r="B79" s="12"/>
      <c r="C79" s="13"/>
      <c r="D79" s="17"/>
      <c r="H79" s="12"/>
      <c r="I79" s="12"/>
    </row>
    <row r="80" spans="1:12" s="30" customFormat="1" ht="18.75" customHeight="1" x14ac:dyDescent="0.2">
      <c r="A80" s="27">
        <v>37010</v>
      </c>
      <c r="B80" s="27">
        <v>37024</v>
      </c>
      <c r="C80" s="28">
        <v>339</v>
      </c>
      <c r="D80" s="33" t="s">
        <v>158</v>
      </c>
      <c r="E80" s="30" t="s">
        <v>26</v>
      </c>
      <c r="F80" s="30" t="s">
        <v>29</v>
      </c>
      <c r="G80" s="31">
        <v>59.46</v>
      </c>
      <c r="H80" s="28"/>
      <c r="I80" s="32">
        <v>35.700000000000003</v>
      </c>
      <c r="J80" s="32"/>
      <c r="K80" s="27">
        <v>37257</v>
      </c>
      <c r="L80" s="27">
        <f>DATE(YEAR(K80)+8,MONTH(K80),DAY(K80)-1)</f>
        <v>40178</v>
      </c>
    </row>
    <row r="81" spans="1:14" s="5" customFormat="1" ht="18.75" customHeight="1" x14ac:dyDescent="0.2">
      <c r="A81" s="12"/>
      <c r="B81" s="12"/>
      <c r="C81" s="13"/>
      <c r="D81" s="17"/>
      <c r="E81" s="5" t="s">
        <v>19</v>
      </c>
      <c r="F81" s="5" t="s">
        <v>28</v>
      </c>
      <c r="G81" s="20">
        <v>40.54</v>
      </c>
      <c r="H81" s="12"/>
      <c r="I81" s="12"/>
    </row>
    <row r="82" spans="1:14" s="5" customFormat="1" ht="18.75" customHeight="1" x14ac:dyDescent="0.2">
      <c r="A82" s="12"/>
      <c r="B82" s="12"/>
      <c r="C82" s="13"/>
      <c r="D82" s="17"/>
      <c r="G82" s="22"/>
      <c r="H82" s="12"/>
      <c r="I82" s="12"/>
    </row>
    <row r="83" spans="1:14" s="30" customFormat="1" ht="18.75" customHeight="1" x14ac:dyDescent="0.2">
      <c r="A83" s="27">
        <v>37017</v>
      </c>
      <c r="B83" s="27">
        <v>37031</v>
      </c>
      <c r="C83" s="28">
        <v>231</v>
      </c>
      <c r="D83" s="33" t="s">
        <v>159</v>
      </c>
      <c r="E83" s="30" t="s">
        <v>19</v>
      </c>
      <c r="F83" s="30" t="s">
        <v>25</v>
      </c>
      <c r="G83" s="31">
        <v>85.37</v>
      </c>
      <c r="H83" s="28"/>
      <c r="I83" s="32">
        <v>36.200000000000003</v>
      </c>
      <c r="J83" s="32"/>
      <c r="K83" s="27">
        <v>37257</v>
      </c>
      <c r="L83" s="27">
        <f>DATE(YEAR(K83)+8,MONTH(K83),DAY(K83)-1)</f>
        <v>40178</v>
      </c>
    </row>
    <row r="84" spans="1:14" s="5" customFormat="1" ht="18.75" customHeight="1" x14ac:dyDescent="0.2">
      <c r="A84" s="12"/>
      <c r="B84" s="12"/>
      <c r="C84" s="13"/>
      <c r="D84" s="17"/>
      <c r="E84" s="5" t="s">
        <v>83</v>
      </c>
      <c r="F84" s="5" t="s">
        <v>27</v>
      </c>
      <c r="G84" s="20">
        <v>14.63</v>
      </c>
      <c r="H84" s="12"/>
      <c r="I84" s="12"/>
    </row>
    <row r="85" spans="1:14" s="5" customFormat="1" ht="18.75" customHeight="1" x14ac:dyDescent="0.2">
      <c r="A85" s="12"/>
      <c r="B85" s="12"/>
      <c r="C85" s="13"/>
      <c r="D85" s="17"/>
      <c r="G85" s="22"/>
      <c r="H85" s="12"/>
      <c r="I85" s="12"/>
    </row>
    <row r="86" spans="1:14" s="30" customFormat="1" ht="18.75" customHeight="1" x14ac:dyDescent="0.2">
      <c r="A86" s="27">
        <v>37052</v>
      </c>
      <c r="B86" s="27">
        <v>37066</v>
      </c>
      <c r="C86" s="28">
        <v>137</v>
      </c>
      <c r="D86" s="33" t="s">
        <v>160</v>
      </c>
      <c r="E86" s="30" t="s">
        <v>19</v>
      </c>
      <c r="F86" s="30" t="s">
        <v>23</v>
      </c>
      <c r="G86" s="31">
        <v>64.14</v>
      </c>
      <c r="H86" s="28"/>
      <c r="I86" s="32">
        <v>31.7</v>
      </c>
      <c r="J86" s="32"/>
      <c r="K86" s="27">
        <v>37257</v>
      </c>
      <c r="L86" s="49">
        <v>39813</v>
      </c>
    </row>
    <row r="87" spans="1:14" s="5" customFormat="1" ht="18.75" customHeight="1" x14ac:dyDescent="0.2">
      <c r="A87" s="12"/>
      <c r="B87" s="12"/>
      <c r="C87" s="13"/>
      <c r="D87" s="17"/>
      <c r="E87" s="5" t="s">
        <v>21</v>
      </c>
      <c r="F87" s="5" t="s">
        <v>24</v>
      </c>
      <c r="G87" s="20">
        <v>35.86</v>
      </c>
      <c r="H87" s="12"/>
      <c r="I87" s="12"/>
    </row>
    <row r="88" spans="1:14" s="5" customFormat="1" ht="18.75" customHeight="1" x14ac:dyDescent="0.2">
      <c r="A88" s="12"/>
      <c r="B88" s="12"/>
      <c r="C88" s="13"/>
      <c r="D88" s="17"/>
      <c r="H88" s="12"/>
      <c r="I88" s="12"/>
    </row>
    <row r="89" spans="1:14" s="30" customFormat="1" ht="18.75" customHeight="1" x14ac:dyDescent="0.2">
      <c r="A89" s="27">
        <v>37052</v>
      </c>
      <c r="B89" s="27">
        <v>37066</v>
      </c>
      <c r="C89" s="28">
        <v>138</v>
      </c>
      <c r="D89" s="33" t="s">
        <v>161</v>
      </c>
      <c r="E89" s="30" t="s">
        <v>21</v>
      </c>
      <c r="F89" s="30" t="s">
        <v>22</v>
      </c>
      <c r="G89" s="31">
        <v>60.12</v>
      </c>
      <c r="H89" s="28"/>
      <c r="I89" s="32">
        <v>34</v>
      </c>
      <c r="J89" s="32"/>
      <c r="K89" s="27">
        <v>37257</v>
      </c>
      <c r="L89" s="27">
        <f>DATE(YEAR(K89)+8,MONTH(K89),DAY(K89)-1)</f>
        <v>40178</v>
      </c>
    </row>
    <row r="90" spans="1:14" s="5" customFormat="1" ht="18.75" customHeight="1" x14ac:dyDescent="0.2">
      <c r="A90" s="12"/>
      <c r="B90" s="12"/>
      <c r="C90" s="13"/>
      <c r="D90" s="17"/>
      <c r="E90" s="5" t="s">
        <v>19</v>
      </c>
      <c r="F90" s="5" t="s">
        <v>20</v>
      </c>
      <c r="G90" s="20">
        <v>39.880000000000003</v>
      </c>
      <c r="H90" s="12"/>
      <c r="I90" s="12"/>
    </row>
    <row r="91" spans="1:14" s="5" customFormat="1" ht="18.75" customHeight="1" x14ac:dyDescent="0.2">
      <c r="A91" s="12"/>
      <c r="B91" s="12"/>
      <c r="C91" s="13"/>
      <c r="D91" s="17"/>
      <c r="G91" s="22"/>
      <c r="H91" s="12"/>
      <c r="I91" s="12"/>
    </row>
    <row r="92" spans="1:14" s="30" customFormat="1" ht="18.75" customHeight="1" x14ac:dyDescent="0.2">
      <c r="A92" s="27">
        <v>37521</v>
      </c>
      <c r="B92" s="27">
        <v>37542</v>
      </c>
      <c r="C92" s="28">
        <v>134</v>
      </c>
      <c r="D92" s="33" t="s">
        <v>139</v>
      </c>
      <c r="E92" s="30" t="s">
        <v>21</v>
      </c>
      <c r="F92" s="30" t="s">
        <v>16</v>
      </c>
      <c r="G92" s="31">
        <v>54.15</v>
      </c>
      <c r="H92" s="28"/>
      <c r="I92" s="32">
        <v>74.400000000000006</v>
      </c>
      <c r="J92" s="32"/>
      <c r="K92" s="34">
        <v>37672</v>
      </c>
      <c r="L92" s="27">
        <f>DATE(YEAR(K92)+8,MONTH(K92),DAY(K92)-1)</f>
        <v>40593</v>
      </c>
      <c r="M92" s="30" t="s">
        <v>21</v>
      </c>
      <c r="N92" s="30" t="s">
        <v>80</v>
      </c>
    </row>
    <row r="93" spans="1:14" s="5" customFormat="1" ht="18.75" customHeight="1" x14ac:dyDescent="0.2">
      <c r="A93" s="12"/>
      <c r="B93" s="12"/>
      <c r="C93" s="13"/>
      <c r="D93" s="17"/>
      <c r="E93" s="5" t="s">
        <v>19</v>
      </c>
      <c r="F93" s="5" t="s">
        <v>17</v>
      </c>
      <c r="G93" s="20">
        <v>28.27</v>
      </c>
      <c r="H93" s="18"/>
      <c r="I93" s="12"/>
    </row>
    <row r="94" spans="1:14" s="5" customFormat="1" ht="18.75" customHeight="1" x14ac:dyDescent="0.2">
      <c r="A94" s="12"/>
      <c r="B94" s="12"/>
      <c r="C94" s="13"/>
      <c r="D94" s="17"/>
      <c r="E94" s="5" t="s">
        <v>38</v>
      </c>
      <c r="F94" s="5" t="s">
        <v>18</v>
      </c>
      <c r="G94" s="20">
        <v>17.579999999999998</v>
      </c>
      <c r="H94" s="18"/>
      <c r="I94" s="12"/>
    </row>
    <row r="95" spans="1:14" s="5" customFormat="1" ht="18.75" customHeight="1" x14ac:dyDescent="0.2">
      <c r="A95" s="12"/>
      <c r="B95" s="12"/>
      <c r="C95" s="13"/>
      <c r="D95" s="17"/>
      <c r="G95" s="22"/>
      <c r="H95" s="18"/>
      <c r="I95" s="12"/>
    </row>
    <row r="96" spans="1:14" s="30" customFormat="1" ht="18.75" customHeight="1" x14ac:dyDescent="0.2">
      <c r="A96" s="27">
        <v>37808</v>
      </c>
      <c r="B96" s="27">
        <v>37822</v>
      </c>
      <c r="C96" s="28">
        <v>141</v>
      </c>
      <c r="D96" s="33" t="s">
        <v>146</v>
      </c>
      <c r="E96" s="30" t="s">
        <v>21</v>
      </c>
      <c r="F96" s="30" t="s">
        <v>14</v>
      </c>
      <c r="G96" s="31">
        <v>55.26</v>
      </c>
      <c r="H96" s="28"/>
      <c r="I96" s="32">
        <v>39.1</v>
      </c>
      <c r="J96" s="32"/>
      <c r="K96" s="27">
        <v>37865</v>
      </c>
      <c r="L96" s="27">
        <f>DATE(YEAR(K96)+8,MONTH(K96),DAY(K96)-1)</f>
        <v>40786</v>
      </c>
      <c r="M96" s="30" t="s">
        <v>21</v>
      </c>
      <c r="N96" s="30" t="s">
        <v>50</v>
      </c>
    </row>
    <row r="97" spans="1:14" s="5" customFormat="1" ht="18.75" customHeight="1" x14ac:dyDescent="0.2">
      <c r="A97" s="12"/>
      <c r="B97" s="12"/>
      <c r="C97" s="13"/>
      <c r="D97" s="17"/>
      <c r="E97" s="5" t="s">
        <v>19</v>
      </c>
      <c r="F97" s="5" t="s">
        <v>15</v>
      </c>
      <c r="G97" s="20">
        <v>44.74</v>
      </c>
      <c r="H97" s="12"/>
      <c r="I97" s="12"/>
    </row>
    <row r="98" spans="1:14" s="5" customFormat="1" ht="18.75" customHeight="1" x14ac:dyDescent="0.2">
      <c r="A98" s="12"/>
      <c r="B98" s="12"/>
      <c r="C98" s="13"/>
      <c r="D98" s="17"/>
      <c r="H98" s="12"/>
      <c r="I98" s="12"/>
    </row>
    <row r="99" spans="1:14" s="30" customFormat="1" ht="18.75" customHeight="1" x14ac:dyDescent="0.2">
      <c r="A99" s="27">
        <v>38151</v>
      </c>
      <c r="B99" s="27">
        <v>38165</v>
      </c>
      <c r="C99" s="28">
        <v>331</v>
      </c>
      <c r="D99" s="33" t="s">
        <v>150</v>
      </c>
      <c r="E99" s="30" t="s">
        <v>21</v>
      </c>
      <c r="F99" s="30" t="s">
        <v>4</v>
      </c>
      <c r="G99" s="31">
        <v>39.64</v>
      </c>
      <c r="H99" s="31">
        <v>51.72</v>
      </c>
      <c r="I99" s="32">
        <v>62</v>
      </c>
      <c r="J99" s="32">
        <v>35.200000000000003</v>
      </c>
      <c r="K99" s="27">
        <v>38292</v>
      </c>
      <c r="L99" s="27">
        <f>DATE(YEAR(K99)+8,MONTH(K99),DAY(K99)-1)</f>
        <v>41213</v>
      </c>
      <c r="M99" s="30" t="s">
        <v>21</v>
      </c>
      <c r="N99" s="30" t="s">
        <v>86</v>
      </c>
    </row>
    <row r="100" spans="1:14" s="5" customFormat="1" ht="18.75" customHeight="1" x14ac:dyDescent="0.2">
      <c r="A100" s="12"/>
      <c r="B100" s="12"/>
      <c r="C100" s="13"/>
      <c r="D100" s="17"/>
      <c r="E100" s="5" t="s">
        <v>19</v>
      </c>
      <c r="F100" s="5" t="s">
        <v>3</v>
      </c>
      <c r="G100" s="20">
        <v>34.97</v>
      </c>
      <c r="H100" s="20">
        <v>48.28</v>
      </c>
      <c r="I100" s="12"/>
    </row>
    <row r="101" spans="1:14" s="5" customFormat="1" ht="18.75" customHeight="1" x14ac:dyDescent="0.2">
      <c r="A101" s="12"/>
      <c r="B101" s="12"/>
      <c r="C101" s="13"/>
      <c r="D101" s="17"/>
      <c r="E101" s="5" t="s">
        <v>55</v>
      </c>
      <c r="F101" s="5" t="s">
        <v>7</v>
      </c>
      <c r="G101" s="20">
        <v>11.03</v>
      </c>
      <c r="H101" s="23"/>
      <c r="I101" s="12"/>
    </row>
    <row r="102" spans="1:14" s="5" customFormat="1" ht="18.75" customHeight="1" x14ac:dyDescent="0.2">
      <c r="A102" s="12"/>
      <c r="B102" s="12"/>
      <c r="C102" s="13"/>
      <c r="D102" s="17"/>
      <c r="E102" s="5" t="s">
        <v>2</v>
      </c>
      <c r="F102" s="5" t="s">
        <v>5</v>
      </c>
      <c r="G102" s="20">
        <v>7.78</v>
      </c>
      <c r="H102" s="23"/>
      <c r="I102" s="12"/>
    </row>
    <row r="103" spans="1:14" s="5" customFormat="1" ht="18.75" customHeight="1" x14ac:dyDescent="0.2">
      <c r="A103" s="12"/>
      <c r="B103" s="12"/>
      <c r="C103" s="13"/>
      <c r="D103" s="17"/>
      <c r="E103" s="5" t="s">
        <v>38</v>
      </c>
      <c r="F103" s="5" t="s">
        <v>6</v>
      </c>
      <c r="G103" s="20">
        <v>6.57</v>
      </c>
      <c r="H103" s="23"/>
      <c r="I103" s="12"/>
    </row>
    <row r="104" spans="1:14" s="5" customFormat="1" ht="18.75" customHeight="1" x14ac:dyDescent="0.2">
      <c r="A104" s="12"/>
      <c r="B104" s="12"/>
      <c r="C104" s="13"/>
      <c r="D104" s="17"/>
      <c r="G104" s="22"/>
      <c r="H104" s="23"/>
      <c r="I104" s="12"/>
    </row>
    <row r="105" spans="1:14" s="30" customFormat="1" ht="18.75" customHeight="1" x14ac:dyDescent="0.2">
      <c r="A105" s="27">
        <v>38459</v>
      </c>
      <c r="B105" s="27">
        <v>38473</v>
      </c>
      <c r="C105" s="28">
        <v>337</v>
      </c>
      <c r="D105" s="33" t="s">
        <v>140</v>
      </c>
      <c r="E105" s="30" t="s">
        <v>21</v>
      </c>
      <c r="F105" s="30" t="s">
        <v>9</v>
      </c>
      <c r="G105" s="31">
        <v>54.65</v>
      </c>
      <c r="H105" s="35"/>
      <c r="I105" s="32">
        <v>46.5</v>
      </c>
      <c r="J105" s="32"/>
      <c r="K105" s="27">
        <v>38603</v>
      </c>
      <c r="L105" s="27">
        <f>DATE(YEAR(K105)+8,MONTH(K105),DAY(K105)-1)</f>
        <v>41524</v>
      </c>
      <c r="M105" s="30" t="s">
        <v>21</v>
      </c>
      <c r="N105" s="30" t="s">
        <v>85</v>
      </c>
    </row>
    <row r="106" spans="1:14" s="5" customFormat="1" ht="18.75" customHeight="1" x14ac:dyDescent="0.2">
      <c r="A106" s="12"/>
      <c r="B106" s="12"/>
      <c r="C106" s="13"/>
      <c r="D106" s="17"/>
      <c r="E106" s="5" t="s">
        <v>19</v>
      </c>
      <c r="F106" s="5" t="s">
        <v>8</v>
      </c>
      <c r="G106" s="20">
        <v>42.88</v>
      </c>
      <c r="H106" s="23"/>
      <c r="I106" s="12"/>
    </row>
    <row r="107" spans="1:14" s="5" customFormat="1" ht="18.75" customHeight="1" x14ac:dyDescent="0.2">
      <c r="A107" s="12"/>
      <c r="B107" s="12"/>
      <c r="C107" s="13"/>
      <c r="D107" s="17"/>
      <c r="E107" s="5" t="s">
        <v>77</v>
      </c>
      <c r="F107" s="5" t="s">
        <v>10</v>
      </c>
      <c r="G107" s="20">
        <v>2.4700000000000002</v>
      </c>
      <c r="H107" s="23"/>
      <c r="I107" s="12"/>
    </row>
    <row r="108" spans="1:14" s="5" customFormat="1" ht="18.75" customHeight="1" x14ac:dyDescent="0.2">
      <c r="A108" s="12"/>
      <c r="B108" s="12"/>
      <c r="C108" s="13"/>
      <c r="D108" s="17"/>
      <c r="H108" s="12"/>
      <c r="I108" s="12"/>
    </row>
    <row r="109" spans="1:14" s="36" customFormat="1" ht="18.75" customHeight="1" x14ac:dyDescent="0.2">
      <c r="A109" s="27">
        <v>38508</v>
      </c>
      <c r="B109" s="27">
        <v>38522</v>
      </c>
      <c r="C109" s="28">
        <v>235</v>
      </c>
      <c r="D109" s="33" t="s">
        <v>149</v>
      </c>
      <c r="E109" s="30" t="s">
        <v>19</v>
      </c>
      <c r="F109" s="30" t="s">
        <v>0</v>
      </c>
      <c r="G109" s="31">
        <v>55.39</v>
      </c>
      <c r="H109" s="28"/>
      <c r="I109" s="32">
        <v>36.799999999999997</v>
      </c>
      <c r="J109" s="32"/>
      <c r="K109" s="27">
        <v>38718</v>
      </c>
      <c r="L109" s="27">
        <f>DATE(YEAR(K109)+8,MONTH(K109),DAY(K109)-1)</f>
        <v>41639</v>
      </c>
      <c r="M109" s="30" t="s">
        <v>19</v>
      </c>
      <c r="N109" s="30" t="s">
        <v>88</v>
      </c>
    </row>
    <row r="110" spans="1:14" ht="18.75" customHeight="1" x14ac:dyDescent="0.2">
      <c r="A110" s="12"/>
      <c r="B110" s="12"/>
      <c r="C110" s="13"/>
      <c r="D110" s="17"/>
      <c r="E110" s="5" t="s">
        <v>21</v>
      </c>
      <c r="F110" s="5" t="s">
        <v>1</v>
      </c>
      <c r="G110" s="20">
        <v>44.61</v>
      </c>
      <c r="H110" s="12"/>
      <c r="I110" s="12"/>
      <c r="J110" s="5"/>
      <c r="K110" s="5"/>
      <c r="L110" s="5"/>
    </row>
    <row r="111" spans="1:14" ht="18.75" customHeight="1" x14ac:dyDescent="0.2">
      <c r="A111" s="12"/>
      <c r="B111" s="12"/>
      <c r="C111" s="13"/>
      <c r="D111" s="17"/>
      <c r="E111" s="5"/>
      <c r="F111" s="5"/>
      <c r="G111" s="22"/>
      <c r="H111" s="12"/>
      <c r="I111" s="12"/>
      <c r="J111" s="5"/>
      <c r="K111" s="5"/>
      <c r="L111" s="5"/>
    </row>
    <row r="112" spans="1:14" s="30" customFormat="1" ht="18.75" customHeight="1" x14ac:dyDescent="0.2">
      <c r="A112" s="27">
        <v>38802</v>
      </c>
      <c r="B112" s="27">
        <v>38816</v>
      </c>
      <c r="C112" s="28">
        <v>132</v>
      </c>
      <c r="D112" s="33" t="s">
        <v>201</v>
      </c>
      <c r="E112" s="30" t="s">
        <v>19</v>
      </c>
      <c r="F112" s="30" t="s">
        <v>11</v>
      </c>
      <c r="G112" s="31">
        <v>53.7</v>
      </c>
      <c r="H112" s="28"/>
      <c r="I112" s="32">
        <v>52.5</v>
      </c>
      <c r="J112" s="32"/>
      <c r="K112" s="27">
        <v>38976</v>
      </c>
      <c r="L112" s="27">
        <f>DATE(YEAR(K112)+8,MONTH(K112),DAY(K112)-1)</f>
        <v>41897</v>
      </c>
      <c r="M112" s="30" t="s">
        <v>19</v>
      </c>
      <c r="N112" s="30" t="s">
        <v>73</v>
      </c>
    </row>
    <row r="113" spans="1:15" s="5" customFormat="1" ht="18.75" customHeight="1" x14ac:dyDescent="0.2">
      <c r="A113" s="12"/>
      <c r="B113" s="12"/>
      <c r="C113" s="13"/>
      <c r="D113" s="17"/>
      <c r="E113" s="5" t="s">
        <v>21</v>
      </c>
      <c r="F113" s="5" t="s">
        <v>12</v>
      </c>
      <c r="G113" s="20">
        <v>37.65</v>
      </c>
      <c r="H113" s="12"/>
      <c r="I113" s="12"/>
    </row>
    <row r="114" spans="1:15" s="5" customFormat="1" ht="18.75" customHeight="1" x14ac:dyDescent="0.2">
      <c r="A114" s="12"/>
      <c r="B114" s="12"/>
      <c r="C114" s="13"/>
      <c r="D114" s="17"/>
      <c r="E114" s="5" t="s">
        <v>2</v>
      </c>
      <c r="F114" s="5" t="s">
        <v>13</v>
      </c>
      <c r="G114" s="20">
        <v>8.65</v>
      </c>
      <c r="H114" s="12"/>
      <c r="I114" s="12"/>
    </row>
    <row r="115" spans="1:15" s="5" customFormat="1" ht="18.75" customHeight="1" x14ac:dyDescent="0.2">
      <c r="A115" s="12"/>
      <c r="B115" s="12"/>
      <c r="C115" s="13"/>
      <c r="D115" s="17"/>
      <c r="H115" s="12"/>
      <c r="I115" s="12"/>
    </row>
    <row r="116" spans="1:15" s="30" customFormat="1" ht="18.75" customHeight="1" x14ac:dyDescent="0.2">
      <c r="A116" s="27">
        <v>38977</v>
      </c>
      <c r="B116" s="27">
        <v>38991</v>
      </c>
      <c r="C116" s="28">
        <v>140</v>
      </c>
      <c r="D116" s="33" t="s">
        <v>141</v>
      </c>
      <c r="E116" s="30" t="s">
        <v>19</v>
      </c>
      <c r="F116" s="30" t="s">
        <v>70</v>
      </c>
      <c r="G116" s="31">
        <v>84.71</v>
      </c>
      <c r="H116" s="35"/>
      <c r="I116" s="32">
        <v>26.1</v>
      </c>
      <c r="J116" s="32"/>
      <c r="K116" s="27">
        <v>39205</v>
      </c>
      <c r="L116" s="27">
        <f>DATE(YEAR(K116)+8,MONTH(K116),DAY(K116)-1)</f>
        <v>42126</v>
      </c>
      <c r="M116" s="30" t="s">
        <v>19</v>
      </c>
      <c r="N116" s="30" t="s">
        <v>70</v>
      </c>
    </row>
    <row r="117" spans="1:15" s="5" customFormat="1" ht="18.75" customHeight="1" x14ac:dyDescent="0.2">
      <c r="A117" s="12"/>
      <c r="B117" s="12"/>
      <c r="C117" s="13"/>
      <c r="D117" s="17"/>
      <c r="E117" s="13"/>
      <c r="F117" s="16"/>
      <c r="G117" s="23"/>
      <c r="H117" s="23"/>
      <c r="I117" s="12"/>
    </row>
    <row r="118" spans="1:15" s="30" customFormat="1" ht="18.75" customHeight="1" x14ac:dyDescent="0.2">
      <c r="A118" s="27">
        <v>39194</v>
      </c>
      <c r="B118" s="27">
        <v>39208</v>
      </c>
      <c r="C118" s="28">
        <v>135</v>
      </c>
      <c r="D118" s="33" t="s">
        <v>143</v>
      </c>
      <c r="E118" s="30" t="s">
        <v>19</v>
      </c>
      <c r="F118" s="30" t="s">
        <v>127</v>
      </c>
      <c r="G118" s="31">
        <v>45.3</v>
      </c>
      <c r="H118" s="31">
        <v>52.53</v>
      </c>
      <c r="I118" s="32">
        <v>43.3</v>
      </c>
      <c r="J118" s="32">
        <v>38.6</v>
      </c>
      <c r="K118" s="27">
        <v>39387</v>
      </c>
      <c r="L118" s="27">
        <f>DATE(YEAR(K118)+8,MONTH(K118),DAY(K118)-1)</f>
        <v>42308</v>
      </c>
      <c r="M118" s="30" t="s">
        <v>19</v>
      </c>
      <c r="N118" s="30" t="s">
        <v>65</v>
      </c>
    </row>
    <row r="119" spans="1:15" s="5" customFormat="1" ht="18.75" customHeight="1" x14ac:dyDescent="0.2">
      <c r="A119" s="12"/>
      <c r="B119" s="12"/>
      <c r="C119" s="13"/>
      <c r="D119" s="17"/>
      <c r="E119" s="5" t="s">
        <v>21</v>
      </c>
      <c r="F119" s="5" t="s">
        <v>128</v>
      </c>
      <c r="G119" s="20">
        <v>27.24</v>
      </c>
      <c r="H119" s="20">
        <v>47.47</v>
      </c>
      <c r="I119" s="12"/>
      <c r="K119" s="7"/>
      <c r="L119" s="7"/>
    </row>
    <row r="120" spans="1:15" s="5" customFormat="1" ht="18.75" customHeight="1" x14ac:dyDescent="0.2">
      <c r="A120" s="12"/>
      <c r="B120" s="12"/>
      <c r="C120" s="13"/>
      <c r="D120" s="17"/>
      <c r="E120" s="5" t="s">
        <v>55</v>
      </c>
      <c r="F120" s="5" t="s">
        <v>130</v>
      </c>
      <c r="G120" s="20">
        <v>16.98</v>
      </c>
      <c r="H120" s="23"/>
      <c r="I120" s="12"/>
      <c r="K120" s="7"/>
      <c r="L120" s="7"/>
    </row>
    <row r="121" spans="1:15" s="5" customFormat="1" ht="18.75" customHeight="1" x14ac:dyDescent="0.2">
      <c r="A121" s="12"/>
      <c r="B121" s="12"/>
      <c r="C121" s="13"/>
      <c r="D121" s="17"/>
      <c r="E121" s="5" t="s">
        <v>77</v>
      </c>
      <c r="F121" s="5" t="s">
        <v>131</v>
      </c>
      <c r="G121" s="20">
        <v>7.43</v>
      </c>
      <c r="H121" s="23"/>
      <c r="I121" s="12"/>
      <c r="K121" s="7"/>
      <c r="L121" s="7"/>
    </row>
    <row r="122" spans="1:15" s="5" customFormat="1" ht="18.75" customHeight="1" x14ac:dyDescent="0.2">
      <c r="A122" s="12"/>
      <c r="B122" s="12"/>
      <c r="C122" s="13"/>
      <c r="D122" s="17"/>
      <c r="E122" s="5" t="s">
        <v>38</v>
      </c>
      <c r="F122" s="5" t="s">
        <v>129</v>
      </c>
      <c r="G122" s="20">
        <v>3.05</v>
      </c>
      <c r="H122" s="23"/>
      <c r="I122" s="12"/>
      <c r="K122" s="7"/>
      <c r="L122" s="7"/>
      <c r="O122" s="7"/>
    </row>
    <row r="123" spans="1:15" s="5" customFormat="1" ht="18.75" customHeight="1" x14ac:dyDescent="0.2">
      <c r="A123" s="12"/>
      <c r="B123" s="12"/>
      <c r="C123" s="13"/>
      <c r="D123" s="17"/>
      <c r="E123" s="13"/>
      <c r="F123" s="16"/>
      <c r="G123" s="23"/>
      <c r="H123" s="23"/>
      <c r="I123" s="12"/>
      <c r="K123" s="7"/>
      <c r="L123" s="7"/>
      <c r="O123" s="7"/>
    </row>
    <row r="124" spans="1:15" s="30" customFormat="1" ht="18.75" customHeight="1" x14ac:dyDescent="0.2">
      <c r="A124" s="27">
        <v>39194</v>
      </c>
      <c r="B124" s="27">
        <v>39208</v>
      </c>
      <c r="C124" s="28">
        <v>233</v>
      </c>
      <c r="D124" s="33" t="s">
        <v>162</v>
      </c>
      <c r="E124" s="30" t="s">
        <v>26</v>
      </c>
      <c r="F124" s="30" t="s">
        <v>69</v>
      </c>
      <c r="G124" s="31">
        <v>67.45</v>
      </c>
      <c r="H124" s="35"/>
      <c r="I124" s="32">
        <v>47.6</v>
      </c>
      <c r="J124" s="32"/>
      <c r="K124" s="27">
        <v>39326</v>
      </c>
      <c r="L124" s="49">
        <v>41363</v>
      </c>
      <c r="M124" s="30" t="s">
        <v>26</v>
      </c>
      <c r="N124" s="30" t="s">
        <v>69</v>
      </c>
    </row>
    <row r="125" spans="1:15" s="5" customFormat="1" ht="18.75" customHeight="1" x14ac:dyDescent="0.2">
      <c r="A125" s="12"/>
      <c r="B125" s="12"/>
      <c r="C125" s="13"/>
      <c r="D125" s="17"/>
      <c r="E125" s="5" t="s">
        <v>19</v>
      </c>
      <c r="F125" s="5" t="s">
        <v>132</v>
      </c>
      <c r="G125" s="20">
        <v>32.549999999999997</v>
      </c>
      <c r="H125" s="23"/>
      <c r="I125" s="12"/>
    </row>
    <row r="126" spans="1:15" s="5" customFormat="1" ht="18.75" customHeight="1" x14ac:dyDescent="0.2">
      <c r="A126" s="12"/>
      <c r="B126" s="12"/>
      <c r="C126" s="13"/>
      <c r="D126" s="17"/>
      <c r="E126" s="13"/>
      <c r="F126" s="16"/>
      <c r="G126" s="13"/>
      <c r="H126" s="12"/>
      <c r="I126" s="12"/>
    </row>
    <row r="127" spans="1:15" s="30" customFormat="1" ht="18.75" customHeight="1" x14ac:dyDescent="0.2">
      <c r="A127" s="27">
        <v>39236</v>
      </c>
      <c r="B127" s="27">
        <v>39250</v>
      </c>
      <c r="C127" s="28">
        <v>131</v>
      </c>
      <c r="D127" s="33" t="s">
        <v>144</v>
      </c>
      <c r="E127" s="30" t="s">
        <v>19</v>
      </c>
      <c r="F127" s="30" t="s">
        <v>63</v>
      </c>
      <c r="G127" s="31">
        <v>50.76</v>
      </c>
      <c r="H127" s="28"/>
      <c r="I127" s="32">
        <v>38.700000000000003</v>
      </c>
      <c r="J127" s="32"/>
      <c r="K127" s="27">
        <v>39480</v>
      </c>
      <c r="L127" s="27">
        <f>DATE(YEAR(K127)+8,MONTH(K127),DAY(K127)-1)</f>
        <v>42401</v>
      </c>
      <c r="M127" s="30" t="s">
        <v>19</v>
      </c>
      <c r="N127" s="30" t="s">
        <v>63</v>
      </c>
    </row>
    <row r="128" spans="1:15" s="5" customFormat="1" ht="18.75" customHeight="1" x14ac:dyDescent="0.2">
      <c r="A128" s="12"/>
      <c r="B128" s="12"/>
      <c r="C128" s="13"/>
      <c r="D128" s="17"/>
      <c r="E128" s="5" t="s">
        <v>26</v>
      </c>
      <c r="F128" s="5" t="s">
        <v>126</v>
      </c>
      <c r="G128" s="20">
        <v>49.24</v>
      </c>
      <c r="H128" s="12"/>
      <c r="I128" s="12"/>
    </row>
    <row r="129" spans="1:14" s="5" customFormat="1" ht="18.75" customHeight="1" x14ac:dyDescent="0.2">
      <c r="A129" s="12"/>
      <c r="B129" s="12"/>
      <c r="C129" s="13"/>
      <c r="D129" s="17"/>
      <c r="E129" s="13"/>
      <c r="F129" s="16"/>
      <c r="G129" s="13"/>
      <c r="H129" s="12"/>
      <c r="I129" s="12"/>
    </row>
    <row r="130" spans="1:14" s="30" customFormat="1" ht="18.75" customHeight="1" x14ac:dyDescent="0.2">
      <c r="A130" s="27">
        <v>39600</v>
      </c>
      <c r="B130" s="27">
        <v>39614</v>
      </c>
      <c r="C130" s="28">
        <v>137</v>
      </c>
      <c r="D130" s="33" t="s">
        <v>160</v>
      </c>
      <c r="E130" s="30" t="s">
        <v>19</v>
      </c>
      <c r="F130" s="30" t="s">
        <v>122</v>
      </c>
      <c r="G130" s="31">
        <v>61.91</v>
      </c>
      <c r="H130" s="28"/>
      <c r="I130" s="32">
        <v>34.51</v>
      </c>
      <c r="J130" s="32"/>
      <c r="K130" s="27">
        <v>39814</v>
      </c>
      <c r="L130" s="27">
        <f>DATE(YEAR(K130)+8,MONTH(K130),DAY(K130)-1)</f>
        <v>42735</v>
      </c>
      <c r="M130" s="30" t="s">
        <v>19</v>
      </c>
      <c r="N130" s="30" t="s">
        <v>23</v>
      </c>
    </row>
    <row r="131" spans="1:14" s="5" customFormat="1" ht="18.75" customHeight="1" x14ac:dyDescent="0.2">
      <c r="A131" s="12"/>
      <c r="B131" s="12"/>
      <c r="C131" s="13"/>
      <c r="D131" s="17"/>
      <c r="E131" s="5" t="s">
        <v>21</v>
      </c>
      <c r="F131" s="5" t="s">
        <v>123</v>
      </c>
      <c r="G131" s="24">
        <v>32.31</v>
      </c>
      <c r="H131" s="12"/>
      <c r="I131" s="12"/>
    </row>
    <row r="132" spans="1:14" s="5" customFormat="1" ht="18.75" customHeight="1" x14ac:dyDescent="0.2">
      <c r="A132" s="12"/>
      <c r="B132" s="12"/>
      <c r="C132" s="13"/>
      <c r="D132" s="17"/>
      <c r="E132" s="5" t="s">
        <v>124</v>
      </c>
      <c r="F132" s="5" t="s">
        <v>125</v>
      </c>
      <c r="G132" s="24">
        <v>5.79</v>
      </c>
      <c r="H132" s="12"/>
      <c r="I132" s="12"/>
    </row>
    <row r="133" spans="1:14" s="5" customFormat="1" ht="18.75" customHeight="1" x14ac:dyDescent="0.2">
      <c r="A133" s="12"/>
      <c r="B133" s="12"/>
      <c r="C133" s="13"/>
      <c r="D133" s="17"/>
      <c r="E133" s="13"/>
      <c r="F133" s="16"/>
      <c r="G133" s="15"/>
      <c r="H133" s="12"/>
      <c r="I133" s="12"/>
    </row>
    <row r="134" spans="1:14" s="30" customFormat="1" ht="18.75" customHeight="1" x14ac:dyDescent="0.2">
      <c r="A134" s="27">
        <v>39782</v>
      </c>
      <c r="B134" s="27">
        <v>39796</v>
      </c>
      <c r="C134" s="28">
        <v>133</v>
      </c>
      <c r="D134" s="33" t="s">
        <v>145</v>
      </c>
      <c r="E134" s="30" t="s">
        <v>19</v>
      </c>
      <c r="F134" s="30" t="s">
        <v>120</v>
      </c>
      <c r="G134" s="37">
        <v>50.59</v>
      </c>
      <c r="H134" s="28"/>
      <c r="I134" s="32">
        <v>29.34</v>
      </c>
      <c r="J134" s="32"/>
      <c r="K134" s="27">
        <v>40002</v>
      </c>
      <c r="L134" s="27">
        <f>DATE(YEAR(K134)+8,MONTH(K134),DAY(K134)-1)</f>
        <v>42923</v>
      </c>
      <c r="M134" s="30" t="s">
        <v>21</v>
      </c>
      <c r="N134" s="30" t="s">
        <v>61</v>
      </c>
    </row>
    <row r="135" spans="1:14" s="5" customFormat="1" ht="18.75" customHeight="1" x14ac:dyDescent="0.2">
      <c r="A135" s="12"/>
      <c r="B135" s="12"/>
      <c r="C135" s="13"/>
      <c r="D135" s="17"/>
      <c r="E135" s="5" t="s">
        <v>21</v>
      </c>
      <c r="F135" s="5" t="s">
        <v>121</v>
      </c>
      <c r="G135" s="24">
        <v>49.41</v>
      </c>
      <c r="H135" s="12"/>
      <c r="I135" s="12"/>
    </row>
    <row r="136" spans="1:14" s="5" customFormat="1" ht="18.75" customHeight="1" x14ac:dyDescent="0.2">
      <c r="A136" s="12"/>
      <c r="B136" s="12"/>
      <c r="C136" s="13"/>
      <c r="D136" s="17"/>
      <c r="E136" s="13"/>
      <c r="F136" s="16"/>
      <c r="G136" s="25"/>
      <c r="H136" s="12"/>
      <c r="I136" s="12"/>
    </row>
    <row r="137" spans="1:14" s="30" customFormat="1" ht="18.75" customHeight="1" x14ac:dyDescent="0.2">
      <c r="A137" s="27">
        <v>39971</v>
      </c>
      <c r="B137" s="27">
        <v>39985</v>
      </c>
      <c r="C137" s="28">
        <v>138</v>
      </c>
      <c r="D137" s="33" t="s">
        <v>161</v>
      </c>
      <c r="E137" s="30" t="s">
        <v>21</v>
      </c>
      <c r="F137" s="30" t="s">
        <v>22</v>
      </c>
      <c r="G137" s="37">
        <v>62.17</v>
      </c>
      <c r="H137" s="28"/>
      <c r="I137" s="32">
        <v>52.5</v>
      </c>
      <c r="J137" s="32"/>
      <c r="K137" s="27">
        <v>40179</v>
      </c>
      <c r="L137" s="27">
        <f>DATE(YEAR(K137)+8,MONTH(K137),DAY(K137)-1)</f>
        <v>43100</v>
      </c>
      <c r="M137" s="30" t="s">
        <v>21</v>
      </c>
      <c r="N137" s="30" t="s">
        <v>22</v>
      </c>
    </row>
    <row r="138" spans="1:14" s="5" customFormat="1" ht="18.75" customHeight="1" x14ac:dyDescent="0.2">
      <c r="A138" s="12"/>
      <c r="B138" s="12"/>
      <c r="C138" s="13"/>
      <c r="D138" s="17"/>
      <c r="E138" s="5" t="s">
        <v>19</v>
      </c>
      <c r="F138" s="5" t="s">
        <v>92</v>
      </c>
      <c r="G138" s="24">
        <v>37.83</v>
      </c>
      <c r="H138" s="12"/>
      <c r="I138" s="12"/>
    </row>
    <row r="139" spans="1:14" s="5" customFormat="1" ht="18.75" customHeight="1" x14ac:dyDescent="0.2">
      <c r="A139" s="12"/>
      <c r="B139" s="12"/>
      <c r="C139" s="13"/>
      <c r="D139" s="17"/>
      <c r="E139" s="13"/>
      <c r="F139" s="16"/>
      <c r="G139" s="15"/>
      <c r="H139" s="12"/>
      <c r="I139" s="12"/>
    </row>
    <row r="140" spans="1:14" s="30" customFormat="1" ht="18.75" customHeight="1" x14ac:dyDescent="0.2">
      <c r="A140" s="27">
        <v>39971</v>
      </c>
      <c r="B140" s="27">
        <v>39985</v>
      </c>
      <c r="C140" s="28">
        <v>143</v>
      </c>
      <c r="D140" s="33" t="s">
        <v>147</v>
      </c>
      <c r="E140" s="30" t="s">
        <v>19</v>
      </c>
      <c r="F140" s="30" t="s">
        <v>94</v>
      </c>
      <c r="G140" s="31">
        <v>60.25</v>
      </c>
      <c r="H140" s="28"/>
      <c r="I140" s="32">
        <v>56.7</v>
      </c>
      <c r="J140" s="32"/>
      <c r="K140" s="27">
        <v>40097</v>
      </c>
      <c r="L140" s="27">
        <f>DATE(YEAR(K140)+8,MONTH(K140),DAY(K140)-1)</f>
        <v>43018</v>
      </c>
      <c r="M140" s="30" t="s">
        <v>19</v>
      </c>
      <c r="N140" s="30" t="s">
        <v>48</v>
      </c>
    </row>
    <row r="141" spans="1:14" s="5" customFormat="1" ht="18.75" customHeight="1" x14ac:dyDescent="0.2">
      <c r="A141" s="12"/>
      <c r="B141" s="12"/>
      <c r="C141" s="13"/>
      <c r="D141" s="17"/>
      <c r="E141" s="5" t="s">
        <v>21</v>
      </c>
      <c r="F141" s="5" t="s">
        <v>93</v>
      </c>
      <c r="G141" s="20">
        <v>39.75</v>
      </c>
      <c r="H141" s="12"/>
      <c r="I141" s="12"/>
    </row>
    <row r="142" spans="1:14" s="5" customFormat="1" ht="18.75" customHeight="1" x14ac:dyDescent="0.2">
      <c r="A142" s="12"/>
      <c r="B142" s="12"/>
      <c r="C142" s="13"/>
      <c r="D142" s="17"/>
      <c r="E142" s="13"/>
      <c r="F142" s="16"/>
      <c r="G142" s="15"/>
      <c r="H142" s="12"/>
      <c r="I142" s="12"/>
    </row>
    <row r="143" spans="1:14" s="30" customFormat="1" ht="18.75" customHeight="1" x14ac:dyDescent="0.2">
      <c r="A143" s="27">
        <v>39971</v>
      </c>
      <c r="B143" s="27">
        <v>39985</v>
      </c>
      <c r="C143" s="28">
        <v>231</v>
      </c>
      <c r="D143" s="33" t="s">
        <v>159</v>
      </c>
      <c r="E143" s="30" t="s">
        <v>19</v>
      </c>
      <c r="F143" s="30" t="s">
        <v>25</v>
      </c>
      <c r="G143" s="31">
        <v>82.16</v>
      </c>
      <c r="H143" s="28"/>
      <c r="I143" s="32">
        <v>60.6</v>
      </c>
      <c r="J143" s="32"/>
      <c r="K143" s="27">
        <v>40179</v>
      </c>
      <c r="L143" s="27">
        <v>40633</v>
      </c>
      <c r="M143" s="30" t="s">
        <v>19</v>
      </c>
      <c r="N143" s="30" t="s">
        <v>25</v>
      </c>
    </row>
    <row r="144" spans="1:14" s="5" customFormat="1" ht="18.75" customHeight="1" x14ac:dyDescent="0.2">
      <c r="A144" s="12"/>
      <c r="B144" s="12"/>
      <c r="C144" s="13"/>
      <c r="D144" s="17"/>
      <c r="E144" s="5" t="s">
        <v>95</v>
      </c>
      <c r="F144" s="5" t="s">
        <v>96</v>
      </c>
      <c r="G144" s="20">
        <v>17.84</v>
      </c>
      <c r="H144" s="12"/>
      <c r="I144" s="12"/>
    </row>
    <row r="145" spans="1:14" s="5" customFormat="1" ht="18.75" customHeight="1" x14ac:dyDescent="0.2">
      <c r="A145" s="12"/>
      <c r="B145" s="12"/>
      <c r="C145" s="13"/>
      <c r="D145" s="17"/>
      <c r="E145" s="13"/>
      <c r="F145" s="16"/>
      <c r="G145" s="15"/>
      <c r="H145" s="12"/>
      <c r="I145" s="12"/>
    </row>
    <row r="146" spans="1:14" s="30" customFormat="1" ht="18.75" customHeight="1" x14ac:dyDescent="0.2">
      <c r="A146" s="27">
        <v>39971</v>
      </c>
      <c r="B146" s="27">
        <v>39985</v>
      </c>
      <c r="C146" s="28">
        <v>232</v>
      </c>
      <c r="D146" s="33" t="s">
        <v>163</v>
      </c>
      <c r="E146" s="30" t="s">
        <v>100</v>
      </c>
      <c r="F146" s="30" t="s">
        <v>101</v>
      </c>
      <c r="G146" s="31">
        <v>74.63</v>
      </c>
      <c r="H146" s="28"/>
      <c r="I146" s="32">
        <v>63.8</v>
      </c>
      <c r="J146" s="32"/>
      <c r="K146" s="27">
        <v>40163</v>
      </c>
      <c r="L146" s="27">
        <f>DATE(YEAR(K146)+8,MONTH(K146),DAY(K146)-1)</f>
        <v>43084</v>
      </c>
      <c r="M146" s="30" t="s">
        <v>19</v>
      </c>
      <c r="N146" s="30" t="s">
        <v>30</v>
      </c>
    </row>
    <row r="147" spans="1:14" s="5" customFormat="1" ht="18.75" customHeight="1" x14ac:dyDescent="0.2">
      <c r="A147" s="12"/>
      <c r="B147" s="12"/>
      <c r="C147" s="13"/>
      <c r="D147" s="17"/>
      <c r="E147" s="5" t="s">
        <v>19</v>
      </c>
      <c r="F147" s="5" t="s">
        <v>97</v>
      </c>
      <c r="G147" s="20">
        <v>21.65</v>
      </c>
      <c r="H147" s="12"/>
      <c r="I147" s="12"/>
    </row>
    <row r="148" spans="1:14" s="5" customFormat="1" ht="18.75" customHeight="1" x14ac:dyDescent="0.2">
      <c r="A148" s="12"/>
      <c r="B148" s="12"/>
      <c r="C148" s="13"/>
      <c r="D148" s="17"/>
      <c r="E148" s="5" t="s">
        <v>98</v>
      </c>
      <c r="F148" s="5" t="s">
        <v>99</v>
      </c>
      <c r="G148" s="20">
        <v>3.72</v>
      </c>
      <c r="H148" s="12"/>
      <c r="I148" s="12"/>
    </row>
    <row r="149" spans="1:14" s="5" customFormat="1" ht="18.75" customHeight="1" x14ac:dyDescent="0.2">
      <c r="A149" s="12"/>
      <c r="B149" s="12"/>
      <c r="C149" s="13"/>
      <c r="D149" s="17"/>
      <c r="E149" s="13"/>
      <c r="F149" s="16"/>
      <c r="G149" s="15"/>
      <c r="H149" s="12"/>
      <c r="I149" s="12"/>
    </row>
    <row r="150" spans="1:14" s="30" customFormat="1" ht="18.75" customHeight="1" x14ac:dyDescent="0.2">
      <c r="A150" s="27">
        <v>39971</v>
      </c>
      <c r="B150" s="27">
        <v>39985</v>
      </c>
      <c r="C150" s="28">
        <v>332</v>
      </c>
      <c r="D150" s="33" t="s">
        <v>151</v>
      </c>
      <c r="E150" s="30" t="s">
        <v>21</v>
      </c>
      <c r="F150" s="30" t="s">
        <v>40</v>
      </c>
      <c r="G150" s="37">
        <v>56.42</v>
      </c>
      <c r="H150" s="28"/>
      <c r="I150" s="32">
        <v>61.81</v>
      </c>
      <c r="J150" s="32"/>
      <c r="K150" s="27">
        <v>40116</v>
      </c>
      <c r="L150" s="49">
        <v>41380</v>
      </c>
      <c r="M150" s="30" t="s">
        <v>21</v>
      </c>
      <c r="N150" s="30" t="s">
        <v>40</v>
      </c>
    </row>
    <row r="151" spans="1:14" s="5" customFormat="1" ht="18.75" customHeight="1" x14ac:dyDescent="0.2">
      <c r="A151" s="12"/>
      <c r="B151" s="12"/>
      <c r="C151" s="13"/>
      <c r="D151" s="17"/>
      <c r="E151" s="5" t="s">
        <v>19</v>
      </c>
      <c r="F151" s="5" t="s">
        <v>102</v>
      </c>
      <c r="G151" s="24">
        <v>43.58</v>
      </c>
      <c r="H151" s="12"/>
      <c r="I151" s="12"/>
    </row>
    <row r="152" spans="1:14" s="5" customFormat="1" ht="18.75" customHeight="1" x14ac:dyDescent="0.2">
      <c r="A152" s="12"/>
      <c r="B152" s="12"/>
      <c r="C152" s="13"/>
      <c r="D152" s="17"/>
      <c r="E152" s="13"/>
      <c r="F152" s="16"/>
      <c r="G152" s="15"/>
      <c r="H152" s="12"/>
      <c r="I152" s="12"/>
    </row>
    <row r="153" spans="1:14" s="30" customFormat="1" ht="18.75" customHeight="1" x14ac:dyDescent="0.2">
      <c r="A153" s="27">
        <v>39971</v>
      </c>
      <c r="B153" s="27">
        <v>39985</v>
      </c>
      <c r="C153" s="28">
        <v>333</v>
      </c>
      <c r="D153" s="33" t="s">
        <v>152</v>
      </c>
      <c r="E153" s="30" t="s">
        <v>21</v>
      </c>
      <c r="F153" s="30" t="s">
        <v>56</v>
      </c>
      <c r="G153" s="31">
        <v>51.17</v>
      </c>
      <c r="H153" s="28"/>
      <c r="I153" s="32">
        <v>59.2</v>
      </c>
      <c r="J153" s="32"/>
      <c r="K153" s="27">
        <v>40079</v>
      </c>
      <c r="L153" s="27">
        <f>DATE(YEAR(K153)+8,MONTH(K153),DAY(K153)-1)</f>
        <v>43000</v>
      </c>
      <c r="M153" s="30" t="s">
        <v>21</v>
      </c>
      <c r="N153" s="30" t="s">
        <v>56</v>
      </c>
    </row>
    <row r="154" spans="1:14" s="5" customFormat="1" ht="18.75" customHeight="1" x14ac:dyDescent="0.2">
      <c r="A154" s="12"/>
      <c r="B154" s="12"/>
      <c r="C154" s="13"/>
      <c r="D154" s="17"/>
      <c r="E154" s="5" t="s">
        <v>19</v>
      </c>
      <c r="F154" s="5" t="s">
        <v>103</v>
      </c>
      <c r="G154" s="20">
        <v>40.9</v>
      </c>
      <c r="H154" s="12"/>
      <c r="I154" s="12"/>
    </row>
    <row r="155" spans="1:14" s="5" customFormat="1" ht="18.75" customHeight="1" x14ac:dyDescent="0.2">
      <c r="A155" s="12"/>
      <c r="B155" s="12"/>
      <c r="C155" s="13"/>
      <c r="D155" s="17"/>
      <c r="E155" s="5" t="s">
        <v>104</v>
      </c>
      <c r="F155" s="5" t="s">
        <v>105</v>
      </c>
      <c r="G155" s="20">
        <v>7.92</v>
      </c>
      <c r="H155" s="12"/>
      <c r="I155" s="12"/>
    </row>
    <row r="156" spans="1:14" s="5" customFormat="1" ht="18.75" customHeight="1" x14ac:dyDescent="0.2">
      <c r="A156" s="12"/>
      <c r="B156" s="12"/>
      <c r="C156" s="13"/>
      <c r="D156" s="17"/>
      <c r="E156" s="13"/>
      <c r="F156" s="16"/>
      <c r="G156" s="15"/>
      <c r="H156" s="12"/>
      <c r="I156" s="12"/>
    </row>
    <row r="157" spans="1:14" s="30" customFormat="1" ht="18.75" customHeight="1" x14ac:dyDescent="0.2">
      <c r="A157" s="27">
        <v>39971</v>
      </c>
      <c r="B157" s="27">
        <v>39985</v>
      </c>
      <c r="C157" s="28">
        <v>334</v>
      </c>
      <c r="D157" s="33" t="s">
        <v>153</v>
      </c>
      <c r="E157" s="30" t="s">
        <v>19</v>
      </c>
      <c r="F157" s="30" t="s">
        <v>42</v>
      </c>
      <c r="G157" s="31">
        <v>69.25</v>
      </c>
      <c r="H157" s="28"/>
      <c r="I157" s="32">
        <v>57.14</v>
      </c>
      <c r="J157" s="32"/>
      <c r="K157" s="27">
        <v>40105</v>
      </c>
      <c r="L157" s="27">
        <f>DATE(YEAR(K157)+8,MONTH(K157),DAY(K157)-1)</f>
        <v>43026</v>
      </c>
      <c r="M157" s="30" t="s">
        <v>19</v>
      </c>
      <c r="N157" s="30" t="s">
        <v>42</v>
      </c>
    </row>
    <row r="158" spans="1:14" s="5" customFormat="1" ht="18.75" customHeight="1" x14ac:dyDescent="0.2">
      <c r="A158" s="12"/>
      <c r="B158" s="12"/>
      <c r="C158" s="13"/>
      <c r="D158" s="17"/>
      <c r="E158" s="5" t="s">
        <v>21</v>
      </c>
      <c r="F158" s="5" t="s">
        <v>106</v>
      </c>
      <c r="G158" s="20">
        <v>30.75</v>
      </c>
      <c r="H158" s="12"/>
      <c r="I158" s="12"/>
    </row>
    <row r="159" spans="1:14" s="5" customFormat="1" ht="18.75" customHeight="1" x14ac:dyDescent="0.2">
      <c r="A159" s="12"/>
      <c r="B159" s="12"/>
      <c r="C159" s="13"/>
      <c r="D159" s="17"/>
      <c r="E159" s="13"/>
      <c r="F159" s="16"/>
      <c r="G159" s="15"/>
      <c r="H159" s="12"/>
      <c r="I159" s="12"/>
    </row>
    <row r="160" spans="1:14" s="30" customFormat="1" ht="18.75" customHeight="1" x14ac:dyDescent="0.2">
      <c r="A160" s="27">
        <v>39971</v>
      </c>
      <c r="B160" s="27">
        <v>39985</v>
      </c>
      <c r="C160" s="28">
        <v>335</v>
      </c>
      <c r="D160" s="33" t="s">
        <v>154</v>
      </c>
      <c r="E160" s="30" t="s">
        <v>19</v>
      </c>
      <c r="F160" s="30" t="s">
        <v>32</v>
      </c>
      <c r="G160" s="31">
        <v>54.31</v>
      </c>
      <c r="H160" s="28"/>
      <c r="I160" s="32">
        <v>61.1</v>
      </c>
      <c r="J160" s="32"/>
      <c r="K160" s="27">
        <v>40156</v>
      </c>
      <c r="L160" s="27">
        <f>DATE(YEAR(K160)+8,MONTH(K160),DAY(K160)-1)</f>
        <v>43077</v>
      </c>
      <c r="M160" s="30" t="s">
        <v>21</v>
      </c>
      <c r="N160" s="30" t="s">
        <v>33</v>
      </c>
    </row>
    <row r="161" spans="1:14" s="5" customFormat="1" ht="18.75" customHeight="1" x14ac:dyDescent="0.2">
      <c r="A161" s="12"/>
      <c r="B161" s="12"/>
      <c r="C161" s="13"/>
      <c r="D161" s="17"/>
      <c r="E161" s="5" t="s">
        <v>21</v>
      </c>
      <c r="F161" s="5" t="s">
        <v>107</v>
      </c>
      <c r="G161" s="20">
        <v>37.25</v>
      </c>
      <c r="H161" s="12"/>
      <c r="I161" s="12"/>
    </row>
    <row r="162" spans="1:14" s="5" customFormat="1" ht="18.75" customHeight="1" x14ac:dyDescent="0.2">
      <c r="A162" s="12"/>
      <c r="B162" s="12"/>
      <c r="C162" s="13"/>
      <c r="D162" s="17"/>
      <c r="E162" s="5" t="s">
        <v>98</v>
      </c>
      <c r="F162" s="5" t="s">
        <v>108</v>
      </c>
      <c r="G162" s="20">
        <v>4.2300000000000004</v>
      </c>
      <c r="H162" s="12"/>
      <c r="I162" s="12"/>
    </row>
    <row r="163" spans="1:14" s="5" customFormat="1" ht="18.75" customHeight="1" x14ac:dyDescent="0.2">
      <c r="A163" s="12"/>
      <c r="B163" s="12"/>
      <c r="C163" s="13"/>
      <c r="D163" s="17"/>
      <c r="E163" s="5" t="s">
        <v>109</v>
      </c>
      <c r="F163" s="5" t="s">
        <v>110</v>
      </c>
      <c r="G163" s="20">
        <v>4.21</v>
      </c>
      <c r="H163" s="12"/>
      <c r="I163" s="12"/>
    </row>
    <row r="164" spans="1:14" s="5" customFormat="1" ht="18.75" customHeight="1" x14ac:dyDescent="0.2">
      <c r="A164" s="12"/>
      <c r="B164" s="12"/>
      <c r="C164" s="13"/>
      <c r="D164" s="17"/>
      <c r="E164" s="13"/>
      <c r="F164" s="16"/>
      <c r="G164" s="15"/>
      <c r="H164" s="12"/>
      <c r="I164" s="12"/>
    </row>
    <row r="165" spans="1:14" s="30" customFormat="1" ht="18.75" customHeight="1" x14ac:dyDescent="0.2">
      <c r="A165" s="27">
        <v>39971</v>
      </c>
      <c r="B165" s="27">
        <v>39985</v>
      </c>
      <c r="C165" s="28">
        <v>336</v>
      </c>
      <c r="D165" s="33" t="s">
        <v>155</v>
      </c>
      <c r="E165" s="30" t="s">
        <v>21</v>
      </c>
      <c r="F165" s="30" t="s">
        <v>45</v>
      </c>
      <c r="G165" s="31">
        <v>61.62</v>
      </c>
      <c r="H165" s="28"/>
      <c r="I165" s="32">
        <v>59.2</v>
      </c>
      <c r="J165" s="32"/>
      <c r="K165" s="27">
        <v>40100</v>
      </c>
      <c r="L165" s="27">
        <f>DATE(YEAR(K165)+8,MONTH(K165),DAY(K165)-1)</f>
        <v>43021</v>
      </c>
      <c r="M165" s="30" t="s">
        <v>21</v>
      </c>
      <c r="N165" s="30" t="s">
        <v>45</v>
      </c>
    </row>
    <row r="166" spans="1:14" s="5" customFormat="1" ht="18.75" customHeight="1" x14ac:dyDescent="0.2">
      <c r="A166" s="12"/>
      <c r="B166" s="12"/>
      <c r="C166" s="13"/>
      <c r="D166" s="17"/>
      <c r="E166" s="5" t="s">
        <v>34</v>
      </c>
      <c r="F166" s="5" t="s">
        <v>111</v>
      </c>
      <c r="G166" s="20">
        <v>38.380000000000003</v>
      </c>
      <c r="H166" s="12"/>
      <c r="I166" s="12"/>
    </row>
    <row r="167" spans="1:14" s="5" customFormat="1" ht="18.75" customHeight="1" x14ac:dyDescent="0.2">
      <c r="A167" s="12"/>
      <c r="B167" s="12"/>
      <c r="C167" s="13"/>
      <c r="D167" s="17"/>
      <c r="E167" s="13"/>
      <c r="F167" s="16"/>
      <c r="G167" s="15"/>
      <c r="H167" s="12"/>
      <c r="I167" s="12"/>
    </row>
    <row r="168" spans="1:14" s="30" customFormat="1" ht="18.75" customHeight="1" x14ac:dyDescent="0.2">
      <c r="A168" s="27">
        <v>39971</v>
      </c>
      <c r="B168" s="27">
        <v>39985</v>
      </c>
      <c r="C168" s="28">
        <v>338</v>
      </c>
      <c r="D168" s="33" t="s">
        <v>164</v>
      </c>
      <c r="E168" s="30" t="s">
        <v>19</v>
      </c>
      <c r="F168" s="30" t="s">
        <v>113</v>
      </c>
      <c r="G168" s="31">
        <v>44.96</v>
      </c>
      <c r="H168" s="38">
        <v>57.33</v>
      </c>
      <c r="I168" s="32">
        <v>56.94</v>
      </c>
      <c r="J168" s="32">
        <v>34.880000000000003</v>
      </c>
      <c r="K168" s="27">
        <v>40136</v>
      </c>
      <c r="L168" s="27">
        <f>DATE(YEAR(K168)+8,MONTH(K168),DAY(K168)-1)</f>
        <v>43057</v>
      </c>
      <c r="M168" s="30" t="s">
        <v>21</v>
      </c>
      <c r="N168" s="30" t="s">
        <v>36</v>
      </c>
    </row>
    <row r="169" spans="1:14" s="5" customFormat="1" ht="18.75" customHeight="1" x14ac:dyDescent="0.2">
      <c r="A169" s="12"/>
      <c r="B169" s="12"/>
      <c r="C169" s="13"/>
      <c r="D169" s="17"/>
      <c r="E169" s="5" t="s">
        <v>21</v>
      </c>
      <c r="F169" s="5" t="s">
        <v>112</v>
      </c>
      <c r="G169" s="20">
        <v>35.25</v>
      </c>
      <c r="H169" s="21">
        <v>42.67</v>
      </c>
      <c r="I169" s="12"/>
    </row>
    <row r="170" spans="1:14" s="5" customFormat="1" ht="18.75" customHeight="1" x14ac:dyDescent="0.2">
      <c r="A170" s="12"/>
      <c r="B170" s="12"/>
      <c r="C170" s="13"/>
      <c r="D170" s="17"/>
      <c r="E170" s="5" t="s">
        <v>38</v>
      </c>
      <c r="F170" s="5" t="s">
        <v>114</v>
      </c>
      <c r="G170" s="20">
        <v>10.68</v>
      </c>
      <c r="H170" s="12"/>
      <c r="I170" s="12"/>
    </row>
    <row r="171" spans="1:14" s="5" customFormat="1" ht="18.75" customHeight="1" x14ac:dyDescent="0.2">
      <c r="A171" s="12"/>
      <c r="B171" s="12"/>
      <c r="C171" s="13"/>
      <c r="D171" s="17"/>
      <c r="E171" s="5" t="s">
        <v>34</v>
      </c>
      <c r="F171" s="5" t="s">
        <v>115</v>
      </c>
      <c r="G171" s="20">
        <v>9.11</v>
      </c>
      <c r="H171" s="12"/>
      <c r="I171" s="12"/>
    </row>
    <row r="172" spans="1:14" s="5" customFormat="1" ht="18.75" customHeight="1" x14ac:dyDescent="0.2">
      <c r="A172" s="12"/>
      <c r="B172" s="12"/>
      <c r="C172" s="13"/>
      <c r="D172" s="17"/>
      <c r="E172" s="13"/>
      <c r="F172" s="16"/>
      <c r="G172" s="15"/>
      <c r="H172" s="12"/>
      <c r="I172" s="12"/>
    </row>
    <row r="173" spans="1:14" s="30" customFormat="1" ht="18.75" customHeight="1" x14ac:dyDescent="0.2">
      <c r="A173" s="27">
        <v>39971</v>
      </c>
      <c r="B173" s="27">
        <v>39985</v>
      </c>
      <c r="C173" s="28">
        <v>339</v>
      </c>
      <c r="D173" s="33" t="s">
        <v>158</v>
      </c>
      <c r="E173" s="30" t="s">
        <v>117</v>
      </c>
      <c r="F173" s="30" t="s">
        <v>29</v>
      </c>
      <c r="G173" s="31">
        <v>57.62</v>
      </c>
      <c r="H173" s="28"/>
      <c r="I173" s="32">
        <v>60</v>
      </c>
      <c r="J173" s="32"/>
      <c r="K173" s="27">
        <v>40179</v>
      </c>
      <c r="L173" s="27">
        <v>43008</v>
      </c>
      <c r="M173" s="30" t="s">
        <v>26</v>
      </c>
      <c r="N173" s="30" t="s">
        <v>29</v>
      </c>
    </row>
    <row r="174" spans="1:14" s="5" customFormat="1" ht="18.75" customHeight="1" x14ac:dyDescent="0.2">
      <c r="A174" s="12"/>
      <c r="B174" s="12"/>
      <c r="C174" s="13"/>
      <c r="E174" s="5" t="s">
        <v>19</v>
      </c>
      <c r="F174" s="5" t="s">
        <v>116</v>
      </c>
      <c r="G174" s="20">
        <v>35.5</v>
      </c>
      <c r="H174" s="12"/>
      <c r="I174" s="12"/>
    </row>
    <row r="175" spans="1:14" s="5" customFormat="1" ht="18.75" customHeight="1" x14ac:dyDescent="0.2">
      <c r="A175" s="12"/>
      <c r="B175" s="12"/>
      <c r="C175" s="13"/>
      <c r="D175" s="17"/>
      <c r="E175" s="5" t="s">
        <v>118</v>
      </c>
      <c r="F175" s="5" t="s">
        <v>119</v>
      </c>
      <c r="G175" s="20">
        <v>6.87</v>
      </c>
      <c r="H175" s="12"/>
      <c r="I175" s="12"/>
    </row>
    <row r="176" spans="1:14" s="5" customFormat="1" ht="18.75" customHeight="1" x14ac:dyDescent="0.2">
      <c r="A176" s="12"/>
      <c r="B176" s="12"/>
      <c r="C176" s="13"/>
      <c r="D176" s="17"/>
      <c r="E176" s="13"/>
      <c r="F176" s="16"/>
      <c r="G176" s="15"/>
      <c r="H176" s="12"/>
      <c r="I176" s="12"/>
    </row>
    <row r="177" spans="1:15" s="30" customFormat="1" ht="18.75" customHeight="1" x14ac:dyDescent="0.2">
      <c r="A177" s="27">
        <v>39971</v>
      </c>
      <c r="B177" s="27">
        <v>39985</v>
      </c>
      <c r="C177" s="28">
        <v>340</v>
      </c>
      <c r="D177" s="33" t="s">
        <v>157</v>
      </c>
      <c r="E177" s="30" t="s">
        <v>19</v>
      </c>
      <c r="F177" s="30" t="s">
        <v>52</v>
      </c>
      <c r="G177" s="31">
        <v>78.099999999999994</v>
      </c>
      <c r="H177" s="28"/>
      <c r="I177" s="32">
        <v>67.099999999999994</v>
      </c>
      <c r="J177" s="32"/>
      <c r="K177" s="27">
        <v>40087</v>
      </c>
      <c r="L177" s="27">
        <f>DATE(YEAR(K177)+8,MONTH(K177),DAY(K177)-1)</f>
        <v>43008</v>
      </c>
      <c r="M177" s="30" t="s">
        <v>19</v>
      </c>
      <c r="N177" s="30" t="s">
        <v>52</v>
      </c>
    </row>
    <row r="178" spans="1:15" s="5" customFormat="1" ht="18.75" customHeight="1" x14ac:dyDescent="0.2">
      <c r="A178" s="12"/>
      <c r="B178" s="12"/>
      <c r="C178" s="13"/>
      <c r="D178" s="17"/>
      <c r="E178" s="13"/>
      <c r="F178" s="16"/>
      <c r="G178" s="15"/>
      <c r="H178" s="12"/>
      <c r="I178" s="12"/>
    </row>
    <row r="179" spans="1:15" s="36" customFormat="1" ht="18.75" customHeight="1" x14ac:dyDescent="0.2">
      <c r="A179" s="27">
        <v>40328</v>
      </c>
      <c r="B179" s="27">
        <v>40342</v>
      </c>
      <c r="C179" s="28">
        <v>134</v>
      </c>
      <c r="D179" s="33" t="s">
        <v>139</v>
      </c>
      <c r="E179" s="30" t="s">
        <v>19</v>
      </c>
      <c r="F179" s="30" t="s">
        <v>90</v>
      </c>
      <c r="G179" s="31">
        <v>45.34</v>
      </c>
      <c r="H179" s="31">
        <v>63.3</v>
      </c>
      <c r="I179" s="32">
        <v>31.32</v>
      </c>
      <c r="J179" s="32">
        <v>35.18</v>
      </c>
      <c r="K179" s="27">
        <v>40594</v>
      </c>
      <c r="L179" s="27">
        <f>DATE(YEAR(K179)+8,MONTH(K179),DAY(K179)-1)</f>
        <v>43515</v>
      </c>
      <c r="M179" s="30" t="s">
        <v>21</v>
      </c>
      <c r="N179" s="30" t="s">
        <v>16</v>
      </c>
    </row>
    <row r="180" spans="1:15" ht="18.75" customHeight="1" x14ac:dyDescent="0.2">
      <c r="A180" s="12"/>
      <c r="B180" s="12"/>
      <c r="C180" s="13"/>
      <c r="D180" s="17"/>
      <c r="E180" s="5" t="s">
        <v>21</v>
      </c>
      <c r="F180" s="5" t="s">
        <v>16</v>
      </c>
      <c r="G180" s="20">
        <v>42.88</v>
      </c>
      <c r="H180" s="20">
        <v>36.700000000000003</v>
      </c>
      <c r="I180" s="15"/>
      <c r="J180" s="15"/>
      <c r="K180" s="12"/>
      <c r="L180" s="12"/>
    </row>
    <row r="181" spans="1:15" ht="18.75" customHeight="1" x14ac:dyDescent="0.2">
      <c r="A181" s="8"/>
      <c r="B181" s="8"/>
      <c r="C181" s="3"/>
      <c r="D181" s="4"/>
      <c r="E181" s="5" t="s">
        <v>34</v>
      </c>
      <c r="F181" s="5" t="s">
        <v>91</v>
      </c>
      <c r="G181" s="20">
        <v>11.78</v>
      </c>
      <c r="H181" s="26"/>
      <c r="I181" s="8"/>
      <c r="J181" s="5"/>
      <c r="K181" s="5"/>
      <c r="L181" s="5"/>
    </row>
    <row r="182" spans="1:15" ht="18.75" customHeight="1" x14ac:dyDescent="0.2">
      <c r="A182" s="8"/>
      <c r="B182" s="8"/>
      <c r="C182" s="3"/>
      <c r="D182" s="4"/>
      <c r="E182" s="3"/>
      <c r="F182" s="5"/>
      <c r="G182" s="3"/>
      <c r="H182" s="8"/>
      <c r="I182" s="8"/>
      <c r="J182" s="5"/>
      <c r="K182" s="5"/>
      <c r="L182" s="5"/>
    </row>
    <row r="183" spans="1:15" s="36" customFormat="1" ht="18.75" customHeight="1" x14ac:dyDescent="0.2">
      <c r="A183" s="41">
        <v>40629</v>
      </c>
      <c r="B183" s="41">
        <v>40643</v>
      </c>
      <c r="C183" s="42">
        <v>141</v>
      </c>
      <c r="D183" s="43" t="s">
        <v>146</v>
      </c>
      <c r="E183" s="30" t="s">
        <v>21</v>
      </c>
      <c r="F183" s="30" t="s">
        <v>14</v>
      </c>
      <c r="G183" s="31">
        <v>90.94</v>
      </c>
      <c r="H183" s="42"/>
      <c r="I183" s="44">
        <v>60.76</v>
      </c>
      <c r="J183" s="44"/>
      <c r="K183" s="27">
        <v>40787</v>
      </c>
      <c r="L183" s="49">
        <v>41820</v>
      </c>
      <c r="M183" s="30" t="s">
        <v>21</v>
      </c>
      <c r="N183" s="30" t="s">
        <v>14</v>
      </c>
      <c r="O183" s="30"/>
    </row>
    <row r="184" spans="1:15" ht="18.75" customHeight="1" x14ac:dyDescent="0.2">
      <c r="A184" s="8"/>
      <c r="B184" s="8"/>
      <c r="C184" s="3"/>
      <c r="D184" s="4"/>
      <c r="E184" s="5" t="s">
        <v>98</v>
      </c>
      <c r="F184" s="5" t="s">
        <v>175</v>
      </c>
      <c r="G184" s="20">
        <v>9.06</v>
      </c>
      <c r="H184" s="8"/>
      <c r="I184" s="8"/>
      <c r="J184" s="5"/>
      <c r="K184" s="5"/>
      <c r="L184" s="5"/>
      <c r="M184" s="5"/>
      <c r="N184" s="5"/>
      <c r="O184" s="5"/>
    </row>
    <row r="185" spans="1:15" ht="18.75" customHeight="1" x14ac:dyDescent="0.2">
      <c r="A185" s="8"/>
      <c r="B185" s="8"/>
      <c r="C185" s="3"/>
      <c r="D185" s="4"/>
      <c r="E185" s="3"/>
      <c r="F185" s="5"/>
      <c r="G185" s="3"/>
      <c r="H185" s="8"/>
      <c r="I185" s="8"/>
      <c r="J185" s="5"/>
      <c r="K185" s="5"/>
      <c r="L185" s="5"/>
      <c r="M185" s="5"/>
      <c r="N185" s="5"/>
      <c r="O185" s="5"/>
    </row>
    <row r="186" spans="1:15" s="36" customFormat="1" ht="18.75" customHeight="1" x14ac:dyDescent="0.2">
      <c r="A186" s="41">
        <v>40629</v>
      </c>
      <c r="B186" s="41">
        <v>40643</v>
      </c>
      <c r="C186" s="42">
        <v>231</v>
      </c>
      <c r="D186" s="43" t="s">
        <v>159</v>
      </c>
      <c r="E186" s="30" t="s">
        <v>19</v>
      </c>
      <c r="F186" s="30" t="s">
        <v>177</v>
      </c>
      <c r="G186" s="31">
        <v>59.63</v>
      </c>
      <c r="H186" s="42"/>
      <c r="I186" s="44">
        <v>60.57</v>
      </c>
      <c r="J186" s="44"/>
      <c r="K186" s="41">
        <v>40634</v>
      </c>
      <c r="L186" s="41">
        <f>DATE(YEAR(K186)+8,MONTH(K186),DAY(K186)-1)</f>
        <v>43555</v>
      </c>
      <c r="M186" s="30" t="s">
        <v>19</v>
      </c>
      <c r="N186" s="30" t="s">
        <v>25</v>
      </c>
      <c r="O186" s="30"/>
    </row>
    <row r="187" spans="1:15" s="48" customFormat="1" ht="18.75" customHeight="1" x14ac:dyDescent="0.2">
      <c r="A187" s="8"/>
      <c r="B187" s="8"/>
      <c r="C187" s="3"/>
      <c r="D187" s="4"/>
      <c r="E187" s="5" t="s">
        <v>21</v>
      </c>
      <c r="F187" s="5" t="s">
        <v>176</v>
      </c>
      <c r="G187" s="20">
        <v>20.27</v>
      </c>
      <c r="H187" s="8"/>
      <c r="I187" s="8"/>
      <c r="J187" s="5"/>
      <c r="K187" s="5"/>
      <c r="L187" s="5"/>
      <c r="M187" s="5"/>
      <c r="N187" s="5"/>
      <c r="O187" s="5"/>
    </row>
    <row r="188" spans="1:15" ht="18.75" customHeight="1" x14ac:dyDescent="0.2">
      <c r="A188" s="8"/>
      <c r="B188" s="8"/>
      <c r="C188" s="3"/>
      <c r="D188" s="4"/>
      <c r="E188" s="5" t="s">
        <v>34</v>
      </c>
      <c r="F188" s="5" t="s">
        <v>178</v>
      </c>
      <c r="G188" s="20">
        <v>12.22</v>
      </c>
      <c r="H188" s="8"/>
      <c r="I188" s="8"/>
      <c r="J188" s="5"/>
      <c r="K188" s="5"/>
      <c r="L188" s="5"/>
      <c r="M188" s="5"/>
      <c r="N188" s="5"/>
      <c r="O188" s="5"/>
    </row>
    <row r="189" spans="1:15" ht="18.75" customHeight="1" x14ac:dyDescent="0.2">
      <c r="A189" s="8"/>
      <c r="B189" s="8"/>
      <c r="C189" s="3"/>
      <c r="D189" s="4"/>
      <c r="E189" s="5" t="s">
        <v>55</v>
      </c>
      <c r="F189" s="5" t="s">
        <v>179</v>
      </c>
      <c r="G189" s="20">
        <v>3.96</v>
      </c>
      <c r="H189" s="8"/>
      <c r="I189" s="8"/>
      <c r="J189" s="5"/>
      <c r="K189" s="5"/>
      <c r="L189" s="5"/>
      <c r="M189" s="5"/>
      <c r="N189" s="5"/>
      <c r="O189" s="5"/>
    </row>
    <row r="190" spans="1:15" ht="18.75" customHeight="1" x14ac:dyDescent="0.2">
      <c r="A190" s="8"/>
      <c r="B190" s="8"/>
      <c r="C190" s="3"/>
      <c r="D190" s="4"/>
      <c r="E190" s="5" t="s">
        <v>180</v>
      </c>
      <c r="F190" s="5" t="s">
        <v>181</v>
      </c>
      <c r="G190" s="20">
        <v>2.14</v>
      </c>
      <c r="H190" s="8"/>
      <c r="I190" s="8"/>
      <c r="J190" s="5"/>
      <c r="K190" s="5"/>
      <c r="L190" s="5"/>
      <c r="M190" s="5"/>
      <c r="N190" s="5"/>
      <c r="O190" s="5"/>
    </row>
    <row r="191" spans="1:15" ht="18.75" customHeight="1" x14ac:dyDescent="0.2">
      <c r="A191" s="8"/>
      <c r="B191" s="8"/>
      <c r="C191" s="3"/>
      <c r="D191" s="4"/>
      <c r="E191" s="5" t="s">
        <v>182</v>
      </c>
      <c r="F191" s="5" t="s">
        <v>183</v>
      </c>
      <c r="G191" s="20">
        <v>1.77</v>
      </c>
      <c r="H191" s="8"/>
      <c r="I191" s="8"/>
      <c r="J191" s="5"/>
      <c r="K191" s="5"/>
      <c r="L191" s="5"/>
      <c r="M191" s="5"/>
      <c r="N191" s="5"/>
      <c r="O191" s="5"/>
    </row>
    <row r="192" spans="1:15" ht="18.75" customHeight="1" x14ac:dyDescent="0.2">
      <c r="A192" s="8"/>
      <c r="B192" s="8"/>
      <c r="C192" s="3"/>
      <c r="D192" s="4"/>
      <c r="E192" s="3"/>
      <c r="F192" s="5"/>
      <c r="G192" s="3"/>
      <c r="H192" s="8"/>
      <c r="I192" s="8"/>
      <c r="J192" s="5"/>
      <c r="K192" s="5"/>
      <c r="L192" s="5"/>
      <c r="M192" s="5"/>
      <c r="N192" s="5"/>
      <c r="O192" s="5"/>
    </row>
    <row r="193" spans="1:15" s="36" customFormat="1" ht="18.75" customHeight="1" x14ac:dyDescent="0.2">
      <c r="A193" s="41">
        <v>40979</v>
      </c>
      <c r="B193" s="41">
        <v>40993</v>
      </c>
      <c r="C193" s="42">
        <v>331</v>
      </c>
      <c r="D193" s="43" t="s">
        <v>150</v>
      </c>
      <c r="E193" s="30" t="s">
        <v>21</v>
      </c>
      <c r="F193" s="30" t="s">
        <v>184</v>
      </c>
      <c r="G193" s="31">
        <v>57.77</v>
      </c>
      <c r="H193" s="42"/>
      <c r="I193" s="44">
        <v>33.630000000000003</v>
      </c>
      <c r="J193" s="44"/>
      <c r="K193" s="41">
        <v>41214</v>
      </c>
      <c r="L193" s="41">
        <f>DATE(YEAR(K193)+8,MONTH(K193),DAY(K193)-1)</f>
        <v>44135</v>
      </c>
      <c r="M193" s="30" t="s">
        <v>21</v>
      </c>
      <c r="N193" s="30" t="s">
        <v>4</v>
      </c>
      <c r="O193" s="30"/>
    </row>
    <row r="194" spans="1:15" ht="18.75" customHeight="1" x14ac:dyDescent="0.2">
      <c r="A194" s="8"/>
      <c r="B194" s="8"/>
      <c r="C194" s="3"/>
      <c r="D194" s="4"/>
      <c r="E194" s="5" t="s">
        <v>19</v>
      </c>
      <c r="F194" s="5" t="s">
        <v>185</v>
      </c>
      <c r="G194" s="20">
        <v>30.99</v>
      </c>
      <c r="H194" s="8"/>
      <c r="I194" s="8"/>
      <c r="J194" s="5"/>
      <c r="K194" s="5"/>
      <c r="L194" s="5"/>
      <c r="M194" s="5"/>
      <c r="N194" s="5"/>
      <c r="O194" s="5"/>
    </row>
    <row r="195" spans="1:15" ht="18.75" customHeight="1" x14ac:dyDescent="0.2">
      <c r="A195" s="8"/>
      <c r="B195" s="8"/>
      <c r="C195" s="3"/>
      <c r="D195" s="4"/>
      <c r="E195" s="5" t="s">
        <v>34</v>
      </c>
      <c r="F195" s="5" t="s">
        <v>186</v>
      </c>
      <c r="G195" s="20">
        <v>8.19</v>
      </c>
      <c r="H195" s="8"/>
      <c r="I195" s="8"/>
      <c r="J195" s="5"/>
      <c r="K195" s="5"/>
      <c r="L195" s="5"/>
      <c r="M195" s="5"/>
      <c r="N195" s="5"/>
      <c r="O195" s="5"/>
    </row>
    <row r="196" spans="1:15" ht="18.75" customHeight="1" x14ac:dyDescent="0.2">
      <c r="A196" s="8"/>
      <c r="B196" s="8"/>
      <c r="C196" s="3"/>
      <c r="D196" s="4"/>
      <c r="E196" s="5" t="s">
        <v>98</v>
      </c>
      <c r="F196" s="5" t="s">
        <v>187</v>
      </c>
      <c r="G196" s="20">
        <v>3.05</v>
      </c>
      <c r="H196" s="8"/>
      <c r="I196" s="8"/>
      <c r="J196" s="5"/>
      <c r="K196" s="5"/>
      <c r="L196" s="5"/>
      <c r="M196" s="5"/>
      <c r="N196" s="5"/>
      <c r="O196" s="5"/>
    </row>
    <row r="197" spans="1:15" ht="18.75" customHeight="1" x14ac:dyDescent="0.2">
      <c r="A197" s="8"/>
      <c r="B197" s="8"/>
      <c r="C197" s="3"/>
      <c r="D197" s="4"/>
      <c r="E197" s="3"/>
      <c r="F197" s="5"/>
      <c r="G197" s="3"/>
      <c r="H197" s="8"/>
      <c r="I197" s="8"/>
      <c r="J197" s="5"/>
      <c r="K197" s="5"/>
      <c r="L197" s="5"/>
      <c r="M197" s="5"/>
      <c r="N197" s="5"/>
      <c r="O197" s="5"/>
    </row>
    <row r="198" spans="1:15" s="36" customFormat="1" ht="18.75" customHeight="1" x14ac:dyDescent="0.2">
      <c r="A198" s="41">
        <v>41245</v>
      </c>
      <c r="B198" s="41">
        <v>41259</v>
      </c>
      <c r="C198" s="42">
        <v>233</v>
      </c>
      <c r="D198" s="43" t="s">
        <v>162</v>
      </c>
      <c r="E198" s="46" t="s">
        <v>189</v>
      </c>
      <c r="F198" s="46" t="s">
        <v>190</v>
      </c>
      <c r="G198" s="47">
        <v>61.32</v>
      </c>
      <c r="H198" s="42"/>
      <c r="I198" s="44">
        <v>37.57</v>
      </c>
      <c r="J198" s="44"/>
      <c r="K198" s="41">
        <v>41365</v>
      </c>
      <c r="L198" s="41">
        <f>DATE(YEAR(K198)+8,MONTH(K198),DAY(K198)-1)</f>
        <v>44286</v>
      </c>
      <c r="M198" s="30" t="s">
        <v>26</v>
      </c>
      <c r="N198" s="30" t="s">
        <v>69</v>
      </c>
      <c r="O198" s="30"/>
    </row>
    <row r="199" spans="1:15" ht="18.75" customHeight="1" x14ac:dyDescent="0.2">
      <c r="A199" s="8"/>
      <c r="B199" s="8"/>
      <c r="C199" s="3"/>
      <c r="D199" s="4"/>
      <c r="E199" s="39" t="s">
        <v>19</v>
      </c>
      <c r="F199" s="39" t="s">
        <v>188</v>
      </c>
      <c r="G199" s="40">
        <v>38.68</v>
      </c>
      <c r="H199" s="8"/>
      <c r="I199" s="8"/>
      <c r="J199" s="5"/>
      <c r="K199" s="5"/>
      <c r="L199" s="5"/>
      <c r="M199" s="5"/>
      <c r="N199" s="5"/>
      <c r="O199" s="5"/>
    </row>
    <row r="200" spans="1:15" ht="18.75" customHeight="1" x14ac:dyDescent="0.2">
      <c r="A200" s="8"/>
      <c r="B200" s="8"/>
      <c r="C200" s="3"/>
      <c r="D200" s="4"/>
      <c r="E200" s="3"/>
      <c r="F200" s="5"/>
      <c r="G200" s="3"/>
      <c r="H200" s="8"/>
      <c r="I200" s="8"/>
      <c r="J200" s="5"/>
      <c r="K200" s="5"/>
      <c r="L200" s="5"/>
      <c r="M200" s="5"/>
      <c r="N200" s="5"/>
      <c r="O200" s="5"/>
    </row>
    <row r="201" spans="1:15" s="36" customFormat="1" ht="18.75" customHeight="1" x14ac:dyDescent="0.2">
      <c r="A201" s="41">
        <v>41350</v>
      </c>
      <c r="B201" s="41">
        <v>41371</v>
      </c>
      <c r="C201" s="42">
        <v>332</v>
      </c>
      <c r="D201" s="43" t="s">
        <v>151</v>
      </c>
      <c r="E201" s="30" t="s">
        <v>19</v>
      </c>
      <c r="F201" s="30" t="s">
        <v>192</v>
      </c>
      <c r="G201" s="31">
        <v>46.91</v>
      </c>
      <c r="H201" s="31">
        <v>59.85</v>
      </c>
      <c r="I201" s="44">
        <v>35.29</v>
      </c>
      <c r="J201" s="44">
        <v>31.89</v>
      </c>
      <c r="K201" s="27">
        <v>41381</v>
      </c>
      <c r="L201" s="41">
        <v>44302</v>
      </c>
      <c r="M201" s="30" t="s">
        <v>21</v>
      </c>
      <c r="N201" s="30" t="s">
        <v>40</v>
      </c>
      <c r="O201" s="30"/>
    </row>
    <row r="202" spans="1:15" s="48" customFormat="1" ht="18.75" customHeight="1" x14ac:dyDescent="0.2">
      <c r="A202" s="8"/>
      <c r="B202" s="8"/>
      <c r="C202" s="3"/>
      <c r="D202" s="4"/>
      <c r="E202" s="5" t="s">
        <v>21</v>
      </c>
      <c r="F202" s="5" t="s">
        <v>191</v>
      </c>
      <c r="G202" s="20">
        <v>34.99</v>
      </c>
      <c r="H202" s="20">
        <v>40.15</v>
      </c>
      <c r="I202" s="8"/>
      <c r="J202" s="5"/>
      <c r="K202" s="5"/>
      <c r="L202" s="5"/>
      <c r="M202" s="5"/>
      <c r="N202" s="5"/>
      <c r="O202" s="5"/>
    </row>
    <row r="203" spans="1:15" ht="18.75" customHeight="1" x14ac:dyDescent="0.2">
      <c r="A203" s="8"/>
      <c r="B203" s="8"/>
      <c r="C203" s="3"/>
      <c r="D203" s="4"/>
      <c r="E203" s="5" t="s">
        <v>55</v>
      </c>
      <c r="F203" s="5" t="s">
        <v>193</v>
      </c>
      <c r="G203" s="20">
        <v>18.100000000000001</v>
      </c>
      <c r="H203" s="8"/>
      <c r="I203" s="8"/>
      <c r="J203" s="5"/>
      <c r="K203" s="5"/>
      <c r="L203" s="5"/>
      <c r="M203" s="5"/>
      <c r="N203" s="5"/>
      <c r="O203" s="5"/>
    </row>
    <row r="204" spans="1:15" ht="18.75" customHeight="1" x14ac:dyDescent="0.2">
      <c r="A204" s="8"/>
      <c r="B204" s="8"/>
      <c r="C204" s="3"/>
      <c r="D204" s="4"/>
      <c r="E204" s="3"/>
      <c r="F204" s="5"/>
      <c r="G204" s="3"/>
      <c r="H204" s="8"/>
      <c r="I204" s="8"/>
      <c r="J204" s="5"/>
      <c r="K204" s="5"/>
      <c r="L204" s="5"/>
      <c r="M204" s="5"/>
      <c r="N204" s="5"/>
      <c r="O204" s="5"/>
    </row>
    <row r="205" spans="1:15" s="36" customFormat="1" ht="18.75" customHeight="1" x14ac:dyDescent="0.2">
      <c r="A205" s="41">
        <v>41378</v>
      </c>
      <c r="B205" s="41">
        <v>41392</v>
      </c>
      <c r="C205" s="42">
        <v>337</v>
      </c>
      <c r="D205" s="43" t="s">
        <v>140</v>
      </c>
      <c r="E205" s="30" t="s">
        <v>21</v>
      </c>
      <c r="F205" s="30" t="s">
        <v>85</v>
      </c>
      <c r="G205" s="31">
        <v>58.63</v>
      </c>
      <c r="H205" s="42"/>
      <c r="I205" s="44">
        <v>42.62</v>
      </c>
      <c r="J205" s="44"/>
      <c r="K205" s="41">
        <v>41525</v>
      </c>
      <c r="L205" s="41">
        <v>44446</v>
      </c>
      <c r="M205" s="30" t="s">
        <v>21</v>
      </c>
      <c r="N205" s="30" t="s">
        <v>9</v>
      </c>
      <c r="O205" s="30"/>
    </row>
    <row r="206" spans="1:15" ht="18.75" customHeight="1" x14ac:dyDescent="0.2">
      <c r="A206" s="8"/>
      <c r="B206" s="8"/>
      <c r="C206" s="3"/>
      <c r="D206" s="4"/>
      <c r="E206" s="5" t="s">
        <v>19</v>
      </c>
      <c r="F206" s="5" t="s">
        <v>194</v>
      </c>
      <c r="G206" s="20">
        <v>35.93</v>
      </c>
      <c r="H206" s="8"/>
      <c r="I206" s="8"/>
      <c r="J206" s="5"/>
      <c r="K206" s="5"/>
      <c r="L206" s="5"/>
      <c r="M206" s="5"/>
      <c r="N206" s="5"/>
      <c r="O206" s="5"/>
    </row>
    <row r="207" spans="1:15" ht="18.75" customHeight="1" x14ac:dyDescent="0.2">
      <c r="A207" s="8"/>
      <c r="B207" s="8"/>
      <c r="C207" s="3"/>
      <c r="D207" s="4"/>
      <c r="E207" s="5" t="s">
        <v>38</v>
      </c>
      <c r="F207" s="5" t="s">
        <v>195</v>
      </c>
      <c r="G207" s="20">
        <v>2.95</v>
      </c>
      <c r="H207" s="8"/>
      <c r="I207" s="8"/>
      <c r="J207" s="5"/>
      <c r="K207" s="5"/>
      <c r="L207" s="5"/>
      <c r="M207" s="5"/>
      <c r="N207" s="5"/>
      <c r="O207" s="5"/>
    </row>
    <row r="208" spans="1:15" ht="18.75" customHeight="1" x14ac:dyDescent="0.2">
      <c r="A208" s="8"/>
      <c r="B208" s="8"/>
      <c r="C208" s="3"/>
      <c r="D208" s="4"/>
      <c r="E208" s="5" t="s">
        <v>196</v>
      </c>
      <c r="F208" s="5" t="s">
        <v>197</v>
      </c>
      <c r="G208" s="20">
        <v>2.5</v>
      </c>
      <c r="H208" s="8"/>
      <c r="I208" s="8"/>
      <c r="J208" s="5"/>
      <c r="K208" s="5"/>
      <c r="L208" s="5"/>
      <c r="M208" s="5"/>
      <c r="N208" s="5"/>
      <c r="O208" s="5"/>
    </row>
    <row r="209" spans="1:16" ht="18.75" customHeight="1" x14ac:dyDescent="0.2">
      <c r="A209" s="8"/>
      <c r="B209" s="8"/>
      <c r="C209" s="3"/>
      <c r="D209" s="4"/>
      <c r="E209" s="3"/>
      <c r="F209" s="5"/>
      <c r="G209" s="3"/>
      <c r="H209" s="8"/>
      <c r="I209" s="8"/>
      <c r="J209" s="5"/>
      <c r="K209" s="5"/>
      <c r="L209" s="5"/>
      <c r="M209" s="5"/>
      <c r="N209" s="5"/>
      <c r="O209" s="5"/>
    </row>
    <row r="210" spans="1:16" s="36" customFormat="1" ht="18.75" customHeight="1" x14ac:dyDescent="0.2">
      <c r="A210" s="41">
        <v>41539</v>
      </c>
      <c r="B210" s="41">
        <v>41553</v>
      </c>
      <c r="C210" s="42">
        <v>235</v>
      </c>
      <c r="D210" s="43" t="s">
        <v>149</v>
      </c>
      <c r="E210" s="30" t="s">
        <v>19</v>
      </c>
      <c r="F210" s="30" t="s">
        <v>0</v>
      </c>
      <c r="G210" s="31">
        <v>60.57</v>
      </c>
      <c r="H210" s="42"/>
      <c r="I210" s="44">
        <v>71.69</v>
      </c>
      <c r="J210" s="44"/>
      <c r="K210" s="41">
        <v>41640</v>
      </c>
      <c r="L210" s="41">
        <v>44561</v>
      </c>
      <c r="M210" s="30" t="s">
        <v>19</v>
      </c>
      <c r="N210" s="30" t="s">
        <v>0</v>
      </c>
      <c r="O210" s="30"/>
    </row>
    <row r="211" spans="1:16" s="48" customFormat="1" ht="18.75" customHeight="1" x14ac:dyDescent="0.2">
      <c r="A211" s="8"/>
      <c r="B211" s="8"/>
      <c r="C211" s="3"/>
      <c r="D211" s="4"/>
      <c r="E211" s="5" t="s">
        <v>21</v>
      </c>
      <c r="F211" s="5" t="s">
        <v>198</v>
      </c>
      <c r="G211" s="20">
        <v>27.52</v>
      </c>
      <c r="H211" s="8"/>
      <c r="I211" s="8"/>
      <c r="J211" s="5"/>
      <c r="K211" s="5"/>
      <c r="L211" s="5"/>
      <c r="M211" s="5"/>
      <c r="N211" s="5"/>
      <c r="O211" s="5"/>
    </row>
    <row r="212" spans="1:16" ht="18.75" customHeight="1" x14ac:dyDescent="0.2">
      <c r="A212" s="8"/>
      <c r="B212" s="8"/>
      <c r="C212" s="3"/>
      <c r="D212" s="4"/>
      <c r="E212" s="5" t="s">
        <v>34</v>
      </c>
      <c r="F212" s="5" t="s">
        <v>199</v>
      </c>
      <c r="G212" s="20">
        <v>6.91</v>
      </c>
      <c r="H212" s="8"/>
      <c r="I212" s="8"/>
      <c r="J212" s="5"/>
      <c r="K212" s="5"/>
      <c r="L212" s="5"/>
      <c r="M212" s="5"/>
      <c r="N212" s="5"/>
      <c r="O212" s="5"/>
    </row>
    <row r="213" spans="1:16" ht="18.75" customHeight="1" x14ac:dyDescent="0.2">
      <c r="A213" s="8"/>
      <c r="B213" s="8"/>
      <c r="C213" s="3"/>
      <c r="D213" s="4"/>
      <c r="E213" s="5" t="s">
        <v>196</v>
      </c>
      <c r="F213" s="5" t="s">
        <v>200</v>
      </c>
      <c r="G213" s="20">
        <v>4.99</v>
      </c>
      <c r="H213" s="8"/>
      <c r="I213" s="8"/>
      <c r="J213" s="5"/>
      <c r="K213" s="5"/>
      <c r="L213" s="5"/>
      <c r="M213" s="5"/>
      <c r="N213" s="5"/>
      <c r="O213" s="5"/>
    </row>
    <row r="214" spans="1:16" ht="18.75" customHeight="1" x14ac:dyDescent="0.2">
      <c r="A214" s="8"/>
      <c r="B214" s="8"/>
      <c r="C214" s="3"/>
      <c r="D214" s="4"/>
      <c r="E214" s="3"/>
      <c r="F214" s="5"/>
      <c r="G214" s="3"/>
      <c r="H214" s="8"/>
      <c r="I214" s="8"/>
      <c r="J214" s="5"/>
      <c r="K214" s="5"/>
      <c r="L214" s="5"/>
      <c r="M214" s="5"/>
      <c r="N214" s="5"/>
      <c r="O214" s="5"/>
    </row>
    <row r="215" spans="1:16" s="36" customFormat="1" ht="18.75" customHeight="1" x14ac:dyDescent="0.2">
      <c r="A215" s="41">
        <v>41784</v>
      </c>
      <c r="B215" s="41">
        <v>41798</v>
      </c>
      <c r="C215" s="42">
        <v>132</v>
      </c>
      <c r="D215" s="43" t="s">
        <v>201</v>
      </c>
      <c r="E215" s="30" t="s">
        <v>19</v>
      </c>
      <c r="F215" s="30" t="s">
        <v>202</v>
      </c>
      <c r="G215" s="31">
        <v>72.5</v>
      </c>
      <c r="H215" s="42"/>
      <c r="I215" s="44">
        <v>54.7</v>
      </c>
      <c r="J215" s="44"/>
      <c r="K215" s="41">
        <v>41896</v>
      </c>
      <c r="L215" s="41">
        <v>44817</v>
      </c>
      <c r="M215" s="30" t="s">
        <v>19</v>
      </c>
      <c r="N215" s="30" t="s">
        <v>11</v>
      </c>
      <c r="O215" s="30"/>
      <c r="P215" s="45">
        <v>72.459999999999994</v>
      </c>
    </row>
    <row r="216" spans="1:16" ht="18.75" customHeight="1" x14ac:dyDescent="0.2">
      <c r="A216" s="8"/>
      <c r="B216" s="8"/>
      <c r="C216" s="3"/>
      <c r="D216" s="4"/>
      <c r="E216" s="3"/>
      <c r="F216" s="5"/>
      <c r="G216" s="3"/>
      <c r="H216" s="8"/>
      <c r="I216" s="8"/>
      <c r="J216" s="5"/>
      <c r="K216" s="5"/>
      <c r="L216" s="5"/>
      <c r="M216" s="5"/>
      <c r="N216" s="5"/>
      <c r="O216" s="5"/>
    </row>
    <row r="217" spans="1:16" s="36" customFormat="1" ht="18.75" customHeight="1" x14ac:dyDescent="0.2">
      <c r="A217" s="41">
        <v>41784</v>
      </c>
      <c r="B217" s="41">
        <v>41798</v>
      </c>
      <c r="C217" s="42">
        <v>141</v>
      </c>
      <c r="D217" s="43" t="s">
        <v>146</v>
      </c>
      <c r="E217" s="30" t="s">
        <v>21</v>
      </c>
      <c r="F217" s="30" t="s">
        <v>203</v>
      </c>
      <c r="G217" s="31">
        <v>55.54</v>
      </c>
      <c r="H217" s="42"/>
      <c r="I217" s="44">
        <v>58.31</v>
      </c>
      <c r="J217" s="44"/>
      <c r="K217" s="27">
        <v>41821</v>
      </c>
      <c r="L217" s="41">
        <v>44742</v>
      </c>
      <c r="M217" s="30" t="s">
        <v>21</v>
      </c>
      <c r="N217" s="30" t="s">
        <v>14</v>
      </c>
      <c r="O217" s="30"/>
    </row>
    <row r="218" spans="1:16" ht="18.75" customHeight="1" x14ac:dyDescent="0.2">
      <c r="A218" s="8"/>
      <c r="B218" s="8"/>
      <c r="C218" s="3"/>
      <c r="D218" s="4"/>
      <c r="E218" s="5" t="s">
        <v>19</v>
      </c>
      <c r="F218" s="5" t="s">
        <v>204</v>
      </c>
      <c r="G218" s="20">
        <v>38.76</v>
      </c>
      <c r="H218" s="8"/>
      <c r="I218" s="8"/>
      <c r="J218" s="5"/>
      <c r="K218" s="5"/>
      <c r="L218" s="5"/>
      <c r="M218" s="5"/>
      <c r="N218" s="5"/>
      <c r="O218" s="5"/>
    </row>
    <row r="219" spans="1:16" ht="18.75" customHeight="1" x14ac:dyDescent="0.2">
      <c r="A219" s="8"/>
      <c r="B219" s="8"/>
      <c r="C219" s="3"/>
      <c r="D219" s="4"/>
      <c r="E219" s="5" t="s">
        <v>98</v>
      </c>
      <c r="F219" s="5" t="s">
        <v>175</v>
      </c>
      <c r="G219" s="20">
        <v>5.7</v>
      </c>
      <c r="H219" s="8"/>
      <c r="I219" s="8"/>
      <c r="J219" s="5"/>
      <c r="K219" s="5"/>
      <c r="L219" s="5"/>
      <c r="M219" s="5"/>
      <c r="N219" s="5"/>
      <c r="O219" s="5"/>
    </row>
    <row r="220" spans="1:16" ht="18.75" customHeight="1" x14ac:dyDescent="0.2">
      <c r="A220" s="8"/>
      <c r="B220" s="8"/>
      <c r="C220" s="3"/>
      <c r="D220" s="4"/>
      <c r="E220" s="3"/>
      <c r="F220" s="5"/>
      <c r="G220" s="3"/>
      <c r="H220" s="8"/>
      <c r="I220" s="8"/>
      <c r="J220" s="5"/>
      <c r="K220" s="5"/>
      <c r="L220" s="5"/>
      <c r="M220" s="5"/>
      <c r="N220" s="5"/>
      <c r="O220" s="5"/>
    </row>
    <row r="221" spans="1:16" s="36" customFormat="1" ht="18.75" customHeight="1" x14ac:dyDescent="0.2">
      <c r="A221" s="41">
        <v>41910</v>
      </c>
      <c r="B221" s="41">
        <v>41924</v>
      </c>
      <c r="C221" s="42">
        <v>140</v>
      </c>
      <c r="D221" s="43" t="s">
        <v>141</v>
      </c>
      <c r="E221" s="30" t="s">
        <v>19</v>
      </c>
      <c r="F221" s="30" t="s">
        <v>206</v>
      </c>
      <c r="G221" s="31">
        <v>68.69</v>
      </c>
      <c r="H221" s="42"/>
      <c r="I221" s="44">
        <v>35.81</v>
      </c>
      <c r="J221" s="44"/>
      <c r="K221" s="41">
        <v>42127</v>
      </c>
      <c r="L221" s="41" t="s">
        <v>272</v>
      </c>
      <c r="M221" s="30" t="s">
        <v>19</v>
      </c>
      <c r="N221" s="30" t="s">
        <v>70</v>
      </c>
      <c r="O221" s="30"/>
    </row>
    <row r="222" spans="1:16" s="48" customFormat="1" ht="18.75" customHeight="1" x14ac:dyDescent="0.2">
      <c r="A222" s="8"/>
      <c r="B222" s="8"/>
      <c r="C222" s="3"/>
      <c r="D222" s="4"/>
      <c r="E222" s="5" t="s">
        <v>21</v>
      </c>
      <c r="F222" s="5" t="s">
        <v>205</v>
      </c>
      <c r="G222" s="20">
        <v>31.31</v>
      </c>
      <c r="H222" s="8"/>
      <c r="I222" s="8"/>
      <c r="J222" s="5"/>
      <c r="K222" s="5"/>
      <c r="L222" s="5"/>
      <c r="M222" s="5"/>
      <c r="N222" s="5"/>
      <c r="O222" s="5"/>
    </row>
    <row r="223" spans="1:16" ht="18.75" customHeight="1" x14ac:dyDescent="0.2">
      <c r="A223" s="8"/>
      <c r="B223" s="8"/>
      <c r="C223" s="3"/>
      <c r="D223" s="4"/>
      <c r="E223" s="3"/>
      <c r="F223" s="5"/>
      <c r="G223" s="3"/>
      <c r="H223" s="8"/>
      <c r="I223" s="8"/>
      <c r="J223" s="5"/>
      <c r="K223" s="5"/>
      <c r="L223" s="5"/>
      <c r="M223" s="5"/>
      <c r="N223" s="5"/>
      <c r="O223" s="5"/>
    </row>
    <row r="224" spans="1:16" s="36" customFormat="1" ht="18.75" customHeight="1" x14ac:dyDescent="0.2">
      <c r="A224" s="41">
        <v>42134</v>
      </c>
      <c r="B224" s="41">
        <v>42155</v>
      </c>
      <c r="C224" s="42">
        <v>131</v>
      </c>
      <c r="D224" s="43" t="s">
        <v>144</v>
      </c>
      <c r="E224" s="30" t="s">
        <v>19</v>
      </c>
      <c r="F224" s="30" t="s">
        <v>63</v>
      </c>
      <c r="G224" s="31">
        <v>75.23</v>
      </c>
      <c r="H224" s="42"/>
      <c r="I224" s="44">
        <v>29.77</v>
      </c>
      <c r="J224" s="44"/>
      <c r="K224" s="41">
        <v>42402</v>
      </c>
      <c r="L224" s="41">
        <v>44500</v>
      </c>
      <c r="M224" s="30" t="s">
        <v>19</v>
      </c>
      <c r="N224" s="30" t="s">
        <v>63</v>
      </c>
      <c r="O224" s="30"/>
    </row>
    <row r="225" spans="1:15" ht="18.75" customHeight="1" x14ac:dyDescent="0.2">
      <c r="A225" s="8"/>
      <c r="B225" s="8"/>
      <c r="C225" s="3"/>
      <c r="D225" s="4"/>
      <c r="E225" s="5" t="s">
        <v>207</v>
      </c>
      <c r="F225" s="5" t="s">
        <v>208</v>
      </c>
      <c r="G225" s="20">
        <v>24.77</v>
      </c>
      <c r="H225" s="8"/>
      <c r="I225" s="8"/>
      <c r="J225" s="5"/>
      <c r="K225" s="5"/>
      <c r="L225" s="5"/>
      <c r="M225" s="5"/>
      <c r="N225" s="5"/>
      <c r="O225" s="5"/>
    </row>
    <row r="226" spans="1:15" ht="18.75" customHeight="1" x14ac:dyDescent="0.2">
      <c r="A226" s="8"/>
      <c r="B226" s="8"/>
      <c r="C226" s="3"/>
      <c r="D226" s="4"/>
      <c r="E226" s="3"/>
      <c r="F226" s="5"/>
      <c r="G226" s="3"/>
      <c r="H226" s="8"/>
      <c r="I226" s="8"/>
      <c r="J226" s="5"/>
      <c r="K226" s="5"/>
      <c r="L226" s="5"/>
      <c r="M226" s="5"/>
      <c r="N226" s="5"/>
      <c r="O226" s="5"/>
    </row>
    <row r="227" spans="1:15" s="36" customFormat="1" ht="18.75" customHeight="1" x14ac:dyDescent="0.2">
      <c r="A227" s="41">
        <v>42176</v>
      </c>
      <c r="B227" s="41">
        <v>42190</v>
      </c>
      <c r="C227" s="42">
        <v>135</v>
      </c>
      <c r="D227" s="43" t="s">
        <v>143</v>
      </c>
      <c r="E227" s="30" t="s">
        <v>19</v>
      </c>
      <c r="F227" s="30" t="s">
        <v>127</v>
      </c>
      <c r="G227" s="31">
        <v>69.52</v>
      </c>
      <c r="H227" s="42"/>
      <c r="I227" s="44">
        <v>27.8</v>
      </c>
      <c r="J227" s="44"/>
      <c r="K227" s="41">
        <v>42309</v>
      </c>
      <c r="L227" s="41">
        <v>45230</v>
      </c>
      <c r="M227" s="30" t="s">
        <v>19</v>
      </c>
      <c r="N227" s="30" t="s">
        <v>127</v>
      </c>
      <c r="O227" s="30"/>
    </row>
    <row r="228" spans="1:15" ht="18.75" customHeight="1" x14ac:dyDescent="0.2">
      <c r="A228" s="8"/>
      <c r="B228" s="8"/>
      <c r="C228" s="3"/>
      <c r="D228" s="4"/>
      <c r="E228" s="3"/>
      <c r="F228" s="5"/>
      <c r="G228" s="3"/>
      <c r="H228" s="8"/>
      <c r="I228" s="8"/>
      <c r="J228" s="5"/>
      <c r="K228" s="5"/>
      <c r="L228" s="5"/>
      <c r="M228" s="5"/>
      <c r="N228" s="5"/>
      <c r="O228" s="5"/>
    </row>
    <row r="229" spans="1:15" s="36" customFormat="1" ht="18.75" customHeight="1" x14ac:dyDescent="0.2">
      <c r="A229" s="41">
        <v>42533</v>
      </c>
      <c r="B229" s="41">
        <v>42547</v>
      </c>
      <c r="C229" s="42">
        <v>137</v>
      </c>
      <c r="D229" s="43" t="s">
        <v>160</v>
      </c>
      <c r="E229" s="30" t="s">
        <v>19</v>
      </c>
      <c r="F229" s="30" t="s">
        <v>122</v>
      </c>
      <c r="G229" s="31">
        <v>88.34</v>
      </c>
      <c r="H229" s="42"/>
      <c r="I229" s="44">
        <v>20.76</v>
      </c>
      <c r="J229" s="44"/>
      <c r="K229" s="41">
        <v>42736</v>
      </c>
      <c r="L229" s="41">
        <v>45657</v>
      </c>
      <c r="M229" s="30" t="s">
        <v>19</v>
      </c>
      <c r="N229" s="30" t="s">
        <v>122</v>
      </c>
      <c r="O229" s="30"/>
    </row>
    <row r="230" spans="1:15" ht="18.75" customHeight="1" x14ac:dyDescent="0.2">
      <c r="A230" s="8"/>
      <c r="B230" s="8"/>
      <c r="C230" s="3"/>
      <c r="D230" s="4"/>
      <c r="E230" s="3"/>
      <c r="F230" s="5"/>
      <c r="G230" s="3"/>
      <c r="H230" s="8"/>
      <c r="I230" s="8"/>
      <c r="J230" s="5"/>
      <c r="K230" s="5"/>
      <c r="L230" s="5"/>
      <c r="M230" s="5"/>
      <c r="N230" s="5"/>
      <c r="O230" s="5"/>
    </row>
    <row r="231" spans="1:15" ht="18.75" customHeight="1" x14ac:dyDescent="0.2">
      <c r="A231" s="51">
        <v>42799</v>
      </c>
      <c r="B231" s="51">
        <v>42813</v>
      </c>
      <c r="C231" s="42">
        <v>337</v>
      </c>
      <c r="D231" s="43" t="s">
        <v>164</v>
      </c>
      <c r="E231" s="43" t="s">
        <v>19</v>
      </c>
      <c r="F231" s="43" t="s">
        <v>113</v>
      </c>
      <c r="G231" s="38">
        <v>68.89</v>
      </c>
      <c r="H231" s="43"/>
      <c r="I231" s="44">
        <v>38.33</v>
      </c>
      <c r="J231" s="43"/>
      <c r="K231" s="51">
        <v>43058</v>
      </c>
      <c r="L231" s="51">
        <v>45979</v>
      </c>
      <c r="M231" s="43" t="s">
        <v>19</v>
      </c>
      <c r="N231" s="43" t="s">
        <v>113</v>
      </c>
    </row>
    <row r="232" spans="1:15" ht="18.75" customHeight="1" x14ac:dyDescent="0.2">
      <c r="E232" s="4" t="s">
        <v>34</v>
      </c>
      <c r="F232" s="4" t="s">
        <v>209</v>
      </c>
      <c r="G232" s="21">
        <v>20.72</v>
      </c>
    </row>
    <row r="233" spans="1:15" ht="18.75" customHeight="1" x14ac:dyDescent="0.2">
      <c r="E233" s="4" t="s">
        <v>210</v>
      </c>
      <c r="F233" s="4" t="s">
        <v>211</v>
      </c>
      <c r="G233" s="21">
        <v>10.39</v>
      </c>
    </row>
    <row r="234" spans="1:15" ht="18.75" customHeight="1" x14ac:dyDescent="0.2"/>
    <row r="235" spans="1:15" ht="18.75" customHeight="1" x14ac:dyDescent="0.2">
      <c r="A235" s="41">
        <v>42813</v>
      </c>
      <c r="B235" s="41">
        <v>42827</v>
      </c>
      <c r="C235" s="42">
        <v>133</v>
      </c>
      <c r="D235" s="43" t="s">
        <v>145</v>
      </c>
      <c r="E235" s="43" t="s">
        <v>19</v>
      </c>
      <c r="F235" s="30" t="s">
        <v>212</v>
      </c>
      <c r="G235" s="38">
        <v>43.45</v>
      </c>
      <c r="H235" s="38">
        <v>58.72</v>
      </c>
      <c r="I235" s="42">
        <v>37.979999999999997</v>
      </c>
      <c r="J235" s="42">
        <v>34.56</v>
      </c>
      <c r="K235" s="53">
        <v>42924</v>
      </c>
      <c r="L235" s="53">
        <v>45845</v>
      </c>
      <c r="M235" s="30" t="s">
        <v>19</v>
      </c>
      <c r="N235" s="30" t="s">
        <v>120</v>
      </c>
    </row>
    <row r="236" spans="1:15" x14ac:dyDescent="0.2">
      <c r="E236" s="10" t="s">
        <v>21</v>
      </c>
      <c r="F236" s="48" t="s">
        <v>121</v>
      </c>
      <c r="G236" s="54">
        <v>40.049999999999997</v>
      </c>
      <c r="H236" s="54">
        <v>41.28</v>
      </c>
    </row>
    <row r="237" spans="1:15" x14ac:dyDescent="0.2">
      <c r="E237" s="10" t="s">
        <v>213</v>
      </c>
      <c r="F237" s="52" t="s">
        <v>214</v>
      </c>
      <c r="G237" s="54">
        <v>12.52</v>
      </c>
      <c r="H237" s="54"/>
    </row>
    <row r="238" spans="1:15" x14ac:dyDescent="0.2">
      <c r="E238" s="10" t="s">
        <v>215</v>
      </c>
      <c r="F238" s="52" t="s">
        <v>216</v>
      </c>
      <c r="G238" s="54">
        <v>3.98</v>
      </c>
      <c r="H238" s="54"/>
    </row>
    <row r="239" spans="1:15" x14ac:dyDescent="0.2">
      <c r="H239" s="54"/>
    </row>
    <row r="240" spans="1:15" x14ac:dyDescent="0.2">
      <c r="A240" s="41">
        <v>42862</v>
      </c>
      <c r="B240" s="41">
        <v>42876</v>
      </c>
      <c r="C240" s="42">
        <v>143</v>
      </c>
      <c r="D240" s="43" t="s">
        <v>147</v>
      </c>
      <c r="E240" s="43" t="s">
        <v>19</v>
      </c>
      <c r="F240" s="56" t="s">
        <v>94</v>
      </c>
      <c r="G240" s="38">
        <v>88.87</v>
      </c>
      <c r="H240" s="38"/>
      <c r="I240" s="42">
        <v>32.03</v>
      </c>
      <c r="J240" s="42"/>
      <c r="K240" s="53">
        <v>43019</v>
      </c>
      <c r="L240" s="53">
        <v>45940</v>
      </c>
      <c r="M240" s="30" t="s">
        <v>19</v>
      </c>
      <c r="N240" s="30" t="s">
        <v>94</v>
      </c>
    </row>
    <row r="241" spans="1:14" x14ac:dyDescent="0.2">
      <c r="H241" s="54"/>
    </row>
    <row r="242" spans="1:14" x14ac:dyDescent="0.2">
      <c r="A242" s="41">
        <v>42862</v>
      </c>
      <c r="B242" s="41">
        <v>42876</v>
      </c>
      <c r="C242" s="42">
        <v>333</v>
      </c>
      <c r="D242" s="43" t="s">
        <v>152</v>
      </c>
      <c r="E242" s="43" t="s">
        <v>217</v>
      </c>
      <c r="F242" s="56" t="s">
        <v>218</v>
      </c>
      <c r="G242" s="38">
        <v>51.92</v>
      </c>
      <c r="H242" s="38"/>
      <c r="I242" s="42">
        <v>43.15</v>
      </c>
      <c r="J242" s="42"/>
      <c r="K242" s="53">
        <v>43001</v>
      </c>
      <c r="L242" s="53">
        <v>45922</v>
      </c>
      <c r="M242" s="30" t="s">
        <v>21</v>
      </c>
      <c r="N242" s="30" t="s">
        <v>56</v>
      </c>
    </row>
    <row r="243" spans="1:14" x14ac:dyDescent="0.2">
      <c r="E243" s="4" t="s">
        <v>21</v>
      </c>
      <c r="F243" s="16" t="s">
        <v>219</v>
      </c>
      <c r="G243" s="21">
        <v>40.57</v>
      </c>
      <c r="H243" s="54"/>
    </row>
    <row r="244" spans="1:14" x14ac:dyDescent="0.2">
      <c r="E244" s="4" t="s">
        <v>220</v>
      </c>
      <c r="F244" s="16" t="s">
        <v>221</v>
      </c>
      <c r="G244" s="20">
        <v>7.5</v>
      </c>
      <c r="H244" s="54"/>
    </row>
    <row r="245" spans="1:14" x14ac:dyDescent="0.2">
      <c r="H245" s="54"/>
    </row>
    <row r="246" spans="1:14" x14ac:dyDescent="0.2">
      <c r="A246" s="41">
        <v>42862</v>
      </c>
      <c r="B246" s="41">
        <v>42876</v>
      </c>
      <c r="C246" s="42">
        <v>340</v>
      </c>
      <c r="D246" s="43" t="s">
        <v>157</v>
      </c>
      <c r="E246" s="43" t="s">
        <v>19</v>
      </c>
      <c r="F246" s="30" t="s">
        <v>222</v>
      </c>
      <c r="G246" s="38">
        <v>53.79</v>
      </c>
      <c r="H246" s="38"/>
      <c r="I246" s="42">
        <v>43.53</v>
      </c>
      <c r="J246" s="42"/>
      <c r="K246" s="53">
        <v>43009</v>
      </c>
      <c r="L246" s="53">
        <v>45930</v>
      </c>
      <c r="M246" s="30" t="s">
        <v>19</v>
      </c>
      <c r="N246" s="30" t="s">
        <v>52</v>
      </c>
    </row>
    <row r="247" spans="1:14" x14ac:dyDescent="0.2">
      <c r="E247" s="10" t="s">
        <v>21</v>
      </c>
      <c r="F247" s="48" t="s">
        <v>223</v>
      </c>
      <c r="G247" s="54">
        <v>46.21</v>
      </c>
      <c r="H247" s="54"/>
    </row>
    <row r="248" spans="1:14" x14ac:dyDescent="0.2">
      <c r="H248" s="54"/>
    </row>
    <row r="249" spans="1:14" x14ac:dyDescent="0.2">
      <c r="A249" s="41">
        <v>42869</v>
      </c>
      <c r="B249" s="41">
        <v>42883</v>
      </c>
      <c r="C249" s="42">
        <v>334</v>
      </c>
      <c r="D249" s="43" t="s">
        <v>153</v>
      </c>
      <c r="E249" s="43" t="s">
        <v>19</v>
      </c>
      <c r="F249" s="56" t="s">
        <v>42</v>
      </c>
      <c r="G249" s="38">
        <v>65.62</v>
      </c>
      <c r="H249" s="38"/>
      <c r="I249" s="42">
        <v>42.88</v>
      </c>
      <c r="J249" s="42"/>
      <c r="K249" s="53">
        <v>43027</v>
      </c>
      <c r="L249" s="53">
        <v>45948</v>
      </c>
      <c r="M249" s="30" t="s">
        <v>19</v>
      </c>
      <c r="N249" s="30" t="s">
        <v>42</v>
      </c>
    </row>
    <row r="250" spans="1:14" x14ac:dyDescent="0.2">
      <c r="E250" s="10" t="s">
        <v>21</v>
      </c>
      <c r="F250" s="55" t="s">
        <v>224</v>
      </c>
      <c r="G250" s="54">
        <v>34.380000000000003</v>
      </c>
      <c r="H250" s="54"/>
    </row>
    <row r="251" spans="1:14" x14ac:dyDescent="0.2">
      <c r="H251" s="54"/>
    </row>
    <row r="252" spans="1:14" x14ac:dyDescent="0.2">
      <c r="A252" s="41">
        <v>42897</v>
      </c>
      <c r="B252" s="41">
        <v>42911</v>
      </c>
      <c r="C252" s="42">
        <v>337</v>
      </c>
      <c r="D252" s="43" t="s">
        <v>140</v>
      </c>
      <c r="E252" s="43" t="s">
        <v>19</v>
      </c>
      <c r="F252" s="56" t="s">
        <v>226</v>
      </c>
      <c r="G252" s="38">
        <v>50.12</v>
      </c>
      <c r="H252" s="38"/>
      <c r="I252" s="42">
        <v>44.15</v>
      </c>
      <c r="J252" s="42"/>
      <c r="K252" s="53">
        <v>43009</v>
      </c>
      <c r="L252" s="53">
        <v>45930</v>
      </c>
      <c r="M252" s="30" t="s">
        <v>21</v>
      </c>
      <c r="N252" s="30" t="s">
        <v>9</v>
      </c>
    </row>
    <row r="253" spans="1:14" x14ac:dyDescent="0.2">
      <c r="E253" s="10" t="s">
        <v>21</v>
      </c>
      <c r="F253" s="52" t="s">
        <v>225</v>
      </c>
      <c r="G253" s="57">
        <v>42.4</v>
      </c>
      <c r="H253" s="54"/>
    </row>
    <row r="254" spans="1:14" x14ac:dyDescent="0.2">
      <c r="E254" s="10" t="s">
        <v>34</v>
      </c>
      <c r="F254" s="52" t="s">
        <v>227</v>
      </c>
      <c r="G254" s="54">
        <v>7.48</v>
      </c>
      <c r="H254" s="54"/>
    </row>
    <row r="255" spans="1:14" x14ac:dyDescent="0.2">
      <c r="H255" s="54"/>
    </row>
    <row r="256" spans="1:14" x14ac:dyDescent="0.2">
      <c r="A256" s="41">
        <v>42897</v>
      </c>
      <c r="B256" s="41">
        <v>42911</v>
      </c>
      <c r="C256" s="42">
        <v>336</v>
      </c>
      <c r="D256" s="43" t="s">
        <v>155</v>
      </c>
      <c r="E256" s="43" t="s">
        <v>19</v>
      </c>
      <c r="F256" s="56" t="s">
        <v>228</v>
      </c>
      <c r="G256" s="38">
        <v>30.27</v>
      </c>
      <c r="H256" s="38">
        <v>54.72</v>
      </c>
      <c r="I256" s="42">
        <v>42.66</v>
      </c>
      <c r="J256" s="42">
        <v>36.369999999999997</v>
      </c>
      <c r="K256" s="53">
        <v>43022</v>
      </c>
      <c r="L256" s="53">
        <v>45943</v>
      </c>
      <c r="M256" s="30" t="s">
        <v>21</v>
      </c>
      <c r="N256" s="30" t="s">
        <v>45</v>
      </c>
    </row>
    <row r="257" spans="1:14" x14ac:dyDescent="0.2">
      <c r="E257" s="10" t="s">
        <v>21</v>
      </c>
      <c r="F257" s="55" t="s">
        <v>229</v>
      </c>
      <c r="G257" s="54">
        <v>37.78</v>
      </c>
      <c r="H257" s="54">
        <v>45.28</v>
      </c>
    </row>
    <row r="258" spans="1:14" x14ac:dyDescent="0.2">
      <c r="E258" s="10" t="s">
        <v>55</v>
      </c>
      <c r="F258" s="55" t="s">
        <v>230</v>
      </c>
      <c r="G258" s="54">
        <v>18.64</v>
      </c>
    </row>
    <row r="259" spans="1:14" x14ac:dyDescent="0.2">
      <c r="E259" s="10" t="s">
        <v>231</v>
      </c>
      <c r="F259" s="55" t="s">
        <v>232</v>
      </c>
      <c r="G259" s="54">
        <v>6.46</v>
      </c>
    </row>
    <row r="260" spans="1:14" x14ac:dyDescent="0.2">
      <c r="E260" s="10" t="s">
        <v>233</v>
      </c>
      <c r="F260" s="55" t="s">
        <v>234</v>
      </c>
      <c r="G260" s="54">
        <v>5.84</v>
      </c>
    </row>
    <row r="262" spans="1:14" x14ac:dyDescent="0.2">
      <c r="A262" s="51">
        <v>42897</v>
      </c>
      <c r="B262" s="51">
        <v>42911</v>
      </c>
      <c r="C262" s="42">
        <v>339</v>
      </c>
      <c r="D262" s="43" t="s">
        <v>158</v>
      </c>
      <c r="E262" s="43" t="s">
        <v>19</v>
      </c>
      <c r="F262" s="33" t="s">
        <v>116</v>
      </c>
      <c r="G262" s="31">
        <v>49.8</v>
      </c>
      <c r="H262" s="38">
        <v>65.09</v>
      </c>
      <c r="I262" s="42">
        <v>37.130000000000003</v>
      </c>
      <c r="J262" s="42">
        <v>32.39</v>
      </c>
      <c r="K262" s="51">
        <v>43009</v>
      </c>
      <c r="L262" s="51">
        <v>45930</v>
      </c>
      <c r="M262" s="43" t="s">
        <v>26</v>
      </c>
      <c r="N262" s="43" t="s">
        <v>29</v>
      </c>
    </row>
    <row r="263" spans="1:14" x14ac:dyDescent="0.2">
      <c r="E263" s="10" t="s">
        <v>21</v>
      </c>
      <c r="F263" s="55" t="s">
        <v>235</v>
      </c>
      <c r="G263" s="54">
        <v>31.92</v>
      </c>
      <c r="H263" s="54">
        <v>34.909999999999997</v>
      </c>
    </row>
    <row r="264" spans="1:14" x14ac:dyDescent="0.2">
      <c r="E264" s="10" t="s">
        <v>34</v>
      </c>
      <c r="F264" s="55" t="s">
        <v>236</v>
      </c>
      <c r="G264" s="54">
        <v>12.62</v>
      </c>
    </row>
    <row r="265" spans="1:14" x14ac:dyDescent="0.2">
      <c r="E265" s="10" t="s">
        <v>38</v>
      </c>
      <c r="F265" s="55" t="s">
        <v>237</v>
      </c>
      <c r="G265" s="54"/>
    </row>
    <row r="267" spans="1:14" x14ac:dyDescent="0.2">
      <c r="A267" s="41">
        <v>43002</v>
      </c>
      <c r="B267" s="41">
        <v>43023</v>
      </c>
      <c r="C267" s="42">
        <v>138</v>
      </c>
      <c r="D267" s="43" t="s">
        <v>161</v>
      </c>
      <c r="E267" s="43" t="s">
        <v>19</v>
      </c>
      <c r="F267" s="56" t="s">
        <v>92</v>
      </c>
      <c r="G267" s="38">
        <v>52.74</v>
      </c>
      <c r="H267" s="42"/>
      <c r="I267" s="42">
        <v>73.23</v>
      </c>
      <c r="J267" s="42"/>
      <c r="K267" s="53">
        <v>43101</v>
      </c>
      <c r="L267" s="53">
        <v>46022</v>
      </c>
      <c r="M267" s="30" t="s">
        <v>21</v>
      </c>
      <c r="N267" s="30" t="s">
        <v>22</v>
      </c>
    </row>
    <row r="268" spans="1:14" x14ac:dyDescent="0.2">
      <c r="E268" s="10" t="s">
        <v>21</v>
      </c>
      <c r="F268" s="55" t="s">
        <v>238</v>
      </c>
      <c r="G268" s="54">
        <v>47.26</v>
      </c>
    </row>
    <row r="270" spans="1:14" x14ac:dyDescent="0.2">
      <c r="A270" s="41">
        <v>43002</v>
      </c>
      <c r="B270" s="41">
        <v>43023</v>
      </c>
      <c r="C270" s="42">
        <v>232</v>
      </c>
      <c r="D270" s="43" t="s">
        <v>163</v>
      </c>
      <c r="E270" s="43" t="s">
        <v>239</v>
      </c>
      <c r="F270" s="56" t="s">
        <v>101</v>
      </c>
      <c r="G270" s="31">
        <v>88.4</v>
      </c>
      <c r="H270" s="42"/>
      <c r="I270" s="42">
        <v>71.180000000000007</v>
      </c>
      <c r="J270" s="42"/>
      <c r="K270" s="53">
        <v>43085</v>
      </c>
      <c r="L270" s="53">
        <v>44530</v>
      </c>
      <c r="M270" s="30" t="s">
        <v>26</v>
      </c>
      <c r="N270" s="30" t="s">
        <v>101</v>
      </c>
    </row>
    <row r="272" spans="1:14" x14ac:dyDescent="0.2">
      <c r="A272" s="41">
        <v>43002</v>
      </c>
      <c r="B272" s="41">
        <v>43023</v>
      </c>
      <c r="C272" s="42">
        <v>335</v>
      </c>
      <c r="D272" s="43" t="s">
        <v>154</v>
      </c>
      <c r="E272" s="43" t="s">
        <v>19</v>
      </c>
      <c r="F272" s="56" t="s">
        <v>240</v>
      </c>
      <c r="G272" s="31">
        <v>43.5</v>
      </c>
      <c r="H272" s="38">
        <v>53.22</v>
      </c>
      <c r="I272" s="58">
        <v>75</v>
      </c>
      <c r="J272" s="42">
        <v>40.6</v>
      </c>
      <c r="K272" s="53">
        <v>43078</v>
      </c>
      <c r="L272" s="53">
        <v>45999</v>
      </c>
      <c r="M272" s="30" t="s">
        <v>19</v>
      </c>
      <c r="N272" s="30" t="s">
        <v>32</v>
      </c>
    </row>
    <row r="273" spans="1:14" x14ac:dyDescent="0.2">
      <c r="E273" s="10" t="s">
        <v>21</v>
      </c>
      <c r="F273" s="55" t="s">
        <v>241</v>
      </c>
      <c r="G273" s="54">
        <v>36.08</v>
      </c>
      <c r="H273" s="54">
        <v>45.78</v>
      </c>
    </row>
    <row r="274" spans="1:14" x14ac:dyDescent="0.2">
      <c r="E274" s="10" t="s">
        <v>55</v>
      </c>
      <c r="F274" s="55" t="s">
        <v>242</v>
      </c>
      <c r="G274" s="54">
        <v>20.420000000000002</v>
      </c>
    </row>
    <row r="276" spans="1:14" x14ac:dyDescent="0.2">
      <c r="A276" s="41">
        <v>43338</v>
      </c>
      <c r="B276" s="41">
        <v>43359</v>
      </c>
      <c r="C276" s="42">
        <v>134</v>
      </c>
      <c r="D276" s="43" t="s">
        <v>139</v>
      </c>
      <c r="E276" s="43" t="s">
        <v>19</v>
      </c>
      <c r="F276" s="56" t="s">
        <v>90</v>
      </c>
      <c r="G276" s="38">
        <v>59.25</v>
      </c>
      <c r="H276" s="42"/>
      <c r="I276" s="42">
        <v>29.29</v>
      </c>
      <c r="J276" s="42"/>
      <c r="K276" s="53">
        <v>43516</v>
      </c>
      <c r="L276" s="53">
        <v>46568</v>
      </c>
      <c r="M276" s="30" t="s">
        <v>21</v>
      </c>
      <c r="N276" s="30" t="s">
        <v>16</v>
      </c>
    </row>
    <row r="277" spans="1:14" x14ac:dyDescent="0.2">
      <c r="B277" s="3"/>
      <c r="C277" s="3"/>
      <c r="D277" s="4"/>
      <c r="E277" s="4" t="s">
        <v>21</v>
      </c>
      <c r="F277" s="16" t="s">
        <v>243</v>
      </c>
      <c r="G277" s="21">
        <v>22.52</v>
      </c>
      <c r="H277" s="3"/>
      <c r="I277" s="3"/>
      <c r="J277" s="3"/>
      <c r="K277" s="5"/>
      <c r="L277" s="5"/>
      <c r="M277" s="5"/>
      <c r="N277" s="5"/>
    </row>
    <row r="278" spans="1:14" x14ac:dyDescent="0.2">
      <c r="B278" s="3"/>
      <c r="C278" s="3"/>
      <c r="D278" s="4"/>
      <c r="E278" s="4" t="s">
        <v>244</v>
      </c>
      <c r="F278" s="16" t="s">
        <v>245</v>
      </c>
      <c r="G278" s="20">
        <v>11.6</v>
      </c>
      <c r="H278" s="3"/>
      <c r="I278" s="3"/>
      <c r="J278" s="3"/>
      <c r="K278" s="5"/>
      <c r="L278" s="5"/>
      <c r="M278" s="5"/>
      <c r="N278" s="5"/>
    </row>
    <row r="279" spans="1:14" x14ac:dyDescent="0.2">
      <c r="B279" s="3"/>
      <c r="C279" s="3"/>
      <c r="D279" s="4"/>
      <c r="E279" s="4" t="s">
        <v>246</v>
      </c>
      <c r="F279" s="16" t="s">
        <v>247</v>
      </c>
      <c r="G279" s="21">
        <v>6.63</v>
      </c>
      <c r="H279" s="3"/>
      <c r="I279" s="3"/>
      <c r="J279" s="3"/>
      <c r="K279" s="5"/>
      <c r="L279" s="5"/>
      <c r="M279" s="5"/>
      <c r="N279" s="5"/>
    </row>
    <row r="280" spans="1:14" x14ac:dyDescent="0.2">
      <c r="B280" s="3"/>
      <c r="C280" s="3"/>
      <c r="D280" s="4"/>
      <c r="E280" s="3"/>
      <c r="F280" s="5"/>
      <c r="G280" s="3"/>
      <c r="H280" s="3"/>
      <c r="I280" s="3"/>
      <c r="J280" s="3"/>
      <c r="K280" s="5"/>
      <c r="L280" s="5"/>
      <c r="M280" s="5"/>
      <c r="N280" s="5"/>
    </row>
    <row r="281" spans="1:14" x14ac:dyDescent="0.2">
      <c r="A281" s="41">
        <v>43429</v>
      </c>
      <c r="B281" s="41">
        <v>43443</v>
      </c>
      <c r="C281" s="42">
        <v>231</v>
      </c>
      <c r="D281" s="43" t="s">
        <v>159</v>
      </c>
      <c r="E281" s="43" t="s">
        <v>19</v>
      </c>
      <c r="F281" s="56" t="s">
        <v>177</v>
      </c>
      <c r="G281" s="38">
        <v>84.97</v>
      </c>
      <c r="H281" s="42"/>
      <c r="I281" s="58">
        <v>24</v>
      </c>
      <c r="J281" s="42"/>
      <c r="K281" s="53">
        <v>43587</v>
      </c>
      <c r="L281" s="53" t="s">
        <v>304</v>
      </c>
      <c r="M281" s="30" t="s">
        <v>19</v>
      </c>
      <c r="N281" s="30" t="s">
        <v>177</v>
      </c>
    </row>
    <row r="282" spans="1:14" x14ac:dyDescent="0.2">
      <c r="G282" s="54"/>
    </row>
    <row r="283" spans="1:14" x14ac:dyDescent="0.2">
      <c r="A283" s="41">
        <v>43611</v>
      </c>
      <c r="B283" s="41">
        <v>43632</v>
      </c>
      <c r="C283" s="42">
        <v>132</v>
      </c>
      <c r="D283" s="43" t="s">
        <v>248</v>
      </c>
      <c r="E283" s="43" t="s">
        <v>19</v>
      </c>
      <c r="F283" s="56" t="s">
        <v>249</v>
      </c>
      <c r="G283" s="38">
        <v>54.9</v>
      </c>
      <c r="H283" s="42"/>
      <c r="I283" s="42">
        <v>60.6</v>
      </c>
      <c r="J283" s="42"/>
      <c r="K283" s="53">
        <v>43709</v>
      </c>
      <c r="L283" s="53">
        <v>46630</v>
      </c>
      <c r="M283" s="30" t="s">
        <v>19</v>
      </c>
      <c r="N283" s="30" t="s">
        <v>11</v>
      </c>
    </row>
    <row r="284" spans="1:14" x14ac:dyDescent="0.2">
      <c r="E284" s="10" t="s">
        <v>21</v>
      </c>
      <c r="F284" s="48" t="s">
        <v>250</v>
      </c>
      <c r="G284" s="54">
        <v>45.1</v>
      </c>
      <c r="H284" s="54"/>
    </row>
    <row r="285" spans="1:14" x14ac:dyDescent="0.2">
      <c r="H285" s="54"/>
    </row>
    <row r="286" spans="1:14" x14ac:dyDescent="0.2">
      <c r="A286" s="41">
        <v>43611</v>
      </c>
      <c r="B286" s="41">
        <v>43632</v>
      </c>
      <c r="C286" s="42">
        <v>331</v>
      </c>
      <c r="D286" s="43" t="s">
        <v>150</v>
      </c>
      <c r="E286" s="43" t="s">
        <v>21</v>
      </c>
      <c r="F286" s="56" t="s">
        <v>251</v>
      </c>
      <c r="G286" s="38">
        <v>41.2</v>
      </c>
      <c r="H286" s="60">
        <v>51</v>
      </c>
      <c r="I286" s="42">
        <v>65.5</v>
      </c>
      <c r="J286" s="42">
        <v>39.799999999999997</v>
      </c>
      <c r="K286" s="53">
        <v>43831</v>
      </c>
      <c r="L286" s="53">
        <v>46752</v>
      </c>
      <c r="M286" s="30" t="s">
        <v>21</v>
      </c>
      <c r="N286" s="30" t="s">
        <v>4</v>
      </c>
    </row>
    <row r="287" spans="1:14" x14ac:dyDescent="0.2">
      <c r="E287" s="10" t="s">
        <v>19</v>
      </c>
      <c r="F287" s="55" t="s">
        <v>252</v>
      </c>
      <c r="G287" s="54">
        <v>40.5</v>
      </c>
      <c r="H287" s="59">
        <v>49</v>
      </c>
    </row>
    <row r="288" spans="1:14" x14ac:dyDescent="0.2">
      <c r="E288" s="10" t="s">
        <v>34</v>
      </c>
      <c r="F288" s="55" t="s">
        <v>253</v>
      </c>
      <c r="G288" s="54">
        <v>18.399999999999999</v>
      </c>
      <c r="H288" s="59"/>
    </row>
    <row r="289" spans="1:14" x14ac:dyDescent="0.2">
      <c r="H289" s="54"/>
    </row>
    <row r="290" spans="1:14" s="36" customFormat="1" x14ac:dyDescent="0.2">
      <c r="A290" s="41">
        <v>44143</v>
      </c>
      <c r="B290" s="41">
        <v>44157</v>
      </c>
      <c r="C290" s="42">
        <v>332</v>
      </c>
      <c r="D290" s="43" t="s">
        <v>151</v>
      </c>
      <c r="E290" s="43" t="s">
        <v>19</v>
      </c>
      <c r="F290" s="56" t="s">
        <v>192</v>
      </c>
      <c r="G290" s="38">
        <v>58.9</v>
      </c>
      <c r="H290" s="38"/>
      <c r="I290" s="42">
        <v>42.5</v>
      </c>
      <c r="J290" s="42"/>
      <c r="K290" s="53">
        <v>44303</v>
      </c>
      <c r="L290" s="53">
        <v>47224</v>
      </c>
      <c r="M290" s="30" t="s">
        <v>19</v>
      </c>
      <c r="N290" s="30" t="s">
        <v>192</v>
      </c>
    </row>
    <row r="291" spans="1:14" x14ac:dyDescent="0.2">
      <c r="A291" s="3"/>
      <c r="B291" s="3"/>
      <c r="C291" s="3"/>
      <c r="D291" s="4"/>
      <c r="E291" s="4" t="s">
        <v>21</v>
      </c>
      <c r="F291" s="16" t="s">
        <v>254</v>
      </c>
      <c r="G291" s="21">
        <v>41.1</v>
      </c>
      <c r="H291" s="21"/>
      <c r="I291" s="3"/>
      <c r="J291" s="3"/>
      <c r="K291" s="5"/>
      <c r="L291" s="5"/>
      <c r="M291" s="5"/>
      <c r="N291" s="5"/>
    </row>
    <row r="292" spans="1:14" x14ac:dyDescent="0.2">
      <c r="H292" s="54"/>
    </row>
    <row r="293" spans="1:14" x14ac:dyDescent="0.2">
      <c r="A293" s="41">
        <v>44164</v>
      </c>
      <c r="B293" s="41">
        <v>44178</v>
      </c>
      <c r="C293" s="42">
        <v>233</v>
      </c>
      <c r="D293" s="43" t="s">
        <v>162</v>
      </c>
      <c r="E293" s="43" t="s">
        <v>21</v>
      </c>
      <c r="F293" s="56" t="s">
        <v>255</v>
      </c>
      <c r="G293" s="38">
        <v>66.400000000000006</v>
      </c>
      <c r="H293" s="38"/>
      <c r="I293" s="42">
        <v>46.6</v>
      </c>
      <c r="J293" s="42"/>
      <c r="K293" s="53">
        <v>44287</v>
      </c>
      <c r="L293" s="53">
        <v>47208</v>
      </c>
      <c r="M293" s="30" t="s">
        <v>26</v>
      </c>
      <c r="N293" s="30" t="s">
        <v>190</v>
      </c>
    </row>
    <row r="294" spans="1:14" x14ac:dyDescent="0.2">
      <c r="A294" s="3"/>
      <c r="B294" s="3"/>
      <c r="C294" s="3"/>
      <c r="D294" s="4"/>
      <c r="E294" s="4" t="s">
        <v>189</v>
      </c>
      <c r="F294" s="16" t="s">
        <v>190</v>
      </c>
      <c r="G294" s="21">
        <v>33.6</v>
      </c>
      <c r="H294" s="21"/>
      <c r="I294" s="3"/>
      <c r="J294" s="3"/>
      <c r="K294" s="5"/>
      <c r="L294" s="5"/>
      <c r="M294" s="5"/>
      <c r="N294" s="5"/>
    </row>
    <row r="295" spans="1:14" x14ac:dyDescent="0.2">
      <c r="H295" s="54"/>
    </row>
    <row r="296" spans="1:14" x14ac:dyDescent="0.2">
      <c r="A296" s="41">
        <v>44465</v>
      </c>
      <c r="B296" s="41">
        <v>44479</v>
      </c>
      <c r="C296" s="42">
        <v>232</v>
      </c>
      <c r="D296" s="43" t="s">
        <v>163</v>
      </c>
      <c r="E296" s="43" t="s">
        <v>256</v>
      </c>
      <c r="F296" s="30" t="s">
        <v>257</v>
      </c>
      <c r="G296" s="38">
        <v>64.5</v>
      </c>
      <c r="H296" s="38"/>
      <c r="I296" s="42">
        <v>67.400000000000006</v>
      </c>
      <c r="J296" s="42"/>
      <c r="K296" s="53">
        <v>44531</v>
      </c>
      <c r="L296" s="53">
        <v>47452</v>
      </c>
      <c r="M296" s="30" t="s">
        <v>26</v>
      </c>
      <c r="N296" s="30" t="s">
        <v>101</v>
      </c>
    </row>
    <row r="297" spans="1:14" x14ac:dyDescent="0.2">
      <c r="A297" s="3"/>
      <c r="B297" s="3"/>
      <c r="C297" s="3"/>
      <c r="D297" s="4"/>
      <c r="E297" s="4" t="s">
        <v>55</v>
      </c>
      <c r="F297" s="16" t="s">
        <v>258</v>
      </c>
      <c r="G297" s="21">
        <v>35.5</v>
      </c>
      <c r="H297" s="21"/>
      <c r="I297" s="3"/>
      <c r="J297" s="3"/>
      <c r="K297" s="5"/>
      <c r="L297" s="5"/>
      <c r="M297" s="5"/>
      <c r="N297" s="5"/>
    </row>
    <row r="298" spans="1:14" x14ac:dyDescent="0.2">
      <c r="A298" s="3"/>
      <c r="B298" s="3"/>
      <c r="C298" s="3"/>
      <c r="D298" s="4"/>
      <c r="E298" s="3"/>
      <c r="F298" s="5"/>
      <c r="G298" s="3"/>
      <c r="H298" s="21"/>
      <c r="I298" s="3"/>
      <c r="J298" s="3"/>
      <c r="K298" s="5"/>
      <c r="L298" s="5"/>
      <c r="M298" s="5"/>
      <c r="N298" s="5"/>
    </row>
    <row r="299" spans="1:14" x14ac:dyDescent="0.2">
      <c r="A299" s="41">
        <v>44465</v>
      </c>
      <c r="B299" s="41">
        <v>44479</v>
      </c>
      <c r="C299" s="42">
        <v>235</v>
      </c>
      <c r="D299" s="43" t="s">
        <v>149</v>
      </c>
      <c r="E299" s="43" t="s">
        <v>21</v>
      </c>
      <c r="F299" s="30" t="s">
        <v>259</v>
      </c>
      <c r="G299" s="38">
        <v>32.4</v>
      </c>
      <c r="H299" s="38">
        <v>68.3</v>
      </c>
      <c r="I299" s="42">
        <v>72.900000000000006</v>
      </c>
      <c r="J299" s="42">
        <v>46.4</v>
      </c>
      <c r="K299" s="53">
        <v>44562</v>
      </c>
      <c r="L299" s="53">
        <v>47483</v>
      </c>
      <c r="M299" s="30" t="s">
        <v>19</v>
      </c>
      <c r="N299" s="30" t="s">
        <v>0</v>
      </c>
    </row>
    <row r="300" spans="1:14" x14ac:dyDescent="0.2">
      <c r="A300" s="3"/>
      <c r="B300" s="3"/>
      <c r="C300" s="3"/>
      <c r="D300" s="4"/>
      <c r="E300" s="4" t="s">
        <v>19</v>
      </c>
      <c r="F300" s="5" t="s">
        <v>0</v>
      </c>
      <c r="G300" s="21">
        <v>31.3</v>
      </c>
      <c r="H300" s="21">
        <v>31.7</v>
      </c>
      <c r="I300" s="3"/>
      <c r="J300" s="3"/>
      <c r="K300" s="5"/>
      <c r="L300" s="5"/>
      <c r="M300" s="5"/>
      <c r="N300" s="5"/>
    </row>
    <row r="301" spans="1:14" x14ac:dyDescent="0.2">
      <c r="A301" s="3"/>
      <c r="B301" s="3"/>
      <c r="C301" s="3"/>
      <c r="D301" s="4"/>
      <c r="E301" s="4" t="s">
        <v>34</v>
      </c>
      <c r="F301" s="5" t="s">
        <v>260</v>
      </c>
      <c r="G301" s="21">
        <v>12.4</v>
      </c>
      <c r="H301" s="21"/>
      <c r="I301" s="3"/>
      <c r="J301" s="3"/>
      <c r="K301" s="5"/>
      <c r="L301" s="5"/>
      <c r="M301" s="5"/>
      <c r="N301" s="5"/>
    </row>
    <row r="302" spans="1:14" x14ac:dyDescent="0.2">
      <c r="A302" s="3"/>
      <c r="B302" s="3"/>
      <c r="C302" s="3"/>
      <c r="D302" s="4"/>
      <c r="E302" s="4" t="s">
        <v>261</v>
      </c>
      <c r="F302" s="5" t="s">
        <v>262</v>
      </c>
      <c r="G302" s="21">
        <v>7.1</v>
      </c>
      <c r="H302" s="21"/>
      <c r="I302" s="3"/>
      <c r="J302" s="3"/>
      <c r="K302" s="5"/>
      <c r="L302" s="5"/>
      <c r="M302" s="5"/>
      <c r="N302" s="5"/>
    </row>
    <row r="303" spans="1:14" x14ac:dyDescent="0.2">
      <c r="A303" s="3"/>
      <c r="B303" s="3"/>
      <c r="C303" s="3"/>
      <c r="D303" s="4"/>
      <c r="E303" s="4" t="s">
        <v>264</v>
      </c>
      <c r="F303" s="5" t="s">
        <v>263</v>
      </c>
      <c r="G303" s="21">
        <v>16.899999999999999</v>
      </c>
      <c r="H303" s="21"/>
      <c r="I303" s="3"/>
      <c r="J303" s="3"/>
      <c r="K303" s="5"/>
      <c r="L303" s="5"/>
      <c r="M303" s="5"/>
      <c r="N303" s="5"/>
    </row>
    <row r="304" spans="1:14" x14ac:dyDescent="0.2">
      <c r="A304" s="3"/>
      <c r="B304" s="3"/>
      <c r="C304" s="3"/>
      <c r="D304" s="4"/>
      <c r="E304" s="4"/>
      <c r="F304" s="5"/>
      <c r="G304" s="21"/>
      <c r="H304" s="21"/>
      <c r="I304" s="3"/>
      <c r="J304" s="3"/>
      <c r="K304" s="5"/>
      <c r="L304" s="5"/>
      <c r="M304" s="5"/>
      <c r="N304" s="5"/>
    </row>
    <row r="305" spans="1:14" s="36" customFormat="1" x14ac:dyDescent="0.2">
      <c r="A305" s="41">
        <v>44577</v>
      </c>
      <c r="B305" s="41">
        <v>44591</v>
      </c>
      <c r="C305" s="42">
        <v>140</v>
      </c>
      <c r="D305" s="43" t="s">
        <v>265</v>
      </c>
      <c r="E305" s="43" t="s">
        <v>266</v>
      </c>
      <c r="F305" s="30" t="s">
        <v>267</v>
      </c>
      <c r="G305" s="38">
        <v>34.200000000000003</v>
      </c>
      <c r="H305" s="60">
        <v>56</v>
      </c>
      <c r="I305" s="42">
        <v>39.5</v>
      </c>
      <c r="J305" s="42">
        <v>37.6</v>
      </c>
      <c r="K305" s="53">
        <v>44623</v>
      </c>
      <c r="L305" s="53">
        <v>47544</v>
      </c>
      <c r="M305" s="30" t="s">
        <v>19</v>
      </c>
      <c r="N305" s="30" t="s">
        <v>206</v>
      </c>
    </row>
    <row r="306" spans="1:14" x14ac:dyDescent="0.2">
      <c r="A306" s="3"/>
      <c r="B306" s="3"/>
      <c r="C306" s="3"/>
      <c r="D306" s="4"/>
      <c r="E306" s="4" t="s">
        <v>19</v>
      </c>
      <c r="F306" s="5" t="s">
        <v>268</v>
      </c>
      <c r="G306" s="21">
        <v>35.5</v>
      </c>
      <c r="H306" s="61">
        <v>44</v>
      </c>
      <c r="I306" s="3"/>
      <c r="J306" s="3"/>
      <c r="K306" s="5"/>
      <c r="L306" s="5"/>
      <c r="M306" s="5"/>
      <c r="N306" s="5"/>
    </row>
    <row r="307" spans="1:14" x14ac:dyDescent="0.2">
      <c r="A307" s="3"/>
      <c r="B307" s="3"/>
      <c r="C307" s="3"/>
      <c r="D307" s="4"/>
      <c r="E307" s="4" t="s">
        <v>269</v>
      </c>
      <c r="F307" s="5" t="s">
        <v>270</v>
      </c>
      <c r="G307" s="21">
        <v>27.2</v>
      </c>
      <c r="H307" s="21"/>
      <c r="I307" s="3"/>
      <c r="J307" s="3"/>
      <c r="K307" s="5"/>
      <c r="L307" s="5"/>
      <c r="M307" s="5"/>
      <c r="N307" s="5"/>
    </row>
    <row r="308" spans="1:14" x14ac:dyDescent="0.2">
      <c r="A308" s="3"/>
      <c r="B308" s="3"/>
      <c r="C308" s="3"/>
      <c r="D308" s="4"/>
      <c r="E308" s="4" t="s">
        <v>98</v>
      </c>
      <c r="F308" s="5" t="s">
        <v>271</v>
      </c>
      <c r="G308" s="21">
        <v>3.1</v>
      </c>
      <c r="H308" s="21"/>
      <c r="I308" s="3"/>
      <c r="J308" s="3"/>
      <c r="K308" s="5"/>
      <c r="L308" s="5"/>
      <c r="M308" s="5"/>
      <c r="N308" s="5"/>
    </row>
    <row r="309" spans="1:14" x14ac:dyDescent="0.2">
      <c r="A309" s="3"/>
      <c r="B309" s="3"/>
      <c r="C309" s="3"/>
      <c r="D309" s="4"/>
      <c r="E309" s="4"/>
      <c r="F309" s="5"/>
      <c r="G309" s="21"/>
      <c r="H309" s="21"/>
      <c r="I309" s="3"/>
      <c r="J309" s="3"/>
      <c r="K309" s="5"/>
      <c r="L309" s="5"/>
      <c r="M309" s="5"/>
      <c r="N309" s="5"/>
    </row>
    <row r="310" spans="1:14" s="36" customFormat="1" x14ac:dyDescent="0.2">
      <c r="A310" s="41">
        <v>44584</v>
      </c>
      <c r="B310" s="41">
        <v>44598</v>
      </c>
      <c r="C310" s="42">
        <v>131</v>
      </c>
      <c r="D310" s="43" t="s">
        <v>144</v>
      </c>
      <c r="E310" s="43" t="s">
        <v>273</v>
      </c>
      <c r="F310" s="56" t="s">
        <v>274</v>
      </c>
      <c r="G310" s="38">
        <v>50.2</v>
      </c>
      <c r="H310" s="38"/>
      <c r="I310" s="42">
        <v>48.1</v>
      </c>
      <c r="J310" s="42"/>
      <c r="K310" s="53">
        <v>44610</v>
      </c>
      <c r="L310" s="53">
        <v>47531</v>
      </c>
      <c r="M310" s="30" t="s">
        <v>19</v>
      </c>
      <c r="N310" s="30" t="s">
        <v>63</v>
      </c>
    </row>
    <row r="311" spans="1:14" x14ac:dyDescent="0.2">
      <c r="A311" s="3"/>
      <c r="B311" s="3"/>
      <c r="C311" s="3"/>
      <c r="D311" s="4"/>
      <c r="E311" s="4" t="s">
        <v>19</v>
      </c>
      <c r="F311" s="16" t="s">
        <v>275</v>
      </c>
      <c r="G311" s="21">
        <v>28.2</v>
      </c>
      <c r="H311" s="21"/>
      <c r="I311" s="3"/>
      <c r="J311" s="3"/>
      <c r="K311" s="5"/>
      <c r="L311" s="5"/>
      <c r="M311" s="5"/>
      <c r="N311" s="5"/>
    </row>
    <row r="312" spans="1:14" x14ac:dyDescent="0.2">
      <c r="A312" s="3"/>
      <c r="B312" s="3"/>
      <c r="C312" s="3"/>
      <c r="D312" s="4"/>
      <c r="E312" s="4" t="s">
        <v>278</v>
      </c>
      <c r="F312" s="16" t="s">
        <v>208</v>
      </c>
      <c r="G312" s="21">
        <v>2.2999999999999998</v>
      </c>
      <c r="H312" s="21"/>
      <c r="I312" s="3"/>
      <c r="J312" s="3"/>
      <c r="K312" s="5"/>
      <c r="L312" s="5"/>
      <c r="M312" s="5"/>
      <c r="N312" s="5"/>
    </row>
    <row r="313" spans="1:14" x14ac:dyDescent="0.2">
      <c r="A313" s="3"/>
      <c r="B313" s="3"/>
      <c r="C313" s="3"/>
      <c r="D313" s="4"/>
      <c r="E313" s="4" t="s">
        <v>276</v>
      </c>
      <c r="F313" s="16" t="s">
        <v>277</v>
      </c>
      <c r="G313" s="21">
        <v>19.3</v>
      </c>
      <c r="H313" s="21"/>
      <c r="I313" s="3"/>
      <c r="J313" s="3"/>
      <c r="K313" s="5"/>
      <c r="L313" s="5"/>
      <c r="M313" s="5"/>
      <c r="N313" s="5"/>
    </row>
    <row r="314" spans="1:14" x14ac:dyDescent="0.2">
      <c r="E314" s="10"/>
      <c r="G314" s="54"/>
      <c r="H314" s="54"/>
    </row>
    <row r="315" spans="1:14" x14ac:dyDescent="0.2">
      <c r="A315" s="41">
        <v>44584</v>
      </c>
      <c r="B315" s="41">
        <v>44598</v>
      </c>
      <c r="C315" s="42">
        <v>141</v>
      </c>
      <c r="D315" s="43" t="s">
        <v>279</v>
      </c>
      <c r="E315" s="43" t="s">
        <v>21</v>
      </c>
      <c r="F315" s="56" t="s">
        <v>280</v>
      </c>
      <c r="G315" s="38">
        <v>52.6</v>
      </c>
      <c r="H315" s="38"/>
      <c r="I315" s="42">
        <v>38.6</v>
      </c>
      <c r="J315" s="42"/>
      <c r="K315" s="53">
        <v>44743</v>
      </c>
      <c r="L315" s="53">
        <v>47664</v>
      </c>
      <c r="M315" s="30" t="s">
        <v>21</v>
      </c>
      <c r="N315" s="30" t="s">
        <v>203</v>
      </c>
    </row>
    <row r="316" spans="1:14" x14ac:dyDescent="0.2">
      <c r="A316" s="3"/>
      <c r="B316" s="3"/>
      <c r="C316" s="3"/>
      <c r="D316" s="4"/>
      <c r="E316" s="4" t="s">
        <v>281</v>
      </c>
      <c r="F316" s="16" t="s">
        <v>282</v>
      </c>
      <c r="G316" s="21">
        <v>47.4</v>
      </c>
      <c r="H316" s="21"/>
      <c r="I316" s="3"/>
      <c r="J316" s="3"/>
      <c r="K316" s="5"/>
      <c r="L316" s="5"/>
      <c r="M316" s="5"/>
      <c r="N316" s="5"/>
    </row>
    <row r="317" spans="1:14" x14ac:dyDescent="0.2">
      <c r="A317" s="3"/>
      <c r="B317" s="3"/>
      <c r="C317" s="3"/>
      <c r="D317" s="4"/>
      <c r="E317" s="4"/>
      <c r="F317" s="5"/>
      <c r="G317" s="21"/>
      <c r="H317" s="21"/>
      <c r="I317" s="3"/>
      <c r="J317" s="3"/>
      <c r="K317" s="5"/>
      <c r="L317" s="5"/>
      <c r="M317" s="5"/>
      <c r="N317" s="5"/>
    </row>
    <row r="318" spans="1:14" s="36" customFormat="1" x14ac:dyDescent="0.2">
      <c r="A318" s="41">
        <v>45095</v>
      </c>
      <c r="B318" s="41">
        <v>45116</v>
      </c>
      <c r="C318" s="42">
        <v>135</v>
      </c>
      <c r="D318" s="43" t="s">
        <v>143</v>
      </c>
      <c r="E318" s="43" t="s">
        <v>19</v>
      </c>
      <c r="F318" s="30" t="s">
        <v>283</v>
      </c>
      <c r="G318" s="38">
        <v>62.7</v>
      </c>
      <c r="H318" s="38"/>
      <c r="I318" s="42">
        <v>44.1</v>
      </c>
      <c r="J318" s="42"/>
      <c r="K318" s="53">
        <v>45231</v>
      </c>
      <c r="L318" s="53">
        <v>48152</v>
      </c>
      <c r="M318" s="30" t="s">
        <v>19</v>
      </c>
      <c r="N318" s="30" t="s">
        <v>127</v>
      </c>
    </row>
    <row r="319" spans="1:14" x14ac:dyDescent="0.2">
      <c r="A319" s="3"/>
      <c r="B319" s="3"/>
      <c r="C319" s="3"/>
      <c r="D319" s="4"/>
      <c r="E319" s="4" t="s">
        <v>284</v>
      </c>
      <c r="F319" s="5" t="s">
        <v>285</v>
      </c>
      <c r="G319" s="21">
        <v>37.299999999999997</v>
      </c>
      <c r="H319" s="21"/>
      <c r="I319" s="3"/>
      <c r="J319" s="3"/>
      <c r="K319" s="5"/>
      <c r="L319" s="5"/>
      <c r="M319" s="5"/>
      <c r="N319" s="5"/>
    </row>
    <row r="320" spans="1:14" x14ac:dyDescent="0.2">
      <c r="A320" s="3"/>
      <c r="B320" s="3"/>
      <c r="C320" s="3"/>
      <c r="D320" s="4"/>
      <c r="E320" s="4"/>
      <c r="F320" s="5"/>
      <c r="G320" s="21"/>
      <c r="H320" s="21"/>
      <c r="I320" s="3"/>
      <c r="J320" s="3"/>
      <c r="K320" s="5"/>
      <c r="L320" s="5"/>
      <c r="M320" s="5"/>
      <c r="N320" s="5"/>
    </row>
    <row r="321" spans="1:14" s="36" customFormat="1" x14ac:dyDescent="0.2">
      <c r="A321" s="41">
        <v>45193</v>
      </c>
      <c r="B321" s="41">
        <v>45214</v>
      </c>
      <c r="C321" s="42">
        <v>134</v>
      </c>
      <c r="D321" s="43" t="s">
        <v>139</v>
      </c>
      <c r="E321" s="43" t="s">
        <v>19</v>
      </c>
      <c r="F321" s="30" t="s">
        <v>286</v>
      </c>
      <c r="G321" s="38">
        <v>34.299999999999997</v>
      </c>
      <c r="H321" s="38">
        <v>51</v>
      </c>
      <c r="I321" s="42">
        <v>37.799999999999997</v>
      </c>
      <c r="J321" s="44">
        <v>33.4</v>
      </c>
      <c r="K321" s="53">
        <v>45246</v>
      </c>
      <c r="L321" s="53">
        <v>48167</v>
      </c>
      <c r="M321" s="30" t="s">
        <v>19</v>
      </c>
      <c r="N321" s="30" t="s">
        <v>90</v>
      </c>
    </row>
    <row r="322" spans="1:14" x14ac:dyDescent="0.2">
      <c r="A322" s="3"/>
      <c r="B322" s="3"/>
      <c r="C322" s="3"/>
      <c r="D322" s="4"/>
      <c r="E322" s="4" t="s">
        <v>21</v>
      </c>
      <c r="F322" s="5" t="s">
        <v>287</v>
      </c>
      <c r="G322" s="61">
        <v>33</v>
      </c>
      <c r="H322" s="21"/>
      <c r="I322" s="62">
        <v>49</v>
      </c>
      <c r="J322" s="62"/>
      <c r="K322" s="5"/>
      <c r="L322" s="5"/>
      <c r="M322" s="5"/>
      <c r="N322" s="5"/>
    </row>
    <row r="323" spans="1:14" x14ac:dyDescent="0.2">
      <c r="A323" s="3"/>
      <c r="B323" s="3"/>
      <c r="C323" s="3"/>
      <c r="D323" s="4"/>
      <c r="E323" s="4" t="s">
        <v>38</v>
      </c>
      <c r="F323" s="5" t="s">
        <v>288</v>
      </c>
      <c r="G323" s="61">
        <v>4.2</v>
      </c>
      <c r="H323" s="21"/>
      <c r="I323" s="3"/>
      <c r="J323" s="62"/>
      <c r="K323" s="5"/>
      <c r="L323" s="5"/>
      <c r="M323" s="5"/>
      <c r="N323" s="5"/>
    </row>
    <row r="324" spans="1:14" x14ac:dyDescent="0.2">
      <c r="A324" s="3"/>
      <c r="B324" s="3"/>
      <c r="C324" s="3"/>
      <c r="D324" s="4"/>
      <c r="E324" s="4" t="s">
        <v>289</v>
      </c>
      <c r="F324" s="5" t="s">
        <v>290</v>
      </c>
      <c r="G324" s="61">
        <v>17.100000000000001</v>
      </c>
      <c r="H324" s="21"/>
      <c r="I324" s="3"/>
      <c r="J324" s="62"/>
      <c r="K324" s="5"/>
      <c r="L324" s="5"/>
      <c r="M324" s="5"/>
      <c r="N324" s="5"/>
    </row>
    <row r="325" spans="1:14" x14ac:dyDescent="0.2">
      <c r="A325" s="3"/>
      <c r="B325" s="3"/>
      <c r="C325" s="3"/>
      <c r="D325" s="4"/>
      <c r="E325" s="4" t="s">
        <v>291</v>
      </c>
      <c r="F325" s="5" t="s">
        <v>292</v>
      </c>
      <c r="G325" s="61">
        <v>2.2999999999999998</v>
      </c>
      <c r="H325" s="21"/>
      <c r="I325" s="3"/>
      <c r="J325" s="62"/>
      <c r="K325" s="5"/>
      <c r="L325" s="5"/>
      <c r="M325" s="5"/>
      <c r="N325" s="5"/>
    </row>
    <row r="326" spans="1:14" x14ac:dyDescent="0.2">
      <c r="A326" s="3"/>
      <c r="B326" s="3"/>
      <c r="C326" s="3"/>
      <c r="D326" s="4"/>
      <c r="E326" s="4" t="s">
        <v>293</v>
      </c>
      <c r="F326" s="5" t="s">
        <v>294</v>
      </c>
      <c r="G326" s="61">
        <v>3.5</v>
      </c>
      <c r="H326" s="21"/>
      <c r="I326" s="3"/>
      <c r="J326" s="62"/>
      <c r="K326" s="5"/>
      <c r="L326" s="5"/>
      <c r="M326" s="5"/>
      <c r="N326" s="5"/>
    </row>
    <row r="327" spans="1:14" x14ac:dyDescent="0.2">
      <c r="A327" s="3"/>
      <c r="B327" s="3"/>
      <c r="C327" s="3"/>
      <c r="D327" s="4"/>
      <c r="E327" s="4" t="s">
        <v>296</v>
      </c>
      <c r="F327" s="5" t="s">
        <v>295</v>
      </c>
      <c r="G327" s="61">
        <v>3.5</v>
      </c>
      <c r="H327" s="21"/>
      <c r="I327" s="3"/>
      <c r="J327" s="62"/>
      <c r="K327" s="5"/>
      <c r="L327" s="5"/>
      <c r="M327" s="5"/>
      <c r="N327" s="5"/>
    </row>
    <row r="328" spans="1:14" x14ac:dyDescent="0.2">
      <c r="E328" s="10" t="s">
        <v>297</v>
      </c>
      <c r="F328" s="16" t="s">
        <v>298</v>
      </c>
      <c r="G328" s="59">
        <v>2.1</v>
      </c>
      <c r="H328" s="54"/>
    </row>
    <row r="329" spans="1:14" x14ac:dyDescent="0.2">
      <c r="E329" s="10"/>
      <c r="G329" s="54"/>
      <c r="H329" s="54"/>
    </row>
    <row r="330" spans="1:14" s="30" customFormat="1" ht="12" x14ac:dyDescent="0.2">
      <c r="A330" s="41">
        <v>45452</v>
      </c>
      <c r="B330" s="41">
        <v>45466</v>
      </c>
      <c r="C330" s="42">
        <v>137</v>
      </c>
      <c r="D330" s="43" t="s">
        <v>160</v>
      </c>
      <c r="E330" s="43" t="s">
        <v>21</v>
      </c>
      <c r="F330" s="56" t="s">
        <v>299</v>
      </c>
      <c r="G330" s="38">
        <v>33.799999999999997</v>
      </c>
      <c r="H330" s="38">
        <v>57.3</v>
      </c>
      <c r="I330" s="42">
        <v>62.4</v>
      </c>
      <c r="J330" s="42">
        <v>34.799999999999997</v>
      </c>
      <c r="K330" s="53">
        <v>45658</v>
      </c>
      <c r="L330" s="53">
        <v>48579</v>
      </c>
      <c r="M330" s="30" t="s">
        <v>19</v>
      </c>
      <c r="N330" s="30" t="s">
        <v>122</v>
      </c>
    </row>
    <row r="331" spans="1:14" x14ac:dyDescent="0.2">
      <c r="E331" s="10" t="s">
        <v>289</v>
      </c>
      <c r="F331" s="16" t="s">
        <v>302</v>
      </c>
      <c r="G331" s="54">
        <v>33.5</v>
      </c>
      <c r="H331" s="54">
        <v>42.7</v>
      </c>
    </row>
    <row r="332" spans="1:14" x14ac:dyDescent="0.2">
      <c r="E332" s="10" t="s">
        <v>300</v>
      </c>
      <c r="F332" s="16" t="s">
        <v>301</v>
      </c>
      <c r="G332" s="54">
        <v>32.700000000000003</v>
      </c>
      <c r="H332" s="54"/>
    </row>
    <row r="333" spans="1:14" x14ac:dyDescent="0.2">
      <c r="E333" s="10"/>
      <c r="G333" s="54"/>
      <c r="H333" s="54"/>
    </row>
    <row r="334" spans="1:14" s="30" customFormat="1" ht="12" x14ac:dyDescent="0.2">
      <c r="A334" s="41">
        <v>45452</v>
      </c>
      <c r="B334" s="41">
        <v>45466</v>
      </c>
      <c r="C334" s="42">
        <v>231</v>
      </c>
      <c r="D334" s="43" t="s">
        <v>159</v>
      </c>
      <c r="E334" s="43" t="s">
        <v>19</v>
      </c>
      <c r="F334" s="30" t="s">
        <v>303</v>
      </c>
      <c r="G334" s="38">
        <v>75.5</v>
      </c>
      <c r="H334" s="38"/>
      <c r="I334" s="42">
        <v>63.7</v>
      </c>
      <c r="J334" s="42"/>
      <c r="K334" s="53">
        <v>45717</v>
      </c>
      <c r="L334" s="53">
        <v>48638</v>
      </c>
      <c r="M334" s="30" t="s">
        <v>19</v>
      </c>
      <c r="N334" s="30" t="s">
        <v>177</v>
      </c>
    </row>
    <row r="335" spans="1:14" x14ac:dyDescent="0.2">
      <c r="E335" s="10"/>
      <c r="G335" s="54"/>
      <c r="H335" s="54"/>
    </row>
    <row r="336" spans="1:14" s="30" customFormat="1" ht="12" x14ac:dyDescent="0.2">
      <c r="A336" s="41">
        <v>45452</v>
      </c>
      <c r="B336" s="41">
        <v>45466</v>
      </c>
      <c r="C336" s="42">
        <v>334</v>
      </c>
      <c r="D336" s="43" t="s">
        <v>153</v>
      </c>
      <c r="E336" s="43" t="s">
        <v>19</v>
      </c>
      <c r="F336" s="30" t="s">
        <v>305</v>
      </c>
      <c r="G336" s="60">
        <v>50</v>
      </c>
      <c r="H336" s="38"/>
      <c r="I336" s="42">
        <v>63.9</v>
      </c>
      <c r="J336" s="42"/>
      <c r="K336" s="53">
        <v>45627</v>
      </c>
      <c r="L336" s="53">
        <v>48548</v>
      </c>
      <c r="M336" s="30" t="s">
        <v>19</v>
      </c>
      <c r="N336" s="30" t="s">
        <v>42</v>
      </c>
    </row>
    <row r="337" spans="1:14" x14ac:dyDescent="0.2">
      <c r="E337" s="10" t="s">
        <v>21</v>
      </c>
      <c r="F337" s="52" t="s">
        <v>306</v>
      </c>
      <c r="G337" s="54">
        <v>13.7</v>
      </c>
      <c r="H337" s="54"/>
    </row>
    <row r="338" spans="1:14" x14ac:dyDescent="0.2">
      <c r="E338" s="10" t="s">
        <v>34</v>
      </c>
      <c r="F338" s="52" t="s">
        <v>307</v>
      </c>
      <c r="G338" s="54">
        <v>6.1</v>
      </c>
      <c r="H338" s="54"/>
    </row>
    <row r="339" spans="1:14" x14ac:dyDescent="0.2">
      <c r="E339" s="10" t="s">
        <v>210</v>
      </c>
      <c r="F339" s="52" t="s">
        <v>308</v>
      </c>
      <c r="G339" s="54">
        <v>17.5</v>
      </c>
      <c r="H339" s="54"/>
    </row>
    <row r="340" spans="1:14" x14ac:dyDescent="0.2">
      <c r="E340" s="10" t="s">
        <v>309</v>
      </c>
      <c r="F340" s="52" t="s">
        <v>310</v>
      </c>
      <c r="G340" s="54">
        <v>9.4</v>
      </c>
      <c r="H340" s="54"/>
    </row>
    <row r="341" spans="1:14" x14ac:dyDescent="0.2">
      <c r="E341" s="10" t="s">
        <v>215</v>
      </c>
      <c r="F341" s="52" t="s">
        <v>311</v>
      </c>
      <c r="G341" s="54">
        <v>3.3</v>
      </c>
      <c r="H341" s="54"/>
    </row>
    <row r="342" spans="1:14" x14ac:dyDescent="0.2">
      <c r="E342" s="10"/>
      <c r="G342" s="54"/>
      <c r="H342" s="54"/>
    </row>
    <row r="343" spans="1:14" s="30" customFormat="1" ht="12" x14ac:dyDescent="0.2">
      <c r="A343" s="41">
        <v>45606</v>
      </c>
      <c r="B343" s="41">
        <v>45620</v>
      </c>
      <c r="C343" s="42">
        <v>133</v>
      </c>
      <c r="D343" s="43" t="s">
        <v>145</v>
      </c>
      <c r="E343" s="43" t="s">
        <v>19</v>
      </c>
      <c r="F343" s="56" t="s">
        <v>212</v>
      </c>
      <c r="G343" s="38">
        <v>54.8</v>
      </c>
      <c r="H343" s="38"/>
      <c r="I343" s="42">
        <v>39.799999999999997</v>
      </c>
      <c r="K343" s="41">
        <v>45846</v>
      </c>
      <c r="L343" s="53">
        <v>48767</v>
      </c>
      <c r="M343" s="30" t="s">
        <v>19</v>
      </c>
      <c r="N343" s="30" t="s">
        <v>212</v>
      </c>
    </row>
    <row r="344" spans="1:14" x14ac:dyDescent="0.2">
      <c r="E344" s="10" t="s">
        <v>21</v>
      </c>
      <c r="F344" s="55" t="s">
        <v>312</v>
      </c>
      <c r="G344" s="54">
        <v>45.2</v>
      </c>
      <c r="H344" s="54"/>
    </row>
    <row r="345" spans="1:14" x14ac:dyDescent="0.2">
      <c r="E345" s="10"/>
      <c r="G345" s="54"/>
      <c r="H345" s="54"/>
    </row>
    <row r="346" spans="1:14" s="30" customFormat="1" ht="12" x14ac:dyDescent="0.2">
      <c r="A346" s="41">
        <v>45711</v>
      </c>
      <c r="B346" s="41">
        <v>45725</v>
      </c>
      <c r="C346" s="42">
        <v>143</v>
      </c>
      <c r="D346" s="43" t="s">
        <v>147</v>
      </c>
      <c r="E346" s="43" t="s">
        <v>19</v>
      </c>
      <c r="F346" s="56" t="s">
        <v>94</v>
      </c>
      <c r="G346" s="38">
        <v>74.900000000000006</v>
      </c>
      <c r="H346" s="38"/>
      <c r="I346" s="42">
        <v>78</v>
      </c>
      <c r="J346" s="42"/>
      <c r="K346" s="53">
        <v>45941</v>
      </c>
      <c r="L346" s="53">
        <v>48862</v>
      </c>
      <c r="M346" s="30" t="s">
        <v>19</v>
      </c>
      <c r="N346" s="30" t="s">
        <v>94</v>
      </c>
    </row>
    <row r="347" spans="1:14" s="5" customFormat="1" ht="12" x14ac:dyDescent="0.2">
      <c r="A347" s="3"/>
      <c r="B347" s="3"/>
      <c r="C347" s="3"/>
      <c r="D347" s="4"/>
      <c r="E347" s="4"/>
      <c r="G347" s="21"/>
      <c r="H347" s="21"/>
      <c r="I347" s="3"/>
      <c r="J347" s="3"/>
    </row>
    <row r="348" spans="1:14" s="30" customFormat="1" ht="12" x14ac:dyDescent="0.2">
      <c r="A348" s="41">
        <v>45711</v>
      </c>
      <c r="B348" s="41">
        <v>45725</v>
      </c>
      <c r="C348" s="42">
        <v>333</v>
      </c>
      <c r="D348" s="43" t="s">
        <v>152</v>
      </c>
      <c r="E348" s="43" t="s">
        <v>313</v>
      </c>
      <c r="F348" s="30" t="s">
        <v>218</v>
      </c>
      <c r="G348" s="38">
        <v>51.9</v>
      </c>
      <c r="H348" s="38"/>
      <c r="I348" s="42">
        <v>78.400000000000006</v>
      </c>
      <c r="J348" s="42"/>
      <c r="K348" s="53">
        <v>45923</v>
      </c>
      <c r="L348" s="53">
        <v>48844</v>
      </c>
      <c r="M348" s="30" t="s">
        <v>313</v>
      </c>
      <c r="N348" s="30" t="s">
        <v>218</v>
      </c>
    </row>
    <row r="349" spans="1:14" s="5" customFormat="1" ht="12" x14ac:dyDescent="0.2">
      <c r="A349" s="3"/>
      <c r="B349" s="3"/>
      <c r="C349" s="3"/>
      <c r="D349" s="4"/>
      <c r="E349" s="4" t="s">
        <v>21</v>
      </c>
      <c r="F349" s="5" t="s">
        <v>314</v>
      </c>
      <c r="G349" s="21">
        <v>30.9</v>
      </c>
      <c r="H349" s="21"/>
      <c r="I349" s="3"/>
      <c r="J349" s="3"/>
    </row>
    <row r="350" spans="1:14" s="5" customFormat="1" ht="12" x14ac:dyDescent="0.2">
      <c r="A350" s="3"/>
      <c r="B350" s="3"/>
      <c r="C350" s="3"/>
      <c r="D350" s="4"/>
      <c r="E350" s="4" t="s">
        <v>315</v>
      </c>
      <c r="F350" s="5" t="s">
        <v>316</v>
      </c>
      <c r="G350" s="21"/>
      <c r="H350" s="21"/>
      <c r="I350" s="3"/>
      <c r="J350" s="3"/>
    </row>
    <row r="351" spans="1:14" s="5" customFormat="1" ht="12" x14ac:dyDescent="0.2">
      <c r="A351" s="3"/>
      <c r="B351" s="3"/>
      <c r="C351" s="3"/>
      <c r="D351" s="4"/>
      <c r="E351" s="4"/>
      <c r="G351" s="21"/>
      <c r="H351" s="21"/>
      <c r="I351" s="3"/>
      <c r="J351" s="3"/>
    </row>
    <row r="352" spans="1:14" s="30" customFormat="1" ht="12" x14ac:dyDescent="0.2">
      <c r="A352" s="41">
        <v>45711</v>
      </c>
      <c r="B352" s="41">
        <v>45725</v>
      </c>
      <c r="C352" s="42">
        <v>336</v>
      </c>
      <c r="D352" s="43" t="s">
        <v>155</v>
      </c>
      <c r="E352" s="43" t="s">
        <v>19</v>
      </c>
      <c r="F352" s="30" t="s">
        <v>317</v>
      </c>
      <c r="G352" s="38">
        <v>28.2</v>
      </c>
      <c r="H352" s="38">
        <v>62.6</v>
      </c>
      <c r="I352" s="42">
        <v>81.099999999999994</v>
      </c>
      <c r="J352" s="42">
        <v>43.9</v>
      </c>
      <c r="K352" s="53">
        <v>45948</v>
      </c>
      <c r="L352" s="53">
        <v>48869</v>
      </c>
      <c r="M352" s="30" t="s">
        <v>19</v>
      </c>
      <c r="N352" s="30" t="s">
        <v>228</v>
      </c>
    </row>
    <row r="353" spans="1:14" s="5" customFormat="1" ht="12" x14ac:dyDescent="0.2">
      <c r="A353" s="3"/>
      <c r="B353" s="3"/>
      <c r="C353" s="3"/>
      <c r="D353" s="4"/>
      <c r="E353" s="4" t="s">
        <v>21</v>
      </c>
      <c r="F353" s="5" t="s">
        <v>318</v>
      </c>
      <c r="G353" s="21">
        <v>23.3</v>
      </c>
      <c r="H353" s="21">
        <v>37.4</v>
      </c>
      <c r="I353" s="3"/>
      <c r="J353" s="3"/>
    </row>
    <row r="354" spans="1:14" s="5" customFormat="1" ht="12" x14ac:dyDescent="0.2">
      <c r="A354" s="3"/>
      <c r="B354" s="3"/>
      <c r="C354" s="3"/>
      <c r="D354" s="4"/>
      <c r="E354" s="4" t="s">
        <v>210</v>
      </c>
      <c r="F354" s="5" t="s">
        <v>319</v>
      </c>
      <c r="G354" s="21">
        <v>22.8</v>
      </c>
      <c r="H354" s="21"/>
      <c r="I354" s="3"/>
      <c r="J354" s="3"/>
    </row>
    <row r="355" spans="1:14" s="5" customFormat="1" ht="12" x14ac:dyDescent="0.2">
      <c r="A355" s="3"/>
      <c r="B355" s="3"/>
      <c r="C355" s="3"/>
      <c r="D355" s="4"/>
      <c r="E355" s="4" t="s">
        <v>320</v>
      </c>
      <c r="F355" s="5" t="s">
        <v>321</v>
      </c>
      <c r="G355" s="21">
        <v>14.5</v>
      </c>
      <c r="H355" s="21"/>
      <c r="I355" s="3"/>
      <c r="J355" s="3"/>
    </row>
    <row r="356" spans="1:14" s="5" customFormat="1" ht="12" x14ac:dyDescent="0.2">
      <c r="A356" s="3"/>
      <c r="B356" s="3"/>
      <c r="C356" s="3"/>
      <c r="D356" s="4"/>
      <c r="E356" s="4" t="s">
        <v>289</v>
      </c>
      <c r="F356" s="5" t="s">
        <v>322</v>
      </c>
      <c r="G356" s="21"/>
      <c r="H356" s="21"/>
      <c r="I356" s="3"/>
      <c r="J356" s="3"/>
    </row>
    <row r="357" spans="1:14" s="5" customFormat="1" ht="12" x14ac:dyDescent="0.2">
      <c r="A357" s="3"/>
      <c r="B357" s="3"/>
      <c r="C357" s="3"/>
      <c r="D357" s="4"/>
      <c r="E357" s="4"/>
      <c r="G357" s="21"/>
      <c r="H357" s="21"/>
      <c r="I357" s="3"/>
      <c r="J357" s="3"/>
    </row>
    <row r="358" spans="1:14" s="30" customFormat="1" ht="12" x14ac:dyDescent="0.2">
      <c r="A358" s="41">
        <v>45711</v>
      </c>
      <c r="B358" s="41">
        <v>45725</v>
      </c>
      <c r="C358" s="42">
        <v>337</v>
      </c>
      <c r="D358" s="43" t="s">
        <v>140</v>
      </c>
      <c r="E358" s="43" t="s">
        <v>19</v>
      </c>
      <c r="F358" s="30" t="s">
        <v>226</v>
      </c>
      <c r="G358" s="38">
        <v>54.1</v>
      </c>
      <c r="H358" s="38"/>
      <c r="I358" s="42">
        <v>80.3</v>
      </c>
      <c r="J358" s="42"/>
      <c r="K358" s="53">
        <v>45931</v>
      </c>
      <c r="L358" s="53">
        <v>48852</v>
      </c>
      <c r="M358" s="30" t="s">
        <v>19</v>
      </c>
      <c r="N358" s="30" t="s">
        <v>226</v>
      </c>
    </row>
    <row r="359" spans="1:14" s="5" customFormat="1" ht="12" x14ac:dyDescent="0.2">
      <c r="A359" s="3"/>
      <c r="B359" s="3"/>
      <c r="C359" s="3"/>
      <c r="D359" s="4"/>
      <c r="E359" s="4" t="s">
        <v>21</v>
      </c>
      <c r="F359" s="5" t="s">
        <v>323</v>
      </c>
      <c r="G359" s="21">
        <v>27.8</v>
      </c>
      <c r="H359" s="21"/>
      <c r="I359" s="3"/>
      <c r="J359" s="3"/>
    </row>
    <row r="360" spans="1:14" s="5" customFormat="1" ht="12" x14ac:dyDescent="0.2">
      <c r="A360" s="3"/>
      <c r="B360" s="3"/>
      <c r="C360" s="3"/>
      <c r="D360" s="4"/>
      <c r="E360" s="4" t="s">
        <v>210</v>
      </c>
      <c r="F360" s="5" t="s">
        <v>324</v>
      </c>
      <c r="G360" s="21">
        <v>18.100000000000001</v>
      </c>
      <c r="H360" s="21"/>
      <c r="I360" s="3"/>
      <c r="J360" s="3"/>
    </row>
    <row r="361" spans="1:14" s="5" customFormat="1" ht="12" x14ac:dyDescent="0.2">
      <c r="A361" s="3"/>
      <c r="B361" s="3"/>
      <c r="C361" s="3"/>
      <c r="D361" s="4"/>
      <c r="E361" s="4"/>
      <c r="G361" s="21"/>
      <c r="H361" s="21"/>
      <c r="I361" s="3"/>
      <c r="J361" s="3"/>
    </row>
    <row r="362" spans="1:14" s="30" customFormat="1" ht="12" x14ac:dyDescent="0.2">
      <c r="A362" s="41">
        <v>45711</v>
      </c>
      <c r="B362" s="41">
        <v>45732</v>
      </c>
      <c r="C362" s="42">
        <v>338</v>
      </c>
      <c r="D362" s="43" t="s">
        <v>164</v>
      </c>
      <c r="E362" s="43" t="s">
        <v>19</v>
      </c>
      <c r="F362" s="30" t="s">
        <v>325</v>
      </c>
      <c r="G362" s="38">
        <v>36.1</v>
      </c>
      <c r="H362" s="38">
        <v>57.6</v>
      </c>
      <c r="I362" s="42">
        <v>79.900000000000006</v>
      </c>
      <c r="J362" s="42">
        <v>40</v>
      </c>
      <c r="K362" s="53">
        <v>45980</v>
      </c>
      <c r="L362" s="53">
        <v>45979</v>
      </c>
      <c r="M362" s="30" t="s">
        <v>19</v>
      </c>
      <c r="N362" s="30" t="s">
        <v>113</v>
      </c>
    </row>
    <row r="363" spans="1:14" s="5" customFormat="1" ht="12" x14ac:dyDescent="0.2">
      <c r="A363" s="3"/>
      <c r="B363" s="3"/>
      <c r="C363" s="3"/>
      <c r="D363" s="4"/>
      <c r="E363" s="4" t="s">
        <v>21</v>
      </c>
      <c r="F363" s="5" t="s">
        <v>326</v>
      </c>
      <c r="G363" s="21">
        <v>25.2</v>
      </c>
      <c r="H363" s="21">
        <v>42.4</v>
      </c>
      <c r="I363" s="3"/>
      <c r="J363" s="3"/>
    </row>
    <row r="364" spans="1:14" s="5" customFormat="1" ht="12" x14ac:dyDescent="0.2">
      <c r="A364" s="3"/>
      <c r="B364" s="3"/>
      <c r="C364" s="3"/>
      <c r="D364" s="4"/>
      <c r="E364" s="4" t="s">
        <v>210</v>
      </c>
      <c r="F364" s="5" t="s">
        <v>327</v>
      </c>
      <c r="G364" s="21">
        <v>19.5</v>
      </c>
      <c r="H364" s="21"/>
      <c r="I364" s="3"/>
      <c r="J364" s="3"/>
    </row>
    <row r="365" spans="1:14" s="5" customFormat="1" ht="12" x14ac:dyDescent="0.2">
      <c r="A365" s="3"/>
      <c r="B365" s="3"/>
      <c r="C365" s="3"/>
      <c r="D365" s="4"/>
      <c r="E365" s="4" t="s">
        <v>34</v>
      </c>
      <c r="F365" s="5" t="s">
        <v>328</v>
      </c>
      <c r="G365" s="21">
        <v>8.4</v>
      </c>
      <c r="H365" s="21"/>
      <c r="I365" s="3"/>
      <c r="J365" s="3"/>
    </row>
    <row r="366" spans="1:14" s="5" customFormat="1" ht="12" x14ac:dyDescent="0.2">
      <c r="A366" s="3"/>
      <c r="B366" s="3"/>
      <c r="C366" s="3"/>
      <c r="D366" s="4"/>
      <c r="E366" s="4" t="s">
        <v>38</v>
      </c>
      <c r="F366" s="5" t="s">
        <v>329</v>
      </c>
      <c r="G366" s="21">
        <v>10.8</v>
      </c>
      <c r="H366" s="21"/>
      <c r="I366" s="3"/>
      <c r="J366" s="3"/>
    </row>
    <row r="367" spans="1:14" s="5" customFormat="1" ht="12" x14ac:dyDescent="0.2">
      <c r="A367" s="3"/>
      <c r="B367" s="3"/>
      <c r="C367" s="3"/>
      <c r="D367" s="4"/>
      <c r="E367" s="4"/>
      <c r="G367" s="21"/>
      <c r="H367" s="21"/>
      <c r="I367" s="3"/>
      <c r="J367" s="3"/>
    </row>
    <row r="368" spans="1:14" s="30" customFormat="1" ht="12" x14ac:dyDescent="0.2">
      <c r="A368" s="41">
        <v>45711</v>
      </c>
      <c r="B368" s="41">
        <v>45732</v>
      </c>
      <c r="C368" s="42">
        <v>339</v>
      </c>
      <c r="D368" s="43" t="s">
        <v>158</v>
      </c>
      <c r="E368" s="43" t="s">
        <v>19</v>
      </c>
      <c r="F368" s="30" t="s">
        <v>330</v>
      </c>
      <c r="G368" s="38">
        <v>38.200000000000003</v>
      </c>
      <c r="H368" s="38">
        <v>54.5</v>
      </c>
      <c r="I368" s="42">
        <v>80.900000000000006</v>
      </c>
      <c r="J368" s="42">
        <v>38.700000000000003</v>
      </c>
      <c r="K368" s="53">
        <v>45931</v>
      </c>
      <c r="L368" s="53">
        <v>48852</v>
      </c>
      <c r="M368" s="30" t="s">
        <v>19</v>
      </c>
      <c r="N368" s="30" t="s">
        <v>116</v>
      </c>
    </row>
    <row r="369" spans="1:14" s="5" customFormat="1" ht="12" x14ac:dyDescent="0.2">
      <c r="A369" s="3"/>
      <c r="B369" s="3"/>
      <c r="C369" s="3"/>
      <c r="D369" s="4"/>
      <c r="E369" s="4" t="s">
        <v>21</v>
      </c>
      <c r="F369" s="5" t="s">
        <v>331</v>
      </c>
      <c r="G369" s="21">
        <v>25</v>
      </c>
      <c r="H369" s="21">
        <v>45.5</v>
      </c>
      <c r="I369" s="3"/>
      <c r="J369" s="3"/>
    </row>
    <row r="370" spans="1:14" s="5" customFormat="1" ht="12" x14ac:dyDescent="0.2">
      <c r="A370" s="3"/>
      <c r="B370" s="3"/>
      <c r="C370" s="3"/>
      <c r="D370" s="4"/>
      <c r="E370" s="4" t="s">
        <v>34</v>
      </c>
      <c r="F370" s="5" t="s">
        <v>332</v>
      </c>
      <c r="G370" s="21">
        <v>12.1</v>
      </c>
      <c r="H370" s="21"/>
      <c r="I370" s="3"/>
      <c r="J370" s="3"/>
    </row>
    <row r="371" spans="1:14" s="5" customFormat="1" ht="12" x14ac:dyDescent="0.2">
      <c r="A371" s="3"/>
      <c r="B371" s="3"/>
      <c r="C371" s="3"/>
      <c r="D371" s="4"/>
      <c r="E371" s="4" t="s">
        <v>210</v>
      </c>
      <c r="F371" s="5" t="s">
        <v>333</v>
      </c>
      <c r="G371" s="21">
        <v>14.7</v>
      </c>
      <c r="H371" s="21"/>
      <c r="I371" s="3"/>
      <c r="J371" s="3"/>
    </row>
    <row r="372" spans="1:14" s="5" customFormat="1" ht="12" x14ac:dyDescent="0.2">
      <c r="A372" s="3"/>
      <c r="B372" s="3"/>
      <c r="C372" s="3"/>
      <c r="D372" s="4"/>
      <c r="E372" s="4" t="s">
        <v>334</v>
      </c>
      <c r="F372" s="5" t="s">
        <v>335</v>
      </c>
      <c r="G372" s="21">
        <v>3.8</v>
      </c>
      <c r="H372" s="21"/>
      <c r="I372" s="3"/>
      <c r="J372" s="3"/>
    </row>
    <row r="373" spans="1:14" s="5" customFormat="1" ht="12" x14ac:dyDescent="0.2">
      <c r="A373" s="3"/>
      <c r="B373" s="3"/>
      <c r="C373" s="3"/>
      <c r="D373" s="4"/>
      <c r="E373" s="4" t="s">
        <v>98</v>
      </c>
      <c r="F373" s="5" t="s">
        <v>336</v>
      </c>
      <c r="G373" s="21">
        <v>6.3</v>
      </c>
      <c r="H373" s="21"/>
      <c r="I373" s="3"/>
      <c r="J373" s="3"/>
    </row>
    <row r="374" spans="1:14" s="5" customFormat="1" ht="12" x14ac:dyDescent="0.2">
      <c r="A374" s="3"/>
      <c r="B374" s="3"/>
      <c r="C374" s="3"/>
      <c r="D374" s="4"/>
      <c r="E374" s="4"/>
      <c r="G374" s="21"/>
      <c r="H374" s="21"/>
      <c r="I374" s="3"/>
      <c r="J374" s="3"/>
    </row>
    <row r="375" spans="1:14" s="30" customFormat="1" ht="12" x14ac:dyDescent="0.2">
      <c r="A375" s="41">
        <v>45711</v>
      </c>
      <c r="B375" s="41">
        <v>45725</v>
      </c>
      <c r="C375" s="42">
        <v>340</v>
      </c>
      <c r="D375" s="43" t="s">
        <v>157</v>
      </c>
      <c r="E375" s="43" t="s">
        <v>19</v>
      </c>
      <c r="F375" s="30" t="s">
        <v>337</v>
      </c>
      <c r="G375" s="38">
        <v>56.1</v>
      </c>
      <c r="H375" s="38"/>
      <c r="I375" s="42">
        <v>83.1</v>
      </c>
      <c r="J375" s="42"/>
      <c r="K375" s="53">
        <v>45931</v>
      </c>
      <c r="L375" s="53">
        <v>48852</v>
      </c>
      <c r="M375" s="30" t="s">
        <v>19</v>
      </c>
      <c r="N375" s="30" t="s">
        <v>222</v>
      </c>
    </row>
    <row r="376" spans="1:14" s="5" customFormat="1" ht="12" x14ac:dyDescent="0.2">
      <c r="A376" s="3"/>
      <c r="B376" s="3"/>
      <c r="C376" s="3"/>
      <c r="D376" s="4"/>
      <c r="E376" s="4" t="s">
        <v>21</v>
      </c>
      <c r="F376" s="5" t="s">
        <v>223</v>
      </c>
      <c r="G376" s="21">
        <v>43.9</v>
      </c>
      <c r="H376" s="21"/>
      <c r="I376" s="3"/>
      <c r="J376" s="3"/>
    </row>
    <row r="377" spans="1:14" s="5" customFormat="1" ht="12" x14ac:dyDescent="0.2">
      <c r="A377" s="3"/>
      <c r="B377" s="3"/>
      <c r="C377" s="3"/>
      <c r="D377" s="4"/>
      <c r="E377" s="4"/>
      <c r="G377" s="21"/>
      <c r="H377" s="21"/>
      <c r="I377" s="3"/>
      <c r="J377" s="3"/>
    </row>
    <row r="378" spans="1:14" s="30" customFormat="1" ht="12" x14ac:dyDescent="0.2">
      <c r="A378" s="41">
        <v>45753</v>
      </c>
      <c r="B378" s="41">
        <v>45774</v>
      </c>
      <c r="C378" s="42">
        <v>138</v>
      </c>
      <c r="D378" s="43" t="s">
        <v>161</v>
      </c>
      <c r="E378" s="43" t="s">
        <v>338</v>
      </c>
      <c r="F378" s="30" t="s">
        <v>92</v>
      </c>
      <c r="G378" s="38">
        <v>86.5</v>
      </c>
      <c r="H378" s="38"/>
      <c r="I378" s="42">
        <v>31.2</v>
      </c>
      <c r="J378" s="42"/>
      <c r="K378" s="53">
        <v>46023</v>
      </c>
      <c r="L378" s="53">
        <v>48944</v>
      </c>
      <c r="M378" s="30" t="s">
        <v>19</v>
      </c>
      <c r="N378" s="30" t="s">
        <v>92</v>
      </c>
    </row>
    <row r="379" spans="1:14" s="5" customFormat="1" ht="12" x14ac:dyDescent="0.2">
      <c r="A379" s="3"/>
      <c r="B379" s="3"/>
      <c r="C379" s="3"/>
      <c r="D379" s="4"/>
      <c r="E379" s="4"/>
      <c r="G379" s="21"/>
      <c r="H379" s="21"/>
      <c r="I379" s="3"/>
      <c r="J379" s="3"/>
    </row>
    <row r="380" spans="1:14" s="30" customFormat="1" ht="12" x14ac:dyDescent="0.2">
      <c r="A380" s="41">
        <v>45795</v>
      </c>
      <c r="B380" s="41">
        <v>45809</v>
      </c>
      <c r="C380" s="42">
        <v>335</v>
      </c>
      <c r="D380" s="43" t="s">
        <v>154</v>
      </c>
      <c r="E380" s="43" t="s">
        <v>19</v>
      </c>
      <c r="F380" s="30" t="s">
        <v>240</v>
      </c>
      <c r="G380" s="38">
        <v>68.599999999999994</v>
      </c>
      <c r="H380" s="38"/>
      <c r="I380" s="42">
        <v>34.200000000000003</v>
      </c>
      <c r="J380" s="42"/>
      <c r="K380" s="53">
        <v>46000</v>
      </c>
      <c r="L380" s="53">
        <v>48556</v>
      </c>
      <c r="M380" s="30" t="s">
        <v>19</v>
      </c>
      <c r="N380" s="30" t="s">
        <v>240</v>
      </c>
    </row>
    <row r="381" spans="1:14" s="5" customFormat="1" ht="12" x14ac:dyDescent="0.2">
      <c r="A381" s="3"/>
      <c r="B381" s="3"/>
      <c r="C381" s="3"/>
      <c r="D381" s="4"/>
      <c r="E381" s="4" t="s">
        <v>21</v>
      </c>
      <c r="F381" s="5" t="s">
        <v>339</v>
      </c>
      <c r="G381" s="21">
        <v>31.4</v>
      </c>
      <c r="H381" s="21"/>
      <c r="I381" s="3"/>
      <c r="J381" s="3"/>
    </row>
    <row r="382" spans="1:14" s="5" customFormat="1" ht="12" x14ac:dyDescent="0.2">
      <c r="A382" s="3"/>
      <c r="B382" s="3"/>
      <c r="C382" s="3"/>
      <c r="D382" s="4"/>
      <c r="E382" s="4"/>
      <c r="G382" s="21"/>
      <c r="H382" s="21"/>
      <c r="I382" s="3"/>
      <c r="J382" s="3"/>
    </row>
    <row r="383" spans="1:14" s="5" customFormat="1" ht="12" x14ac:dyDescent="0.2">
      <c r="A383" s="3"/>
      <c r="B383" s="3"/>
      <c r="C383" s="3"/>
      <c r="D383" s="4"/>
      <c r="E383" s="4"/>
      <c r="G383" s="21"/>
      <c r="H383" s="21"/>
      <c r="I383" s="3"/>
      <c r="J383" s="3"/>
    </row>
    <row r="384" spans="1:14" s="5" customFormat="1" ht="12" x14ac:dyDescent="0.2">
      <c r="A384" s="3"/>
      <c r="B384" s="3"/>
      <c r="C384" s="3"/>
      <c r="D384" s="4"/>
      <c r="E384" s="4"/>
      <c r="G384" s="21"/>
      <c r="H384" s="21"/>
      <c r="I384" s="3"/>
      <c r="J384" s="3"/>
    </row>
    <row r="385" spans="1:10" s="5" customFormat="1" ht="12" x14ac:dyDescent="0.2">
      <c r="A385" s="3"/>
      <c r="B385" s="3"/>
      <c r="C385" s="3"/>
      <c r="D385" s="4"/>
      <c r="E385" s="4"/>
      <c r="G385" s="21"/>
      <c r="H385" s="21"/>
      <c r="I385" s="3"/>
      <c r="J385" s="3"/>
    </row>
    <row r="386" spans="1:10" s="5" customFormat="1" ht="12" x14ac:dyDescent="0.2">
      <c r="A386" s="3"/>
      <c r="B386" s="3"/>
      <c r="C386" s="3"/>
      <c r="D386" s="4"/>
      <c r="E386" s="4"/>
      <c r="G386" s="21"/>
      <c r="H386" s="21"/>
      <c r="I386" s="3"/>
      <c r="J386" s="3"/>
    </row>
    <row r="387" spans="1:10" s="5" customFormat="1" ht="12" x14ac:dyDescent="0.2">
      <c r="A387" s="3"/>
      <c r="B387" s="3"/>
      <c r="C387" s="3"/>
      <c r="D387" s="4"/>
      <c r="E387" s="4"/>
      <c r="G387" s="21"/>
      <c r="H387" s="21"/>
      <c r="I387" s="3"/>
      <c r="J387" s="3"/>
    </row>
    <row r="388" spans="1:10" s="5" customFormat="1" ht="12" x14ac:dyDescent="0.2">
      <c r="A388" s="3"/>
      <c r="B388" s="3"/>
      <c r="C388" s="3"/>
      <c r="D388" s="4"/>
      <c r="E388" s="4"/>
      <c r="G388" s="21"/>
      <c r="H388" s="21"/>
      <c r="I388" s="3"/>
      <c r="J388" s="3"/>
    </row>
    <row r="389" spans="1:10" s="5" customFormat="1" ht="12" x14ac:dyDescent="0.2">
      <c r="A389" s="3"/>
      <c r="B389" s="3"/>
      <c r="C389" s="3"/>
      <c r="D389" s="4"/>
      <c r="E389" s="4"/>
      <c r="G389" s="21"/>
      <c r="H389" s="21"/>
      <c r="I389" s="3"/>
      <c r="J389" s="3"/>
    </row>
    <row r="390" spans="1:10" s="5" customFormat="1" ht="12" x14ac:dyDescent="0.2">
      <c r="A390" s="3"/>
      <c r="B390" s="3"/>
      <c r="C390" s="3"/>
      <c r="D390" s="4"/>
      <c r="E390" s="4"/>
      <c r="G390" s="21"/>
      <c r="H390" s="21"/>
      <c r="I390" s="3"/>
      <c r="J390" s="3"/>
    </row>
    <row r="391" spans="1:10" s="5" customFormat="1" ht="12" x14ac:dyDescent="0.2">
      <c r="A391" s="3"/>
      <c r="B391" s="3"/>
      <c r="C391" s="3"/>
      <c r="D391" s="4"/>
      <c r="E391" s="4"/>
      <c r="G391" s="21"/>
      <c r="H391" s="21"/>
      <c r="I391" s="3"/>
      <c r="J391" s="3"/>
    </row>
    <row r="392" spans="1:10" s="5" customFormat="1" ht="12" x14ac:dyDescent="0.2">
      <c r="A392" s="3"/>
      <c r="B392" s="3"/>
      <c r="C392" s="3"/>
      <c r="D392" s="4"/>
      <c r="E392" s="4"/>
      <c r="G392" s="21"/>
      <c r="H392" s="21"/>
      <c r="I392" s="3"/>
      <c r="J392" s="3"/>
    </row>
    <row r="393" spans="1:10" s="5" customFormat="1" ht="12" x14ac:dyDescent="0.2">
      <c r="A393" s="3"/>
      <c r="B393" s="3"/>
      <c r="C393" s="3"/>
      <c r="D393" s="4"/>
      <c r="E393" s="4"/>
      <c r="G393" s="21"/>
      <c r="H393" s="21"/>
      <c r="I393" s="3"/>
      <c r="J393" s="3"/>
    </row>
    <row r="394" spans="1:10" s="5" customFormat="1" ht="12" x14ac:dyDescent="0.2">
      <c r="A394" s="3"/>
      <c r="B394" s="3"/>
      <c r="C394" s="3"/>
      <c r="D394" s="4"/>
      <c r="E394" s="4"/>
      <c r="G394" s="21"/>
      <c r="H394" s="21"/>
      <c r="I394" s="3"/>
      <c r="J394" s="3"/>
    </row>
    <row r="395" spans="1:10" s="5" customFormat="1" ht="12" x14ac:dyDescent="0.2">
      <c r="A395" s="3"/>
      <c r="B395" s="3"/>
      <c r="C395" s="3"/>
      <c r="D395" s="4"/>
      <c r="E395" s="4"/>
      <c r="G395" s="21"/>
      <c r="H395" s="21"/>
      <c r="I395" s="3"/>
      <c r="J395" s="3"/>
    </row>
    <row r="396" spans="1:10" s="5" customFormat="1" ht="12" x14ac:dyDescent="0.2">
      <c r="A396" s="3"/>
      <c r="B396" s="3"/>
      <c r="C396" s="3"/>
      <c r="D396" s="4"/>
      <c r="E396" s="4"/>
      <c r="G396" s="21"/>
      <c r="H396" s="21"/>
      <c r="I396" s="3"/>
      <c r="J396" s="3"/>
    </row>
    <row r="397" spans="1:10" s="5" customFormat="1" ht="12" x14ac:dyDescent="0.2">
      <c r="A397" s="3"/>
      <c r="B397" s="3"/>
      <c r="C397" s="3"/>
      <c r="D397" s="4"/>
      <c r="E397" s="4"/>
      <c r="G397" s="21"/>
      <c r="H397" s="21"/>
      <c r="I397" s="3"/>
      <c r="J397" s="3"/>
    </row>
    <row r="398" spans="1:10" s="5" customFormat="1" ht="12" x14ac:dyDescent="0.2">
      <c r="A398" s="3"/>
      <c r="B398" s="3"/>
      <c r="C398" s="3"/>
      <c r="D398" s="4"/>
      <c r="E398" s="4"/>
      <c r="G398" s="21"/>
      <c r="H398" s="21"/>
      <c r="I398" s="3"/>
      <c r="J398" s="3"/>
    </row>
    <row r="399" spans="1:10" s="5" customFormat="1" ht="12" x14ac:dyDescent="0.2">
      <c r="A399" s="3"/>
      <c r="B399" s="3"/>
      <c r="C399" s="3"/>
      <c r="D399" s="4"/>
      <c r="E399" s="4"/>
      <c r="G399" s="21"/>
      <c r="H399" s="21"/>
      <c r="I399" s="3"/>
      <c r="J399" s="3"/>
    </row>
    <row r="400" spans="1:10" s="5" customFormat="1" ht="12" x14ac:dyDescent="0.2">
      <c r="A400" s="3"/>
      <c r="B400" s="3"/>
      <c r="C400" s="3"/>
      <c r="D400" s="4"/>
      <c r="E400" s="4"/>
      <c r="G400" s="21"/>
      <c r="H400" s="21"/>
      <c r="I400" s="3"/>
      <c r="J400" s="3"/>
    </row>
    <row r="401" spans="1:10" s="5" customFormat="1" ht="12" x14ac:dyDescent="0.2">
      <c r="A401" s="3"/>
      <c r="B401" s="3"/>
      <c r="C401" s="3"/>
      <c r="D401" s="4"/>
      <c r="E401" s="4"/>
      <c r="G401" s="21"/>
      <c r="H401" s="21"/>
      <c r="I401" s="3"/>
      <c r="J401" s="3"/>
    </row>
    <row r="402" spans="1:10" s="5" customFormat="1" ht="12" x14ac:dyDescent="0.2">
      <c r="A402" s="3"/>
      <c r="B402" s="3"/>
      <c r="C402" s="3"/>
      <c r="D402" s="4"/>
      <c r="E402" s="4"/>
      <c r="G402" s="21"/>
      <c r="H402" s="21"/>
      <c r="I402" s="3"/>
      <c r="J402" s="3"/>
    </row>
    <row r="403" spans="1:10" s="5" customFormat="1" ht="12" x14ac:dyDescent="0.2">
      <c r="A403" s="3"/>
      <c r="B403" s="3"/>
      <c r="C403" s="3"/>
      <c r="D403" s="4"/>
      <c r="E403" s="4"/>
      <c r="G403" s="21"/>
      <c r="H403" s="21"/>
      <c r="I403" s="3"/>
      <c r="J403" s="3"/>
    </row>
    <row r="404" spans="1:10" s="5" customFormat="1" ht="12" x14ac:dyDescent="0.2">
      <c r="A404" s="3"/>
      <c r="B404" s="3"/>
      <c r="C404" s="3"/>
      <c r="D404" s="4"/>
      <c r="E404" s="4"/>
      <c r="G404" s="3"/>
      <c r="H404" s="21"/>
      <c r="I404" s="3"/>
      <c r="J404" s="3"/>
    </row>
    <row r="405" spans="1:10" s="5" customFormat="1" ht="12" x14ac:dyDescent="0.2">
      <c r="A405" s="3"/>
      <c r="B405" s="3"/>
      <c r="C405" s="3"/>
      <c r="D405" s="4"/>
      <c r="E405" s="4"/>
      <c r="G405" s="3"/>
      <c r="H405" s="21"/>
      <c r="I405" s="3"/>
      <c r="J405" s="3"/>
    </row>
    <row r="406" spans="1:10" s="5" customFormat="1" ht="12" x14ac:dyDescent="0.2">
      <c r="A406" s="3"/>
      <c r="B406" s="3"/>
      <c r="C406" s="3"/>
      <c r="D406" s="4"/>
      <c r="E406" s="4"/>
      <c r="G406" s="3"/>
      <c r="H406" s="21"/>
      <c r="I406" s="3"/>
      <c r="J406" s="3"/>
    </row>
    <row r="407" spans="1:10" s="5" customFormat="1" ht="12" x14ac:dyDescent="0.2">
      <c r="A407" s="3"/>
      <c r="B407" s="3"/>
      <c r="C407" s="3"/>
      <c r="D407" s="4"/>
      <c r="E407" s="4"/>
      <c r="G407" s="3"/>
      <c r="H407" s="21"/>
      <c r="I407" s="3"/>
      <c r="J407" s="3"/>
    </row>
    <row r="408" spans="1:10" s="5" customFormat="1" ht="12" x14ac:dyDescent="0.2">
      <c r="A408" s="3"/>
      <c r="B408" s="3"/>
      <c r="C408" s="3"/>
      <c r="D408" s="4"/>
      <c r="E408" s="4"/>
      <c r="G408" s="3"/>
      <c r="H408" s="21"/>
      <c r="I408" s="3"/>
      <c r="J408" s="3"/>
    </row>
    <row r="409" spans="1:10" s="5" customFormat="1" ht="12" x14ac:dyDescent="0.2">
      <c r="A409" s="3"/>
      <c r="B409" s="3"/>
      <c r="C409" s="3"/>
      <c r="D409" s="4"/>
      <c r="E409" s="4"/>
      <c r="G409" s="3"/>
      <c r="H409" s="21"/>
      <c r="I409" s="3"/>
      <c r="J409" s="3"/>
    </row>
    <row r="410" spans="1:10" s="5" customFormat="1" ht="12" x14ac:dyDescent="0.2">
      <c r="A410" s="3"/>
      <c r="B410" s="3"/>
      <c r="C410" s="3"/>
      <c r="D410" s="4"/>
      <c r="E410" s="4"/>
      <c r="G410" s="3"/>
      <c r="H410" s="21"/>
      <c r="I410" s="3"/>
      <c r="J410" s="3"/>
    </row>
    <row r="411" spans="1:10" s="5" customFormat="1" ht="12" x14ac:dyDescent="0.2">
      <c r="A411" s="3"/>
      <c r="B411" s="3"/>
      <c r="C411" s="3"/>
      <c r="D411" s="4"/>
      <c r="E411" s="4"/>
      <c r="G411" s="3"/>
      <c r="H411" s="21"/>
      <c r="I411" s="3"/>
      <c r="J411" s="3"/>
    </row>
    <row r="412" spans="1:10" s="5" customFormat="1" ht="12" x14ac:dyDescent="0.2">
      <c r="A412" s="3"/>
      <c r="B412" s="3"/>
      <c r="C412" s="3"/>
      <c r="D412" s="4"/>
      <c r="E412" s="4"/>
      <c r="G412" s="3"/>
      <c r="H412" s="21"/>
      <c r="I412" s="3"/>
      <c r="J412" s="3"/>
    </row>
    <row r="413" spans="1:10" s="5" customFormat="1" ht="12" x14ac:dyDescent="0.2">
      <c r="A413" s="3"/>
      <c r="B413" s="3"/>
      <c r="C413" s="3"/>
      <c r="D413" s="4"/>
      <c r="E413" s="4"/>
      <c r="G413" s="3"/>
      <c r="H413" s="21"/>
      <c r="I413" s="3"/>
      <c r="J413" s="3"/>
    </row>
    <row r="414" spans="1:10" s="5" customFormat="1" ht="12" x14ac:dyDescent="0.2">
      <c r="A414" s="3"/>
      <c r="B414" s="3"/>
      <c r="C414" s="3"/>
      <c r="D414" s="4"/>
      <c r="E414" s="4"/>
      <c r="G414" s="3"/>
      <c r="H414" s="21"/>
      <c r="I414" s="3"/>
      <c r="J414" s="3"/>
    </row>
    <row r="415" spans="1:10" s="5" customFormat="1" ht="12" x14ac:dyDescent="0.2">
      <c r="A415" s="3"/>
      <c r="B415" s="3"/>
      <c r="C415" s="3"/>
      <c r="D415" s="4"/>
      <c r="E415" s="4"/>
      <c r="G415" s="3"/>
      <c r="H415" s="21"/>
      <c r="I415" s="3"/>
      <c r="J415" s="3"/>
    </row>
    <row r="416" spans="1:10" s="5" customFormat="1" ht="12" x14ac:dyDescent="0.2">
      <c r="A416" s="3"/>
      <c r="B416" s="3"/>
      <c r="C416" s="3"/>
      <c r="D416" s="4"/>
      <c r="E416" s="4"/>
      <c r="G416" s="3"/>
      <c r="H416" s="21"/>
      <c r="I416" s="3"/>
      <c r="J416" s="3"/>
    </row>
    <row r="417" spans="5:8" x14ac:dyDescent="0.2">
      <c r="E417" s="10"/>
      <c r="H417" s="54"/>
    </row>
    <row r="418" spans="5:8" x14ac:dyDescent="0.2">
      <c r="E418" s="10"/>
      <c r="H418" s="54"/>
    </row>
    <row r="419" spans="5:8" x14ac:dyDescent="0.2">
      <c r="E419" s="10"/>
      <c r="H419" s="54"/>
    </row>
    <row r="420" spans="5:8" x14ac:dyDescent="0.2">
      <c r="E420" s="10"/>
      <c r="H420" s="54"/>
    </row>
    <row r="421" spans="5:8" x14ac:dyDescent="0.2">
      <c r="E421" s="10"/>
      <c r="H421" s="54"/>
    </row>
    <row r="422" spans="5:8" x14ac:dyDescent="0.2">
      <c r="E422" s="10"/>
      <c r="H422" s="54"/>
    </row>
    <row r="423" spans="5:8" x14ac:dyDescent="0.2">
      <c r="E423" s="10"/>
      <c r="H423" s="54"/>
    </row>
    <row r="424" spans="5:8" x14ac:dyDescent="0.2">
      <c r="E424" s="10"/>
      <c r="H424" s="54"/>
    </row>
    <row r="425" spans="5:8" x14ac:dyDescent="0.2">
      <c r="E425" s="10"/>
      <c r="H425" s="54"/>
    </row>
    <row r="426" spans="5:8" x14ac:dyDescent="0.2">
      <c r="E426" s="10"/>
      <c r="H426" s="54"/>
    </row>
    <row r="427" spans="5:8" x14ac:dyDescent="0.2">
      <c r="E427" s="10"/>
      <c r="H427" s="54"/>
    </row>
    <row r="428" spans="5:8" x14ac:dyDescent="0.2">
      <c r="E428" s="10"/>
      <c r="H428" s="54"/>
    </row>
    <row r="429" spans="5:8" x14ac:dyDescent="0.2">
      <c r="E429" s="10"/>
      <c r="H429" s="54"/>
    </row>
    <row r="430" spans="5:8" x14ac:dyDescent="0.2">
      <c r="E430" s="10"/>
      <c r="H430" s="54"/>
    </row>
    <row r="431" spans="5:8" x14ac:dyDescent="0.2">
      <c r="E431" s="10"/>
      <c r="H431" s="54"/>
    </row>
    <row r="432" spans="5:8" x14ac:dyDescent="0.2">
      <c r="E432" s="10"/>
      <c r="H432" s="54"/>
    </row>
    <row r="433" spans="5:8" x14ac:dyDescent="0.2">
      <c r="E433" s="10"/>
      <c r="H433" s="54"/>
    </row>
    <row r="434" spans="5:8" x14ac:dyDescent="0.2">
      <c r="E434" s="10"/>
      <c r="H434" s="54"/>
    </row>
    <row r="435" spans="5:8" x14ac:dyDescent="0.2">
      <c r="E435" s="10"/>
      <c r="H435" s="54"/>
    </row>
    <row r="436" spans="5:8" x14ac:dyDescent="0.2">
      <c r="E436" s="10"/>
      <c r="H436" s="54"/>
    </row>
    <row r="437" spans="5:8" x14ac:dyDescent="0.2">
      <c r="E437" s="10"/>
      <c r="H437" s="54"/>
    </row>
    <row r="438" spans="5:8" x14ac:dyDescent="0.2">
      <c r="E438" s="10"/>
      <c r="H438" s="54"/>
    </row>
    <row r="439" spans="5:8" x14ac:dyDescent="0.2">
      <c r="E439" s="10"/>
      <c r="H439" s="54"/>
    </row>
    <row r="440" spans="5:8" x14ac:dyDescent="0.2">
      <c r="E440" s="10"/>
      <c r="H440" s="54"/>
    </row>
    <row r="441" spans="5:8" x14ac:dyDescent="0.2">
      <c r="E441" s="10"/>
      <c r="H441" s="54"/>
    </row>
    <row r="442" spans="5:8" x14ac:dyDescent="0.2">
      <c r="E442" s="10"/>
      <c r="H442" s="54"/>
    </row>
    <row r="443" spans="5:8" x14ac:dyDescent="0.2">
      <c r="E443" s="10"/>
      <c r="H443" s="54"/>
    </row>
    <row r="444" spans="5:8" x14ac:dyDescent="0.2">
      <c r="E444" s="10"/>
      <c r="H444" s="54"/>
    </row>
    <row r="445" spans="5:8" x14ac:dyDescent="0.2">
      <c r="E445" s="10"/>
      <c r="H445" s="54"/>
    </row>
    <row r="446" spans="5:8" x14ac:dyDescent="0.2">
      <c r="E446" s="10"/>
      <c r="H446" s="54"/>
    </row>
    <row r="447" spans="5:8" x14ac:dyDescent="0.2">
      <c r="E447" s="10"/>
      <c r="H447" s="54"/>
    </row>
    <row r="448" spans="5:8" x14ac:dyDescent="0.2">
      <c r="E448" s="10"/>
      <c r="H448" s="54"/>
    </row>
    <row r="449" spans="5:8" x14ac:dyDescent="0.2">
      <c r="E449" s="10"/>
      <c r="H449" s="54"/>
    </row>
    <row r="450" spans="5:8" x14ac:dyDescent="0.2">
      <c r="E450" s="10"/>
      <c r="H450" s="54"/>
    </row>
    <row r="451" spans="5:8" x14ac:dyDescent="0.2">
      <c r="E451" s="10"/>
      <c r="H451" s="54"/>
    </row>
    <row r="452" spans="5:8" x14ac:dyDescent="0.2">
      <c r="E452" s="10"/>
      <c r="H452" s="54"/>
    </row>
    <row r="453" spans="5:8" x14ac:dyDescent="0.2">
      <c r="E453" s="10"/>
      <c r="H453" s="54"/>
    </row>
    <row r="454" spans="5:8" x14ac:dyDescent="0.2">
      <c r="E454" s="10"/>
      <c r="H454" s="54"/>
    </row>
    <row r="455" spans="5:8" x14ac:dyDescent="0.2">
      <c r="E455" s="10"/>
      <c r="H455" s="54"/>
    </row>
    <row r="456" spans="5:8" x14ac:dyDescent="0.2">
      <c r="E456" s="10"/>
      <c r="H456" s="54"/>
    </row>
    <row r="457" spans="5:8" x14ac:dyDescent="0.2">
      <c r="E457" s="10"/>
      <c r="H457" s="54"/>
    </row>
    <row r="458" spans="5:8" x14ac:dyDescent="0.2">
      <c r="E458" s="10"/>
      <c r="H458" s="54"/>
    </row>
    <row r="459" spans="5:8" x14ac:dyDescent="0.2">
      <c r="E459" s="10"/>
      <c r="H459" s="54"/>
    </row>
    <row r="460" spans="5:8" x14ac:dyDescent="0.2">
      <c r="E460" s="10"/>
      <c r="H460" s="54"/>
    </row>
    <row r="461" spans="5:8" x14ac:dyDescent="0.2">
      <c r="E461" s="10"/>
      <c r="H461" s="54"/>
    </row>
    <row r="462" spans="5:8" x14ac:dyDescent="0.2">
      <c r="E462" s="10"/>
      <c r="H462" s="54"/>
    </row>
    <row r="463" spans="5:8" x14ac:dyDescent="0.2">
      <c r="E463" s="10"/>
      <c r="H463" s="54"/>
    </row>
    <row r="464" spans="5:8" x14ac:dyDescent="0.2">
      <c r="E464" s="10"/>
      <c r="H464" s="54"/>
    </row>
    <row r="465" spans="5:8" x14ac:dyDescent="0.2">
      <c r="E465" s="10"/>
      <c r="H465" s="54"/>
    </row>
    <row r="466" spans="5:8" x14ac:dyDescent="0.2">
      <c r="E466" s="10"/>
      <c r="H466" s="54"/>
    </row>
    <row r="467" spans="5:8" x14ac:dyDescent="0.2">
      <c r="E467" s="10"/>
      <c r="H467" s="54"/>
    </row>
    <row r="468" spans="5:8" x14ac:dyDescent="0.2">
      <c r="E468" s="10"/>
      <c r="H468" s="54"/>
    </row>
    <row r="469" spans="5:8" x14ac:dyDescent="0.2">
      <c r="E469" s="10"/>
      <c r="H469" s="54"/>
    </row>
    <row r="470" spans="5:8" x14ac:dyDescent="0.2">
      <c r="E470" s="10"/>
      <c r="H470" s="54"/>
    </row>
    <row r="471" spans="5:8" x14ac:dyDescent="0.2">
      <c r="E471" s="10"/>
      <c r="H471" s="54"/>
    </row>
    <row r="472" spans="5:8" x14ac:dyDescent="0.2">
      <c r="E472" s="10"/>
      <c r="H472" s="54"/>
    </row>
    <row r="473" spans="5:8" x14ac:dyDescent="0.2">
      <c r="E473" s="10"/>
      <c r="H473" s="54"/>
    </row>
    <row r="474" spans="5:8" x14ac:dyDescent="0.2">
      <c r="E474" s="10"/>
      <c r="H474" s="54"/>
    </row>
    <row r="475" spans="5:8" x14ac:dyDescent="0.2">
      <c r="E475" s="10"/>
      <c r="H475" s="54"/>
    </row>
    <row r="476" spans="5:8" x14ac:dyDescent="0.2">
      <c r="E476" s="10"/>
      <c r="H476" s="54"/>
    </row>
    <row r="477" spans="5:8" x14ac:dyDescent="0.2">
      <c r="E477" s="10"/>
      <c r="H477" s="54"/>
    </row>
    <row r="478" spans="5:8" x14ac:dyDescent="0.2">
      <c r="E478" s="10"/>
      <c r="H478" s="54"/>
    </row>
    <row r="479" spans="5:8" x14ac:dyDescent="0.2">
      <c r="E479" s="10"/>
      <c r="H479" s="54"/>
    </row>
    <row r="480" spans="5:8" x14ac:dyDescent="0.2">
      <c r="E480" s="10"/>
      <c r="H480" s="54"/>
    </row>
    <row r="481" spans="5:8" x14ac:dyDescent="0.2">
      <c r="E481" s="10"/>
      <c r="H481" s="54"/>
    </row>
    <row r="482" spans="5:8" x14ac:dyDescent="0.2">
      <c r="E482" s="10"/>
      <c r="H482" s="54"/>
    </row>
    <row r="483" spans="5:8" x14ac:dyDescent="0.2">
      <c r="E483" s="10"/>
      <c r="H483" s="54"/>
    </row>
    <row r="484" spans="5:8" x14ac:dyDescent="0.2">
      <c r="E484" s="10"/>
      <c r="H484" s="54"/>
    </row>
    <row r="485" spans="5:8" x14ac:dyDescent="0.2">
      <c r="E485" s="10"/>
      <c r="H485" s="54"/>
    </row>
    <row r="486" spans="5:8" x14ac:dyDescent="0.2">
      <c r="E486" s="10"/>
      <c r="H486" s="54"/>
    </row>
    <row r="487" spans="5:8" x14ac:dyDescent="0.2">
      <c r="E487" s="10"/>
      <c r="H487" s="54"/>
    </row>
    <row r="488" spans="5:8" x14ac:dyDescent="0.2">
      <c r="E488" s="10"/>
      <c r="H488" s="54"/>
    </row>
    <row r="489" spans="5:8" x14ac:dyDescent="0.2">
      <c r="E489" s="10"/>
      <c r="H489" s="54"/>
    </row>
    <row r="490" spans="5:8" x14ac:dyDescent="0.2">
      <c r="E490" s="10"/>
      <c r="H490" s="54"/>
    </row>
    <row r="491" spans="5:8" x14ac:dyDescent="0.2">
      <c r="E491" s="10"/>
      <c r="H491" s="54"/>
    </row>
    <row r="492" spans="5:8" x14ac:dyDescent="0.2">
      <c r="E492" s="10"/>
      <c r="H492" s="54"/>
    </row>
    <row r="493" spans="5:8" x14ac:dyDescent="0.2">
      <c r="E493" s="10"/>
      <c r="H493" s="54"/>
    </row>
    <row r="494" spans="5:8" x14ac:dyDescent="0.2">
      <c r="E494" s="10"/>
      <c r="H494" s="54"/>
    </row>
    <row r="495" spans="5:8" x14ac:dyDescent="0.2">
      <c r="E495" s="10"/>
      <c r="H495" s="54"/>
    </row>
    <row r="496" spans="5:8" x14ac:dyDescent="0.2">
      <c r="E496" s="10"/>
      <c r="H496" s="54"/>
    </row>
    <row r="497" spans="5:8" x14ac:dyDescent="0.2">
      <c r="E497" s="10"/>
      <c r="H497" s="54"/>
    </row>
    <row r="498" spans="5:8" x14ac:dyDescent="0.2">
      <c r="E498" s="10"/>
    </row>
    <row r="499" spans="5:8" x14ac:dyDescent="0.2">
      <c r="E499" s="10"/>
    </row>
    <row r="500" spans="5:8" x14ac:dyDescent="0.2">
      <c r="E500" s="10"/>
    </row>
    <row r="501" spans="5:8" x14ac:dyDescent="0.2">
      <c r="E501" s="10"/>
    </row>
    <row r="502" spans="5:8" x14ac:dyDescent="0.2">
      <c r="E502" s="10"/>
    </row>
    <row r="503" spans="5:8" x14ac:dyDescent="0.2">
      <c r="E503" s="10"/>
    </row>
    <row r="504" spans="5:8" x14ac:dyDescent="0.2">
      <c r="E504" s="10"/>
    </row>
    <row r="505" spans="5:8" x14ac:dyDescent="0.2">
      <c r="E505" s="10"/>
    </row>
    <row r="506" spans="5:8" x14ac:dyDescent="0.2">
      <c r="E506" s="10"/>
    </row>
    <row r="507" spans="5:8" x14ac:dyDescent="0.2">
      <c r="E507" s="10"/>
    </row>
    <row r="508" spans="5:8" x14ac:dyDescent="0.2">
      <c r="E508" s="10"/>
    </row>
  </sheetData>
  <autoFilter ref="C1:C235" xr:uid="{00000000-0009-0000-0000-000000000000}"/>
  <mergeCells count="19">
    <mergeCell ref="G3:H3"/>
    <mergeCell ref="E4:E5"/>
    <mergeCell ref="F4:F5"/>
    <mergeCell ref="G4:G5"/>
    <mergeCell ref="H4:H5"/>
    <mergeCell ref="A3:A5"/>
    <mergeCell ref="B3:B5"/>
    <mergeCell ref="C3:C5"/>
    <mergeCell ref="D3:D5"/>
    <mergeCell ref="E3:F3"/>
    <mergeCell ref="L4:L5"/>
    <mergeCell ref="M4:M5"/>
    <mergeCell ref="N4:N5"/>
    <mergeCell ref="I3:J3"/>
    <mergeCell ref="K3:L3"/>
    <mergeCell ref="M3:N3"/>
    <mergeCell ref="K4:K5"/>
    <mergeCell ref="I4:I5"/>
    <mergeCell ref="J4:J5"/>
  </mergeCells>
  <phoneticPr fontId="0" type="noConversion"/>
  <printOptions horizontalCentered="1"/>
  <pageMargins left="0.39370078740157483" right="0.39370078740157483" top="0.98425196850393704" bottom="0.78740157480314965" header="0.59055118110236227" footer="0.59055118110236227"/>
  <pageSetup paperSize="9" fitToHeight="0" orientation="landscape" horizontalDpi="4294967292" verticalDpi="300" r:id="rId1"/>
  <headerFooter alignWithMargins="0">
    <oddFooter>&amp;L&amp;9 EB = Einzelbewerber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9577-606A-4DEF-A156-162509869D56}">
  <sheetPr>
    <pageSetUpPr fitToPage="1"/>
  </sheetPr>
  <dimension ref="A1:O263"/>
  <sheetViews>
    <sheetView workbookViewId="0">
      <pane ySplit="5" topLeftCell="A234" activePane="bottomLeft" state="frozen"/>
      <selection pane="bottomLeft" activeCell="O269" sqref="O269"/>
    </sheetView>
  </sheetViews>
  <sheetFormatPr baseColWidth="10" defaultColWidth="11.5703125" defaultRowHeight="12.75" x14ac:dyDescent="0.2"/>
  <cols>
    <col min="1" max="2" width="10.7109375" style="213" customWidth="1"/>
    <col min="3" max="3" width="10.7109375" style="214" customWidth="1"/>
    <col min="4" max="4" width="25.28515625" style="112" customWidth="1"/>
    <col min="5" max="5" width="15.85546875" style="112" customWidth="1"/>
    <col min="6" max="6" width="34.85546875" style="112" bestFit="1" customWidth="1"/>
    <col min="7" max="7" width="10.140625" style="256" bestFit="1" customWidth="1"/>
    <col min="8" max="8" width="9.5703125" style="269" bestFit="1" customWidth="1"/>
    <col min="9" max="9" width="9.42578125" style="259" bestFit="1" customWidth="1"/>
    <col min="10" max="10" width="9.5703125" style="112" bestFit="1" customWidth="1"/>
    <col min="11" max="11" width="9" style="112" bestFit="1" customWidth="1"/>
    <col min="12" max="12" width="10.42578125" style="214" bestFit="1" customWidth="1"/>
    <col min="13" max="13" width="10.140625" style="214" bestFit="1" customWidth="1"/>
    <col min="14" max="14" width="15.140625" style="258" customWidth="1"/>
    <col min="15" max="15" width="29.85546875" style="112" bestFit="1" customWidth="1"/>
    <col min="16" max="16384" width="11.5703125" style="111"/>
  </cols>
  <sheetData>
    <row r="1" spans="1:15" s="222" customFormat="1" ht="15.95" customHeight="1" x14ac:dyDescent="0.25">
      <c r="A1" s="218" t="s">
        <v>2541</v>
      </c>
      <c r="B1" s="218"/>
      <c r="C1" s="218"/>
      <c r="D1" s="218"/>
      <c r="E1" s="218"/>
      <c r="F1" s="218"/>
      <c r="G1" s="219"/>
      <c r="H1" s="220"/>
      <c r="I1" s="220"/>
      <c r="J1" s="218"/>
      <c r="K1" s="218"/>
      <c r="L1" s="221"/>
      <c r="M1" s="221"/>
      <c r="N1" s="218"/>
      <c r="O1" s="221"/>
    </row>
    <row r="2" spans="1:15" s="222" customFormat="1" ht="15.75" customHeight="1" x14ac:dyDescent="0.25">
      <c r="A2" s="218"/>
      <c r="B2" s="218"/>
      <c r="C2" s="218"/>
      <c r="D2" s="218"/>
      <c r="E2" s="218"/>
      <c r="F2" s="218"/>
      <c r="G2" s="219"/>
      <c r="H2" s="223"/>
      <c r="I2" s="223"/>
      <c r="J2" s="218"/>
      <c r="K2" s="218"/>
      <c r="N2" s="219"/>
    </row>
    <row r="3" spans="1:15" ht="14.1" customHeight="1" x14ac:dyDescent="0.2">
      <c r="A3" s="283" t="s">
        <v>137</v>
      </c>
      <c r="B3" s="284" t="s">
        <v>165</v>
      </c>
      <c r="C3" s="282" t="s">
        <v>166</v>
      </c>
      <c r="D3" s="282" t="s">
        <v>167</v>
      </c>
      <c r="E3" s="281" t="s">
        <v>134</v>
      </c>
      <c r="F3" s="281"/>
      <c r="G3" s="285" t="s">
        <v>2542</v>
      </c>
      <c r="H3" s="280" t="s">
        <v>168</v>
      </c>
      <c r="I3" s="280"/>
      <c r="J3" s="281" t="s">
        <v>169</v>
      </c>
      <c r="K3" s="281"/>
      <c r="L3" s="277" t="s">
        <v>138</v>
      </c>
      <c r="M3" s="277"/>
      <c r="N3" s="277" t="s">
        <v>170</v>
      </c>
      <c r="O3" s="277"/>
    </row>
    <row r="4" spans="1:15" ht="14.1" customHeight="1" x14ac:dyDescent="0.2">
      <c r="A4" s="283"/>
      <c r="B4" s="284"/>
      <c r="C4" s="282"/>
      <c r="D4" s="282"/>
      <c r="E4" s="282" t="s">
        <v>171</v>
      </c>
      <c r="F4" s="282" t="s">
        <v>172</v>
      </c>
      <c r="G4" s="286"/>
      <c r="H4" s="280" t="s">
        <v>173</v>
      </c>
      <c r="I4" s="280" t="s">
        <v>174</v>
      </c>
      <c r="J4" s="277" t="s">
        <v>173</v>
      </c>
      <c r="K4" s="277" t="s">
        <v>174</v>
      </c>
      <c r="L4" s="277" t="s">
        <v>135</v>
      </c>
      <c r="M4" s="277" t="s">
        <v>136</v>
      </c>
      <c r="N4" s="278" t="s">
        <v>171</v>
      </c>
      <c r="O4" s="277" t="s">
        <v>172</v>
      </c>
    </row>
    <row r="5" spans="1:15" ht="14.1" customHeight="1" x14ac:dyDescent="0.2">
      <c r="A5" s="283"/>
      <c r="B5" s="284"/>
      <c r="C5" s="282"/>
      <c r="D5" s="282"/>
      <c r="E5" s="282"/>
      <c r="F5" s="282"/>
      <c r="G5" s="287"/>
      <c r="H5" s="280"/>
      <c r="I5" s="280"/>
      <c r="J5" s="277"/>
      <c r="K5" s="277"/>
      <c r="L5" s="277"/>
      <c r="M5" s="277"/>
      <c r="N5" s="279"/>
      <c r="O5" s="277"/>
    </row>
    <row r="6" spans="1:15" s="106" customFormat="1" ht="18.75" customHeight="1" x14ac:dyDescent="0.2">
      <c r="A6" s="104">
        <v>34497</v>
      </c>
      <c r="B6" s="104">
        <v>34511</v>
      </c>
      <c r="C6" s="224">
        <v>11100000</v>
      </c>
      <c r="D6" s="106" t="s">
        <v>2543</v>
      </c>
      <c r="E6" s="225" t="s">
        <v>21</v>
      </c>
      <c r="F6" s="225" t="s">
        <v>2544</v>
      </c>
      <c r="G6" s="226" t="s">
        <v>349</v>
      </c>
      <c r="H6" s="227">
        <v>44.68</v>
      </c>
      <c r="I6" s="227">
        <v>50.03</v>
      </c>
      <c r="J6" s="110">
        <v>68.400000000000006</v>
      </c>
      <c r="K6" s="110">
        <v>55.7</v>
      </c>
      <c r="L6" s="104">
        <v>34621</v>
      </c>
      <c r="M6" s="104">
        <v>37542</v>
      </c>
      <c r="N6" s="110"/>
      <c r="O6" s="228"/>
    </row>
    <row r="7" spans="1:15" ht="18.75" customHeight="1" x14ac:dyDescent="0.2">
      <c r="A7" s="113"/>
      <c r="B7" s="113"/>
      <c r="C7" s="229"/>
      <c r="D7" s="106"/>
      <c r="E7" s="230" t="s">
        <v>19</v>
      </c>
      <c r="F7" s="230" t="s">
        <v>2545</v>
      </c>
      <c r="G7" s="231"/>
      <c r="H7" s="232">
        <v>48.02</v>
      </c>
      <c r="I7" s="232">
        <v>49.97</v>
      </c>
      <c r="J7" s="113"/>
      <c r="K7" s="111"/>
      <c r="L7" s="111"/>
      <c r="M7" s="111"/>
      <c r="N7" s="110"/>
      <c r="O7" s="111"/>
    </row>
    <row r="8" spans="1:15" ht="18.75" customHeight="1" x14ac:dyDescent="0.2">
      <c r="A8" s="113"/>
      <c r="B8" s="113"/>
      <c r="C8" s="229"/>
      <c r="D8" s="106"/>
      <c r="E8" s="230" t="s">
        <v>34</v>
      </c>
      <c r="F8" s="230" t="s">
        <v>2546</v>
      </c>
      <c r="G8" s="231"/>
      <c r="H8" s="232">
        <v>7.31</v>
      </c>
      <c r="I8" s="116"/>
      <c r="J8" s="113"/>
      <c r="K8" s="111"/>
      <c r="L8" s="111"/>
      <c r="M8" s="111"/>
      <c r="N8" s="110"/>
      <c r="O8" s="111"/>
    </row>
    <row r="9" spans="1:15" ht="18.75" customHeight="1" x14ac:dyDescent="0.2">
      <c r="A9" s="113"/>
      <c r="B9" s="113"/>
      <c r="C9" s="229"/>
      <c r="D9" s="111"/>
      <c r="E9" s="111"/>
      <c r="F9" s="111"/>
      <c r="G9" s="118"/>
      <c r="H9" s="116"/>
      <c r="I9" s="116"/>
      <c r="J9" s="118"/>
      <c r="K9" s="118"/>
      <c r="L9" s="113"/>
      <c r="M9" s="113"/>
      <c r="N9" s="110"/>
      <c r="O9" s="111"/>
    </row>
    <row r="10" spans="1:15" s="106" customFormat="1" ht="18.75" customHeight="1" x14ac:dyDescent="0.2">
      <c r="A10" s="104">
        <v>34497</v>
      </c>
      <c r="B10" s="104">
        <v>34511</v>
      </c>
      <c r="C10" s="224">
        <v>31700000</v>
      </c>
      <c r="D10" s="106" t="s">
        <v>2547</v>
      </c>
      <c r="E10" s="225" t="s">
        <v>21</v>
      </c>
      <c r="F10" s="225" t="s">
        <v>2548</v>
      </c>
      <c r="G10" s="226" t="s">
        <v>349</v>
      </c>
      <c r="H10" s="227">
        <v>47.73</v>
      </c>
      <c r="I10" s="227">
        <v>57.72</v>
      </c>
      <c r="J10" s="110">
        <v>65.099999999999994</v>
      </c>
      <c r="K10" s="110">
        <v>46.6</v>
      </c>
      <c r="L10" s="104">
        <v>34568</v>
      </c>
      <c r="M10" s="233">
        <v>36160</v>
      </c>
      <c r="N10" s="110"/>
    </row>
    <row r="11" spans="1:15" ht="18.75" customHeight="1" x14ac:dyDescent="0.2">
      <c r="A11" s="113"/>
      <c r="B11" s="113"/>
      <c r="C11" s="229"/>
      <c r="D11" s="106"/>
      <c r="E11" s="230" t="s">
        <v>19</v>
      </c>
      <c r="F11" s="230" t="s">
        <v>2549</v>
      </c>
      <c r="G11" s="231"/>
      <c r="H11" s="232">
        <v>28.38</v>
      </c>
      <c r="I11" s="232">
        <v>42.28</v>
      </c>
      <c r="J11" s="234"/>
      <c r="K11" s="111"/>
      <c r="L11" s="111"/>
      <c r="M11" s="111"/>
      <c r="N11" s="110"/>
      <c r="O11" s="111"/>
    </row>
    <row r="12" spans="1:15" ht="18.75" customHeight="1" x14ac:dyDescent="0.2">
      <c r="A12" s="113"/>
      <c r="B12" s="113"/>
      <c r="C12" s="229"/>
      <c r="D12" s="106"/>
      <c r="E12" s="230" t="s">
        <v>83</v>
      </c>
      <c r="F12" s="230" t="s">
        <v>2550</v>
      </c>
      <c r="G12" s="231"/>
      <c r="H12" s="232">
        <v>15.93</v>
      </c>
      <c r="I12" s="116"/>
      <c r="J12" s="234"/>
      <c r="K12" s="111"/>
      <c r="L12" s="111"/>
      <c r="M12" s="111"/>
      <c r="N12" s="110"/>
      <c r="O12" s="111"/>
    </row>
    <row r="13" spans="1:15" ht="18.75" customHeight="1" x14ac:dyDescent="0.2">
      <c r="A13" s="113"/>
      <c r="B13" s="113"/>
      <c r="C13" s="229"/>
      <c r="D13" s="106"/>
      <c r="E13" s="230" t="s">
        <v>34</v>
      </c>
      <c r="F13" s="230" t="s">
        <v>2551</v>
      </c>
      <c r="G13" s="231"/>
      <c r="H13" s="232">
        <v>7.96</v>
      </c>
      <c r="I13" s="116"/>
      <c r="J13" s="234"/>
      <c r="K13" s="111"/>
      <c r="L13" s="111"/>
      <c r="M13" s="111"/>
      <c r="N13" s="110"/>
      <c r="O13" s="111"/>
    </row>
    <row r="14" spans="1:15" ht="18.75" customHeight="1" x14ac:dyDescent="0.2">
      <c r="A14" s="113"/>
      <c r="B14" s="113"/>
      <c r="C14" s="229"/>
      <c r="D14" s="111"/>
      <c r="E14" s="111"/>
      <c r="F14" s="111"/>
      <c r="G14" s="118"/>
      <c r="H14" s="116"/>
      <c r="I14" s="116"/>
      <c r="J14" s="118"/>
      <c r="K14" s="118"/>
      <c r="L14" s="113"/>
      <c r="M14" s="234"/>
      <c r="N14" s="110"/>
      <c r="O14" s="111"/>
    </row>
    <row r="15" spans="1:15" s="106" customFormat="1" ht="18.75" customHeight="1" x14ac:dyDescent="0.2">
      <c r="A15" s="104">
        <v>34497</v>
      </c>
      <c r="B15" s="104">
        <v>34511</v>
      </c>
      <c r="C15" s="224">
        <v>31800000</v>
      </c>
      <c r="D15" s="106" t="s">
        <v>2552</v>
      </c>
      <c r="E15" s="225" t="s">
        <v>19</v>
      </c>
      <c r="F15" s="225" t="s">
        <v>2553</v>
      </c>
      <c r="G15" s="226" t="s">
        <v>349</v>
      </c>
      <c r="H15" s="227">
        <v>52</v>
      </c>
      <c r="I15" s="108"/>
      <c r="J15" s="110">
        <v>69.400000000000006</v>
      </c>
      <c r="K15" s="110"/>
      <c r="L15" s="104">
        <v>34701</v>
      </c>
      <c r="M15" s="104">
        <v>37621</v>
      </c>
      <c r="N15" s="110"/>
    </row>
    <row r="16" spans="1:15" ht="18.75" customHeight="1" x14ac:dyDescent="0.2">
      <c r="A16" s="113"/>
      <c r="B16" s="113"/>
      <c r="C16" s="229"/>
      <c r="D16" s="106"/>
      <c r="E16" s="230" t="s">
        <v>21</v>
      </c>
      <c r="F16" s="230" t="s">
        <v>2554</v>
      </c>
      <c r="G16" s="231"/>
      <c r="H16" s="232">
        <v>39.340000000000003</v>
      </c>
      <c r="I16" s="116"/>
      <c r="J16" s="113"/>
      <c r="K16" s="111"/>
      <c r="L16" s="111"/>
      <c r="M16" s="111"/>
      <c r="N16" s="110"/>
      <c r="O16" s="111"/>
    </row>
    <row r="17" spans="1:15" ht="18.75" customHeight="1" x14ac:dyDescent="0.2">
      <c r="A17" s="113"/>
      <c r="B17" s="113"/>
      <c r="C17" s="229"/>
      <c r="D17" s="106"/>
      <c r="E17" s="230" t="s">
        <v>38</v>
      </c>
      <c r="F17" s="230" t="s">
        <v>2555</v>
      </c>
      <c r="G17" s="231"/>
      <c r="H17" s="232">
        <v>8.66</v>
      </c>
      <c r="I17" s="116"/>
      <c r="J17" s="113"/>
      <c r="K17" s="111"/>
      <c r="L17" s="111"/>
      <c r="M17" s="111"/>
      <c r="N17" s="110"/>
      <c r="O17" s="111"/>
    </row>
    <row r="18" spans="1:15" ht="18.75" customHeight="1" x14ac:dyDescent="0.2">
      <c r="A18" s="111"/>
      <c r="B18" s="111"/>
      <c r="C18" s="111"/>
      <c r="D18" s="111"/>
      <c r="E18" s="111"/>
      <c r="F18" s="111"/>
      <c r="G18" s="118"/>
      <c r="H18" s="116"/>
      <c r="I18" s="116"/>
      <c r="J18" s="111"/>
      <c r="K18" s="111"/>
      <c r="L18" s="111"/>
      <c r="M18" s="111"/>
      <c r="N18" s="110"/>
      <c r="O18" s="111"/>
    </row>
    <row r="19" spans="1:15" s="106" customFormat="1" ht="18.75" customHeight="1" x14ac:dyDescent="0.2">
      <c r="A19" s="104">
        <v>35386</v>
      </c>
      <c r="B19" s="104">
        <v>35400</v>
      </c>
      <c r="C19" s="224">
        <v>31500000</v>
      </c>
      <c r="D19" s="106" t="s">
        <v>2556</v>
      </c>
      <c r="E19" s="225" t="s">
        <v>21</v>
      </c>
      <c r="F19" s="225" t="s">
        <v>2557</v>
      </c>
      <c r="G19" s="226" t="s">
        <v>349</v>
      </c>
      <c r="H19" s="227">
        <v>35.64</v>
      </c>
      <c r="I19" s="227">
        <v>51.44</v>
      </c>
      <c r="J19" s="110">
        <v>49.9</v>
      </c>
      <c r="K19" s="110">
        <v>54.7</v>
      </c>
      <c r="L19" s="104">
        <v>35554</v>
      </c>
      <c r="M19" s="104">
        <v>38475</v>
      </c>
      <c r="N19" s="110"/>
    </row>
    <row r="20" spans="1:15" ht="18.75" customHeight="1" x14ac:dyDescent="0.2">
      <c r="A20" s="113"/>
      <c r="B20" s="113"/>
      <c r="C20" s="229"/>
      <c r="D20" s="106"/>
      <c r="E20" s="230" t="s">
        <v>19</v>
      </c>
      <c r="F20" s="230" t="s">
        <v>2558</v>
      </c>
      <c r="G20" s="231"/>
      <c r="H20" s="232">
        <v>40.49</v>
      </c>
      <c r="I20" s="232">
        <v>48.56</v>
      </c>
      <c r="J20" s="113"/>
      <c r="K20" s="111"/>
      <c r="L20" s="111"/>
      <c r="M20" s="111"/>
      <c r="N20" s="110"/>
      <c r="O20" s="111"/>
    </row>
    <row r="21" spans="1:15" ht="18.75" customHeight="1" x14ac:dyDescent="0.2">
      <c r="A21" s="113"/>
      <c r="B21" s="113"/>
      <c r="C21" s="229"/>
      <c r="D21" s="106"/>
      <c r="E21" s="230" t="s">
        <v>34</v>
      </c>
      <c r="F21" s="230" t="s">
        <v>2559</v>
      </c>
      <c r="G21" s="231"/>
      <c r="H21" s="232">
        <v>11.84</v>
      </c>
      <c r="I21" s="116"/>
      <c r="J21" s="113"/>
      <c r="K21" s="111"/>
      <c r="L21" s="111"/>
      <c r="M21" s="111"/>
      <c r="N21" s="110"/>
      <c r="O21" s="111"/>
    </row>
    <row r="22" spans="1:15" ht="18.75" customHeight="1" x14ac:dyDescent="0.2">
      <c r="A22" s="113"/>
      <c r="B22" s="113"/>
      <c r="C22" s="229"/>
      <c r="D22" s="106"/>
      <c r="E22" s="230" t="s">
        <v>26</v>
      </c>
      <c r="F22" s="230" t="s">
        <v>2560</v>
      </c>
      <c r="G22" s="231"/>
      <c r="H22" s="232">
        <v>5.13</v>
      </c>
      <c r="I22" s="116"/>
      <c r="J22" s="113"/>
      <c r="K22" s="111"/>
      <c r="L22" s="111"/>
      <c r="M22" s="111"/>
      <c r="N22" s="110"/>
      <c r="O22" s="111"/>
    </row>
    <row r="23" spans="1:15" ht="18.75" customHeight="1" x14ac:dyDescent="0.2">
      <c r="A23" s="113"/>
      <c r="B23" s="113"/>
      <c r="C23" s="229"/>
      <c r="D23" s="106"/>
      <c r="E23" s="230" t="s">
        <v>2275</v>
      </c>
      <c r="F23" s="230" t="s">
        <v>2561</v>
      </c>
      <c r="G23" s="231"/>
      <c r="H23" s="232">
        <v>3.63</v>
      </c>
      <c r="I23" s="116"/>
      <c r="J23" s="113"/>
      <c r="K23" s="111"/>
      <c r="L23" s="111"/>
      <c r="M23" s="111"/>
      <c r="N23" s="110"/>
      <c r="O23" s="111"/>
    </row>
    <row r="24" spans="1:15" ht="18.75" customHeight="1" x14ac:dyDescent="0.2">
      <c r="A24" s="113"/>
      <c r="B24" s="113"/>
      <c r="C24" s="229"/>
      <c r="D24" s="106"/>
      <c r="E24" s="230" t="s">
        <v>38</v>
      </c>
      <c r="F24" s="230" t="s">
        <v>2562</v>
      </c>
      <c r="G24" s="231"/>
      <c r="H24" s="232">
        <v>3.25</v>
      </c>
      <c r="I24" s="116"/>
      <c r="J24" s="113"/>
      <c r="K24" s="111"/>
      <c r="L24" s="111"/>
      <c r="M24" s="111"/>
      <c r="N24" s="110"/>
      <c r="O24" s="111"/>
    </row>
    <row r="25" spans="1:15" ht="18.75" customHeight="1" x14ac:dyDescent="0.2">
      <c r="A25" s="113"/>
      <c r="B25" s="113"/>
      <c r="C25" s="229"/>
      <c r="D25" s="111"/>
      <c r="E25" s="111"/>
      <c r="F25" s="111"/>
      <c r="G25" s="118"/>
      <c r="H25" s="116"/>
      <c r="I25" s="116"/>
      <c r="J25" s="113"/>
      <c r="K25" s="111"/>
      <c r="L25" s="111"/>
      <c r="M25" s="111"/>
      <c r="N25" s="110"/>
      <c r="O25" s="111"/>
    </row>
    <row r="26" spans="1:15" s="106" customFormat="1" ht="18.75" customHeight="1" x14ac:dyDescent="0.2">
      <c r="A26" s="104">
        <v>35533</v>
      </c>
      <c r="B26" s="104">
        <v>35547</v>
      </c>
      <c r="C26" s="224">
        <v>31900000</v>
      </c>
      <c r="D26" s="106" t="s">
        <v>2563</v>
      </c>
      <c r="E26" s="225" t="s">
        <v>26</v>
      </c>
      <c r="F26" s="225" t="s">
        <v>2564</v>
      </c>
      <c r="G26" s="226" t="s">
        <v>349</v>
      </c>
      <c r="H26" s="227">
        <v>55.66</v>
      </c>
      <c r="I26" s="108"/>
      <c r="J26" s="110">
        <v>46.6</v>
      </c>
      <c r="K26" s="110"/>
      <c r="L26" s="104">
        <v>35765</v>
      </c>
      <c r="M26" s="104">
        <v>37802</v>
      </c>
      <c r="N26" s="110"/>
    </row>
    <row r="27" spans="1:15" ht="18.75" customHeight="1" x14ac:dyDescent="0.2">
      <c r="A27" s="113"/>
      <c r="B27" s="113"/>
      <c r="C27" s="113"/>
      <c r="D27" s="106"/>
      <c r="E27" s="230" t="s">
        <v>26</v>
      </c>
      <c r="F27" s="230" t="s">
        <v>2565</v>
      </c>
      <c r="G27" s="231"/>
      <c r="H27" s="232">
        <v>37.700000000000003</v>
      </c>
      <c r="I27" s="116"/>
      <c r="J27" s="113"/>
      <c r="K27" s="113"/>
      <c r="L27" s="111"/>
      <c r="M27" s="111"/>
      <c r="N27" s="110"/>
      <c r="O27" s="111"/>
    </row>
    <row r="28" spans="1:15" ht="18.75" customHeight="1" x14ac:dyDescent="0.2">
      <c r="A28" s="113"/>
      <c r="B28" s="113"/>
      <c r="C28" s="113"/>
      <c r="D28" s="106"/>
      <c r="E28" s="230" t="s">
        <v>34</v>
      </c>
      <c r="F28" s="230" t="s">
        <v>2566</v>
      </c>
      <c r="G28" s="231"/>
      <c r="H28" s="232">
        <v>6.63</v>
      </c>
      <c r="I28" s="116"/>
      <c r="J28" s="113"/>
      <c r="K28" s="113"/>
      <c r="L28" s="111"/>
      <c r="M28" s="111"/>
      <c r="N28" s="110"/>
      <c r="O28" s="111"/>
    </row>
    <row r="29" spans="1:15" ht="18.75" customHeight="1" x14ac:dyDescent="0.2">
      <c r="A29" s="111"/>
      <c r="B29" s="111"/>
      <c r="C29" s="111"/>
      <c r="D29" s="111"/>
      <c r="E29" s="111"/>
      <c r="F29" s="111"/>
      <c r="G29" s="118"/>
      <c r="H29" s="116"/>
      <c r="I29" s="116"/>
      <c r="J29" s="111"/>
      <c r="K29" s="111"/>
      <c r="L29" s="111"/>
      <c r="M29" s="111"/>
      <c r="N29" s="110"/>
      <c r="O29" s="111"/>
    </row>
    <row r="30" spans="1:15" s="106" customFormat="1" ht="18.75" customHeight="1" x14ac:dyDescent="0.2">
      <c r="A30" s="104">
        <v>36065</v>
      </c>
      <c r="B30" s="104">
        <v>36079</v>
      </c>
      <c r="C30" s="224">
        <v>21100000</v>
      </c>
      <c r="D30" s="106" t="s">
        <v>2567</v>
      </c>
      <c r="E30" s="225" t="s">
        <v>19</v>
      </c>
      <c r="F30" s="225" t="s">
        <v>2568</v>
      </c>
      <c r="G30" s="226" t="s">
        <v>349</v>
      </c>
      <c r="H30" s="227">
        <v>57.03</v>
      </c>
      <c r="I30" s="108"/>
      <c r="J30" s="108">
        <v>76.8</v>
      </c>
      <c r="K30" s="110"/>
      <c r="L30" s="104">
        <v>36251</v>
      </c>
      <c r="M30" s="104">
        <v>39172</v>
      </c>
      <c r="N30" s="110"/>
    </row>
    <row r="31" spans="1:15" ht="18.75" customHeight="1" x14ac:dyDescent="0.2">
      <c r="A31" s="113"/>
      <c r="B31" s="113"/>
      <c r="C31" s="229"/>
      <c r="D31" s="106"/>
      <c r="E31" s="230" t="s">
        <v>21</v>
      </c>
      <c r="F31" s="230" t="s">
        <v>2569</v>
      </c>
      <c r="G31" s="231"/>
      <c r="H31" s="232">
        <v>31.08</v>
      </c>
      <c r="I31" s="116"/>
      <c r="J31" s="113"/>
      <c r="K31" s="111"/>
      <c r="L31" s="111"/>
      <c r="M31" s="111"/>
      <c r="N31" s="110"/>
      <c r="O31" s="111"/>
    </row>
    <row r="32" spans="1:15" ht="18.75" customHeight="1" x14ac:dyDescent="0.2">
      <c r="A32" s="113"/>
      <c r="B32" s="113"/>
      <c r="C32" s="229"/>
      <c r="D32" s="106"/>
      <c r="E32" s="230" t="s">
        <v>34</v>
      </c>
      <c r="F32" s="230" t="s">
        <v>2570</v>
      </c>
      <c r="G32" s="231"/>
      <c r="H32" s="232">
        <v>11.9</v>
      </c>
      <c r="I32" s="116"/>
      <c r="J32" s="113"/>
      <c r="K32" s="111"/>
      <c r="L32" s="111"/>
      <c r="M32" s="111"/>
      <c r="N32" s="110"/>
      <c r="O32" s="111"/>
    </row>
    <row r="33" spans="1:15" ht="18.75" customHeight="1" x14ac:dyDescent="0.2">
      <c r="A33" s="111"/>
      <c r="B33" s="111"/>
      <c r="C33" s="111"/>
      <c r="D33" s="111"/>
      <c r="E33" s="111"/>
      <c r="F33" s="111"/>
      <c r="G33" s="118"/>
      <c r="H33" s="116"/>
      <c r="I33" s="116"/>
      <c r="J33" s="111"/>
      <c r="K33" s="111"/>
      <c r="L33" s="111"/>
      <c r="M33" s="111"/>
      <c r="N33" s="110"/>
      <c r="O33" s="111"/>
    </row>
    <row r="34" spans="1:15" s="106" customFormat="1" ht="18.75" customHeight="1" x14ac:dyDescent="0.2">
      <c r="A34" s="104">
        <v>36121</v>
      </c>
      <c r="B34" s="104">
        <v>36135</v>
      </c>
      <c r="C34" s="224">
        <v>31700000</v>
      </c>
      <c r="D34" s="106" t="s">
        <v>2571</v>
      </c>
      <c r="E34" s="225" t="s">
        <v>19</v>
      </c>
      <c r="F34" s="225" t="s">
        <v>2572</v>
      </c>
      <c r="G34" s="226" t="s">
        <v>349</v>
      </c>
      <c r="H34" s="227">
        <v>57.55</v>
      </c>
      <c r="I34" s="108"/>
      <c r="J34" s="108">
        <v>49.7</v>
      </c>
      <c r="K34" s="110"/>
      <c r="L34" s="104">
        <v>36161</v>
      </c>
      <c r="M34" s="233">
        <v>37741</v>
      </c>
      <c r="N34" s="225" t="s">
        <v>21</v>
      </c>
      <c r="O34" s="225" t="s">
        <v>2548</v>
      </c>
    </row>
    <row r="35" spans="1:15" ht="18.75" customHeight="1" x14ac:dyDescent="0.2">
      <c r="A35" s="113"/>
      <c r="B35" s="113"/>
      <c r="C35" s="229"/>
      <c r="D35" s="106"/>
      <c r="E35" s="230" t="s">
        <v>21</v>
      </c>
      <c r="F35" s="230" t="s">
        <v>2573</v>
      </c>
      <c r="G35" s="231"/>
      <c r="H35" s="232">
        <v>30.37</v>
      </c>
      <c r="I35" s="116"/>
      <c r="J35" s="234"/>
      <c r="K35" s="111"/>
      <c r="L35" s="111"/>
      <c r="M35" s="111"/>
      <c r="N35" s="110"/>
      <c r="O35" s="111"/>
    </row>
    <row r="36" spans="1:15" ht="18.75" customHeight="1" x14ac:dyDescent="0.2">
      <c r="A36" s="113"/>
      <c r="B36" s="113"/>
      <c r="C36" s="229"/>
      <c r="D36" s="106"/>
      <c r="E36" s="230" t="s">
        <v>38</v>
      </c>
      <c r="F36" s="230" t="s">
        <v>2550</v>
      </c>
      <c r="G36" s="231"/>
      <c r="H36" s="232">
        <v>7.92</v>
      </c>
      <c r="I36" s="116"/>
      <c r="J36" s="234"/>
      <c r="K36" s="111"/>
      <c r="L36" s="111"/>
      <c r="M36" s="111"/>
      <c r="N36" s="110"/>
      <c r="O36" s="111"/>
    </row>
    <row r="37" spans="1:15" ht="18.75" customHeight="1" x14ac:dyDescent="0.2">
      <c r="A37" s="113"/>
      <c r="B37" s="113"/>
      <c r="C37" s="229"/>
      <c r="D37" s="106"/>
      <c r="E37" s="230" t="s">
        <v>34</v>
      </c>
      <c r="F37" s="230" t="s">
        <v>2574</v>
      </c>
      <c r="G37" s="231"/>
      <c r="H37" s="232">
        <v>2.56</v>
      </c>
      <c r="I37" s="116"/>
      <c r="J37" s="234"/>
      <c r="K37" s="111"/>
      <c r="L37" s="111"/>
      <c r="M37" s="111"/>
      <c r="N37" s="110"/>
      <c r="O37" s="111"/>
    </row>
    <row r="38" spans="1:15" ht="18.75" customHeight="1" x14ac:dyDescent="0.2">
      <c r="A38" s="113"/>
      <c r="B38" s="113"/>
      <c r="C38" s="229"/>
      <c r="D38" s="106"/>
      <c r="E38" s="230" t="s">
        <v>2275</v>
      </c>
      <c r="F38" s="230" t="s">
        <v>2575</v>
      </c>
      <c r="G38" s="231"/>
      <c r="H38" s="232">
        <v>1.6</v>
      </c>
      <c r="I38" s="116"/>
      <c r="J38" s="234"/>
      <c r="K38" s="111"/>
      <c r="L38" s="111"/>
      <c r="M38" s="111"/>
      <c r="N38" s="110"/>
      <c r="O38" s="111"/>
    </row>
    <row r="39" spans="1:15" ht="18.75" customHeight="1" x14ac:dyDescent="0.2">
      <c r="A39" s="111"/>
      <c r="B39" s="111"/>
      <c r="C39" s="111"/>
      <c r="D39" s="111"/>
      <c r="E39" s="111"/>
      <c r="F39" s="111"/>
      <c r="G39" s="118"/>
      <c r="H39" s="116"/>
      <c r="I39" s="116"/>
      <c r="J39" s="111"/>
      <c r="K39" s="111"/>
      <c r="L39" s="111"/>
      <c r="M39" s="111"/>
      <c r="N39" s="110"/>
      <c r="O39" s="111"/>
    </row>
    <row r="40" spans="1:15" s="106" customFormat="1" ht="18.75" customHeight="1" x14ac:dyDescent="0.2">
      <c r="A40" s="104">
        <v>36226</v>
      </c>
      <c r="B40" s="104">
        <v>36240</v>
      </c>
      <c r="C40" s="224">
        <v>31200000</v>
      </c>
      <c r="D40" s="106" t="s">
        <v>2576</v>
      </c>
      <c r="E40" s="225" t="s">
        <v>19</v>
      </c>
      <c r="F40" s="225" t="s">
        <v>2577</v>
      </c>
      <c r="G40" s="226" t="s">
        <v>349</v>
      </c>
      <c r="H40" s="227">
        <v>50.71</v>
      </c>
      <c r="I40" s="108"/>
      <c r="J40" s="108">
        <v>44.69</v>
      </c>
      <c r="K40" s="110"/>
      <c r="L40" s="104">
        <v>36404</v>
      </c>
      <c r="M40" s="104">
        <v>39325</v>
      </c>
      <c r="N40" s="110"/>
    </row>
    <row r="41" spans="1:15" ht="18.75" customHeight="1" x14ac:dyDescent="0.2">
      <c r="A41" s="113"/>
      <c r="B41" s="113"/>
      <c r="C41" s="229"/>
      <c r="D41" s="106"/>
      <c r="E41" s="230" t="s">
        <v>21</v>
      </c>
      <c r="F41" s="230" t="s">
        <v>2578</v>
      </c>
      <c r="G41" s="231"/>
      <c r="H41" s="232">
        <v>30.45</v>
      </c>
      <c r="I41" s="116"/>
      <c r="J41" s="113"/>
      <c r="K41" s="111"/>
      <c r="L41" s="111"/>
      <c r="M41" s="111"/>
      <c r="N41" s="110"/>
      <c r="O41" s="111"/>
    </row>
    <row r="42" spans="1:15" ht="18.75" customHeight="1" x14ac:dyDescent="0.2">
      <c r="A42" s="113"/>
      <c r="B42" s="113"/>
      <c r="C42" s="229"/>
      <c r="D42" s="106"/>
      <c r="E42" s="230" t="s">
        <v>38</v>
      </c>
      <c r="F42" s="230" t="s">
        <v>2579</v>
      </c>
      <c r="G42" s="231"/>
      <c r="H42" s="232">
        <v>10.36</v>
      </c>
      <c r="I42" s="116"/>
      <c r="J42" s="113"/>
      <c r="K42" s="111"/>
      <c r="L42" s="111"/>
      <c r="M42" s="111"/>
      <c r="N42" s="110"/>
      <c r="O42" s="111"/>
    </row>
    <row r="43" spans="1:15" ht="18.75" customHeight="1" x14ac:dyDescent="0.2">
      <c r="A43" s="113"/>
      <c r="B43" s="113"/>
      <c r="C43" s="229"/>
      <c r="D43" s="106"/>
      <c r="E43" s="230" t="s">
        <v>2580</v>
      </c>
      <c r="F43" s="230" t="s">
        <v>2581</v>
      </c>
      <c r="G43" s="231"/>
      <c r="H43" s="232">
        <v>8.48</v>
      </c>
      <c r="I43" s="116"/>
      <c r="J43" s="113"/>
      <c r="K43" s="111"/>
      <c r="L43" s="111"/>
      <c r="M43" s="111"/>
      <c r="N43" s="110"/>
      <c r="O43" s="111"/>
    </row>
    <row r="44" spans="1:15" ht="18.75" customHeight="1" x14ac:dyDescent="0.2">
      <c r="A44" s="111"/>
      <c r="B44" s="111"/>
      <c r="C44" s="111"/>
      <c r="D44" s="111"/>
      <c r="E44" s="111"/>
      <c r="F44" s="111"/>
      <c r="G44" s="118"/>
      <c r="H44" s="116"/>
      <c r="I44" s="116"/>
      <c r="J44" s="111"/>
      <c r="K44" s="111"/>
      <c r="L44" s="111"/>
      <c r="M44" s="111"/>
      <c r="N44" s="110"/>
      <c r="O44" s="111"/>
    </row>
    <row r="45" spans="1:15" s="106" customFormat="1" ht="18.75" customHeight="1" x14ac:dyDescent="0.2">
      <c r="A45" s="104">
        <v>36324</v>
      </c>
      <c r="B45" s="104">
        <v>36338</v>
      </c>
      <c r="C45" s="224">
        <v>31100000</v>
      </c>
      <c r="D45" s="106" t="s">
        <v>2582</v>
      </c>
      <c r="E45" s="225" t="s">
        <v>19</v>
      </c>
      <c r="F45" s="225" t="s">
        <v>2583</v>
      </c>
      <c r="G45" s="226" t="s">
        <v>349</v>
      </c>
      <c r="H45" s="227">
        <v>54.24</v>
      </c>
      <c r="I45" s="108"/>
      <c r="J45" s="108">
        <v>56.6</v>
      </c>
      <c r="K45" s="110"/>
      <c r="L45" s="104">
        <v>36526</v>
      </c>
      <c r="M45" s="104">
        <v>39447</v>
      </c>
      <c r="N45" s="110"/>
    </row>
    <row r="46" spans="1:15" ht="18.75" customHeight="1" x14ac:dyDescent="0.2">
      <c r="A46" s="113"/>
      <c r="B46" s="113"/>
      <c r="C46" s="229"/>
      <c r="D46" s="106"/>
      <c r="E46" s="230" t="s">
        <v>21</v>
      </c>
      <c r="F46" s="230" t="s">
        <v>2584</v>
      </c>
      <c r="G46" s="231"/>
      <c r="H46" s="232">
        <v>38.94</v>
      </c>
      <c r="I46" s="116"/>
      <c r="J46" s="113"/>
      <c r="K46" s="111"/>
      <c r="L46" s="111"/>
      <c r="M46" s="111"/>
      <c r="N46" s="110"/>
      <c r="O46" s="111"/>
    </row>
    <row r="47" spans="1:15" ht="18.75" customHeight="1" x14ac:dyDescent="0.2">
      <c r="A47" s="113"/>
      <c r="B47" s="113"/>
      <c r="C47" s="229"/>
      <c r="D47" s="106"/>
      <c r="E47" s="230" t="s">
        <v>34</v>
      </c>
      <c r="F47" s="230" t="s">
        <v>2585</v>
      </c>
      <c r="G47" s="231"/>
      <c r="H47" s="232">
        <v>4.82</v>
      </c>
      <c r="I47" s="116"/>
      <c r="J47" s="113"/>
      <c r="K47" s="111"/>
      <c r="L47" s="111"/>
      <c r="M47" s="111"/>
      <c r="N47" s="110"/>
      <c r="O47" s="111"/>
    </row>
    <row r="48" spans="1:15" ht="18.75" customHeight="1" x14ac:dyDescent="0.2">
      <c r="A48" s="113"/>
      <c r="B48" s="113"/>
      <c r="C48" s="229"/>
      <c r="D48" s="106"/>
      <c r="E48" s="230" t="s">
        <v>2275</v>
      </c>
      <c r="F48" s="230" t="s">
        <v>2586</v>
      </c>
      <c r="G48" s="231"/>
      <c r="H48" s="232">
        <v>2.0099999999999998</v>
      </c>
      <c r="I48" s="116"/>
      <c r="J48" s="113"/>
      <c r="K48" s="111"/>
      <c r="L48" s="111"/>
      <c r="M48" s="111"/>
      <c r="N48" s="110"/>
      <c r="O48" s="111"/>
    </row>
    <row r="49" spans="1:15" ht="18.75" customHeight="1" x14ac:dyDescent="0.2">
      <c r="A49" s="111"/>
      <c r="B49" s="111"/>
      <c r="C49" s="111"/>
      <c r="D49" s="111"/>
      <c r="E49" s="111"/>
      <c r="F49" s="111"/>
      <c r="G49" s="118"/>
      <c r="H49" s="116"/>
      <c r="I49" s="116"/>
      <c r="J49" s="111"/>
      <c r="K49" s="111"/>
      <c r="L49" s="111"/>
      <c r="M49" s="111"/>
      <c r="N49" s="110"/>
      <c r="O49" s="111"/>
    </row>
    <row r="50" spans="1:15" s="106" customFormat="1" ht="18.75" customHeight="1" x14ac:dyDescent="0.2">
      <c r="A50" s="104">
        <v>36324</v>
      </c>
      <c r="B50" s="104">
        <v>36338</v>
      </c>
      <c r="C50" s="224">
        <v>32000000</v>
      </c>
      <c r="D50" s="106" t="s">
        <v>2587</v>
      </c>
      <c r="E50" s="225" t="s">
        <v>19</v>
      </c>
      <c r="F50" s="225" t="s">
        <v>2588</v>
      </c>
      <c r="G50" s="226" t="s">
        <v>349</v>
      </c>
      <c r="H50" s="227">
        <v>48.7</v>
      </c>
      <c r="I50" s="227">
        <v>54.56</v>
      </c>
      <c r="J50" s="108">
        <v>58.4</v>
      </c>
      <c r="K50" s="110">
        <v>48.5</v>
      </c>
      <c r="L50" s="104">
        <v>36390</v>
      </c>
      <c r="M50" s="104">
        <v>38138</v>
      </c>
      <c r="N50" s="110"/>
    </row>
    <row r="51" spans="1:15" ht="18.75" customHeight="1" x14ac:dyDescent="0.2">
      <c r="A51" s="113"/>
      <c r="B51" s="113"/>
      <c r="C51" s="229"/>
      <c r="D51" s="106"/>
      <c r="E51" s="230" t="s">
        <v>21</v>
      </c>
      <c r="F51" s="230" t="s">
        <v>2589</v>
      </c>
      <c r="G51" s="231"/>
      <c r="H51" s="232">
        <v>39.33</v>
      </c>
      <c r="I51" s="232">
        <v>45.44</v>
      </c>
      <c r="J51" s="113"/>
      <c r="K51" s="111"/>
      <c r="L51" s="111"/>
      <c r="M51" s="111"/>
      <c r="N51" s="110"/>
      <c r="O51" s="111"/>
    </row>
    <row r="52" spans="1:15" ht="18.75" customHeight="1" x14ac:dyDescent="0.2">
      <c r="A52" s="113"/>
      <c r="B52" s="113"/>
      <c r="C52" s="229"/>
      <c r="D52" s="106"/>
      <c r="E52" s="230" t="s">
        <v>38</v>
      </c>
      <c r="F52" s="230" t="s">
        <v>2590</v>
      </c>
      <c r="G52" s="231"/>
      <c r="H52" s="232">
        <v>4.45</v>
      </c>
      <c r="I52" s="116"/>
      <c r="J52" s="113"/>
      <c r="K52" s="111"/>
      <c r="L52" s="111"/>
      <c r="M52" s="111"/>
      <c r="N52" s="110"/>
      <c r="O52" s="111"/>
    </row>
    <row r="53" spans="1:15" ht="18.75" customHeight="1" x14ac:dyDescent="0.2">
      <c r="A53" s="113"/>
      <c r="B53" s="113"/>
      <c r="C53" s="229"/>
      <c r="D53" s="106"/>
      <c r="E53" s="230" t="s">
        <v>26</v>
      </c>
      <c r="F53" s="230" t="s">
        <v>2591</v>
      </c>
      <c r="G53" s="231"/>
      <c r="H53" s="232">
        <v>4.4000000000000004</v>
      </c>
      <c r="I53" s="116"/>
      <c r="J53" s="113"/>
      <c r="K53" s="111"/>
      <c r="L53" s="111"/>
      <c r="M53" s="111"/>
      <c r="N53" s="110"/>
      <c r="O53" s="111"/>
    </row>
    <row r="54" spans="1:15" ht="18.75" customHeight="1" x14ac:dyDescent="0.2">
      <c r="A54" s="113"/>
      <c r="B54" s="113"/>
      <c r="C54" s="229"/>
      <c r="D54" s="106"/>
      <c r="E54" s="230" t="s">
        <v>34</v>
      </c>
      <c r="F54" s="230" t="s">
        <v>2592</v>
      </c>
      <c r="G54" s="231"/>
      <c r="H54" s="232">
        <v>1.79</v>
      </c>
      <c r="I54" s="116"/>
      <c r="J54" s="113"/>
      <c r="K54" s="111"/>
      <c r="L54" s="111"/>
      <c r="M54" s="111"/>
      <c r="N54" s="110"/>
      <c r="O54" s="111"/>
    </row>
    <row r="55" spans="1:15" ht="18.75" customHeight="1" x14ac:dyDescent="0.2">
      <c r="A55" s="113"/>
      <c r="B55" s="113"/>
      <c r="C55" s="229"/>
      <c r="D55" s="106"/>
      <c r="E55" s="230" t="s">
        <v>1423</v>
      </c>
      <c r="F55" s="230" t="s">
        <v>2593</v>
      </c>
      <c r="G55" s="231"/>
      <c r="H55" s="232">
        <v>1.33</v>
      </c>
      <c r="I55" s="116"/>
      <c r="J55" s="113"/>
      <c r="K55" s="111"/>
      <c r="L55" s="111"/>
      <c r="M55" s="111"/>
      <c r="N55" s="110"/>
      <c r="O55" s="111"/>
    </row>
    <row r="56" spans="1:15" ht="18.75" customHeight="1" x14ac:dyDescent="0.2">
      <c r="A56" s="113"/>
      <c r="B56" s="113"/>
      <c r="C56" s="229"/>
      <c r="D56" s="111"/>
      <c r="E56" s="111"/>
      <c r="F56" s="111"/>
      <c r="G56" s="118"/>
      <c r="H56" s="116"/>
      <c r="I56" s="116"/>
      <c r="J56" s="113"/>
      <c r="K56" s="111"/>
      <c r="L56" s="111"/>
      <c r="M56" s="111"/>
      <c r="N56" s="110"/>
      <c r="O56" s="111"/>
    </row>
    <row r="57" spans="1:15" s="106" customFormat="1" ht="18.75" customHeight="1" x14ac:dyDescent="0.2">
      <c r="A57" s="104">
        <v>37017</v>
      </c>
      <c r="B57" s="104">
        <v>37031</v>
      </c>
      <c r="C57" s="224">
        <v>31400000</v>
      </c>
      <c r="D57" s="106" t="s">
        <v>2594</v>
      </c>
      <c r="E57" s="225" t="s">
        <v>19</v>
      </c>
      <c r="F57" s="225" t="s">
        <v>2595</v>
      </c>
      <c r="G57" s="226" t="s">
        <v>419</v>
      </c>
      <c r="H57" s="227">
        <v>55.51</v>
      </c>
      <c r="I57" s="108"/>
      <c r="J57" s="108">
        <v>43.7</v>
      </c>
      <c r="K57" s="110"/>
      <c r="L57" s="104">
        <v>37257</v>
      </c>
      <c r="M57" s="104">
        <v>40178</v>
      </c>
      <c r="N57" s="110"/>
    </row>
    <row r="58" spans="1:15" ht="18.75" customHeight="1" x14ac:dyDescent="0.2">
      <c r="A58" s="113"/>
      <c r="B58" s="113"/>
      <c r="C58" s="229"/>
      <c r="D58" s="106"/>
      <c r="E58" s="230" t="s">
        <v>21</v>
      </c>
      <c r="F58" s="230" t="s">
        <v>2596</v>
      </c>
      <c r="G58" s="231"/>
      <c r="H58" s="232">
        <v>40.65</v>
      </c>
      <c r="I58" s="116"/>
      <c r="J58" s="113"/>
      <c r="K58" s="111"/>
      <c r="L58" s="111"/>
      <c r="M58" s="111"/>
      <c r="N58" s="110"/>
      <c r="O58" s="111"/>
    </row>
    <row r="59" spans="1:15" ht="18.75" customHeight="1" x14ac:dyDescent="0.2">
      <c r="A59" s="113"/>
      <c r="B59" s="113"/>
      <c r="C59" s="229"/>
      <c r="D59" s="106"/>
      <c r="E59" s="230" t="s">
        <v>34</v>
      </c>
      <c r="F59" s="230" t="s">
        <v>2574</v>
      </c>
      <c r="G59" s="231"/>
      <c r="H59" s="232">
        <v>1.57</v>
      </c>
      <c r="I59" s="116"/>
      <c r="J59" s="113"/>
      <c r="K59" s="111"/>
      <c r="L59" s="111"/>
      <c r="M59" s="111"/>
      <c r="N59" s="110"/>
      <c r="O59" s="111"/>
    </row>
    <row r="60" spans="1:15" ht="18.75" customHeight="1" x14ac:dyDescent="0.2">
      <c r="A60" s="113"/>
      <c r="B60" s="113"/>
      <c r="C60" s="229"/>
      <c r="D60" s="106"/>
      <c r="E60" s="230" t="s">
        <v>38</v>
      </c>
      <c r="F60" s="230" t="s">
        <v>2597</v>
      </c>
      <c r="G60" s="231"/>
      <c r="H60" s="232">
        <v>1.1200000000000001</v>
      </c>
      <c r="I60" s="116"/>
      <c r="J60" s="113"/>
      <c r="K60" s="111"/>
      <c r="L60" s="111"/>
      <c r="M60" s="111"/>
      <c r="N60" s="110"/>
      <c r="O60" s="111"/>
    </row>
    <row r="61" spans="1:15" ht="18.75" customHeight="1" x14ac:dyDescent="0.2">
      <c r="A61" s="113"/>
      <c r="B61" s="113"/>
      <c r="C61" s="229"/>
      <c r="D61" s="106"/>
      <c r="E61" s="230" t="s">
        <v>26</v>
      </c>
      <c r="F61" s="230" t="s">
        <v>2598</v>
      </c>
      <c r="G61" s="231"/>
      <c r="H61" s="232">
        <v>0.63</v>
      </c>
      <c r="I61" s="116"/>
      <c r="J61" s="113"/>
      <c r="K61" s="111"/>
      <c r="L61" s="111"/>
      <c r="M61" s="111"/>
      <c r="N61" s="110"/>
      <c r="O61" s="111"/>
    </row>
    <row r="62" spans="1:15" ht="18.75" customHeight="1" x14ac:dyDescent="0.2">
      <c r="A62" s="113"/>
      <c r="B62" s="113"/>
      <c r="C62" s="229"/>
      <c r="D62" s="106"/>
      <c r="E62" s="230" t="s">
        <v>26</v>
      </c>
      <c r="F62" s="230" t="s">
        <v>2599</v>
      </c>
      <c r="G62" s="231"/>
      <c r="H62" s="232">
        <v>0.52</v>
      </c>
      <c r="I62" s="116"/>
      <c r="J62" s="113"/>
      <c r="K62" s="111"/>
      <c r="L62" s="111"/>
      <c r="M62" s="111"/>
      <c r="N62" s="110"/>
      <c r="O62" s="111"/>
    </row>
    <row r="63" spans="1:15" ht="18.75" customHeight="1" x14ac:dyDescent="0.2">
      <c r="A63" s="111"/>
      <c r="B63" s="111"/>
      <c r="C63" s="111"/>
      <c r="D63" s="111"/>
      <c r="E63" s="111"/>
      <c r="F63" s="111"/>
      <c r="G63" s="118"/>
      <c r="H63" s="116"/>
      <c r="I63" s="116"/>
      <c r="J63" s="111"/>
      <c r="K63" s="111"/>
      <c r="L63" s="111"/>
      <c r="M63" s="111"/>
      <c r="N63" s="110"/>
      <c r="O63" s="111"/>
    </row>
    <row r="64" spans="1:15" s="106" customFormat="1" ht="18.75" customHeight="1" x14ac:dyDescent="0.2">
      <c r="A64" s="104">
        <v>37017</v>
      </c>
      <c r="B64" s="104">
        <v>37031</v>
      </c>
      <c r="C64" s="224">
        <v>31600000</v>
      </c>
      <c r="D64" s="106" t="s">
        <v>2600</v>
      </c>
      <c r="E64" s="225" t="s">
        <v>19</v>
      </c>
      <c r="F64" s="225" t="s">
        <v>2601</v>
      </c>
      <c r="G64" s="226" t="s">
        <v>349</v>
      </c>
      <c r="H64" s="227">
        <v>48.3</v>
      </c>
      <c r="I64" s="227">
        <v>59.1</v>
      </c>
      <c r="J64" s="108">
        <v>46.3</v>
      </c>
      <c r="K64" s="110">
        <v>49.3</v>
      </c>
      <c r="L64" s="104">
        <v>37257</v>
      </c>
      <c r="M64" s="104">
        <v>40178</v>
      </c>
      <c r="N64" s="110"/>
    </row>
    <row r="65" spans="1:15" ht="18.75" customHeight="1" x14ac:dyDescent="0.2">
      <c r="A65" s="113"/>
      <c r="B65" s="113"/>
      <c r="C65" s="229"/>
      <c r="D65" s="106"/>
      <c r="E65" s="230" t="s">
        <v>2580</v>
      </c>
      <c r="F65" s="230" t="s">
        <v>2602</v>
      </c>
      <c r="G65" s="231"/>
      <c r="H65" s="232">
        <v>43.7</v>
      </c>
      <c r="I65" s="232">
        <v>40.9</v>
      </c>
      <c r="J65" s="113"/>
      <c r="K65" s="111"/>
      <c r="L65" s="111"/>
      <c r="M65" s="111"/>
      <c r="N65" s="110"/>
      <c r="O65" s="111"/>
    </row>
    <row r="66" spans="1:15" ht="18.75" customHeight="1" x14ac:dyDescent="0.2">
      <c r="A66" s="113"/>
      <c r="B66" s="113"/>
      <c r="C66" s="229"/>
      <c r="D66" s="106"/>
      <c r="E66" s="230" t="s">
        <v>2603</v>
      </c>
      <c r="F66" s="230" t="s">
        <v>2604</v>
      </c>
      <c r="G66" s="231"/>
      <c r="H66" s="232">
        <v>8</v>
      </c>
      <c r="I66" s="116"/>
      <c r="J66" s="113"/>
      <c r="K66" s="111"/>
      <c r="L66" s="111"/>
      <c r="M66" s="111"/>
      <c r="N66" s="110"/>
      <c r="O66" s="111"/>
    </row>
    <row r="67" spans="1:15" ht="18.75" customHeight="1" x14ac:dyDescent="0.2">
      <c r="A67" s="113"/>
      <c r="B67" s="113"/>
      <c r="C67" s="229"/>
      <c r="D67" s="111"/>
      <c r="E67" s="111"/>
      <c r="F67" s="111"/>
      <c r="G67" s="118"/>
      <c r="H67" s="116"/>
      <c r="I67" s="116"/>
      <c r="J67" s="113"/>
      <c r="K67" s="111"/>
      <c r="L67" s="111"/>
      <c r="M67" s="111"/>
      <c r="N67" s="110"/>
      <c r="O67" s="111"/>
    </row>
    <row r="68" spans="1:15" s="106" customFormat="1" ht="18.75" customHeight="1" x14ac:dyDescent="0.2">
      <c r="A68" s="104">
        <v>37143</v>
      </c>
      <c r="B68" s="104">
        <v>37157</v>
      </c>
      <c r="C68" s="224">
        <v>31300000</v>
      </c>
      <c r="D68" s="106" t="s">
        <v>2605</v>
      </c>
      <c r="E68" s="225" t="s">
        <v>19</v>
      </c>
      <c r="F68" s="225" t="s">
        <v>2606</v>
      </c>
      <c r="G68" s="226" t="s">
        <v>419</v>
      </c>
      <c r="H68" s="227">
        <v>53.54</v>
      </c>
      <c r="I68" s="108"/>
      <c r="J68" s="108">
        <v>50.6</v>
      </c>
      <c r="K68" s="110"/>
      <c r="L68" s="104">
        <v>37257</v>
      </c>
      <c r="M68" s="104">
        <v>39447</v>
      </c>
      <c r="N68" s="110"/>
    </row>
    <row r="69" spans="1:15" ht="18.75" customHeight="1" x14ac:dyDescent="0.2">
      <c r="A69" s="113"/>
      <c r="B69" s="113"/>
      <c r="C69" s="229"/>
      <c r="D69" s="106"/>
      <c r="E69" s="230" t="s">
        <v>21</v>
      </c>
      <c r="F69" s="230" t="s">
        <v>2607</v>
      </c>
      <c r="G69" s="231"/>
      <c r="H69" s="232">
        <v>38.78</v>
      </c>
      <c r="I69" s="116"/>
      <c r="J69" s="113"/>
      <c r="K69" s="111"/>
      <c r="L69" s="111"/>
      <c r="M69" s="111"/>
      <c r="N69" s="110"/>
      <c r="O69" s="111"/>
    </row>
    <row r="70" spans="1:15" ht="18.75" customHeight="1" x14ac:dyDescent="0.2">
      <c r="A70" s="113"/>
      <c r="B70" s="113"/>
      <c r="C70" s="229"/>
      <c r="D70" s="106"/>
      <c r="E70" s="230" t="s">
        <v>38</v>
      </c>
      <c r="F70" s="230" t="s">
        <v>2608</v>
      </c>
      <c r="G70" s="231"/>
      <c r="H70" s="232">
        <v>7.67</v>
      </c>
      <c r="I70" s="116"/>
      <c r="J70" s="113"/>
      <c r="K70" s="111"/>
      <c r="L70" s="111"/>
      <c r="M70" s="111"/>
      <c r="N70" s="110"/>
      <c r="O70" s="111"/>
    </row>
    <row r="71" spans="1:15" ht="18.75" customHeight="1" x14ac:dyDescent="0.2">
      <c r="A71" s="111"/>
      <c r="B71" s="111"/>
      <c r="C71" s="111"/>
      <c r="D71" s="111"/>
      <c r="E71" s="111"/>
      <c r="F71" s="111"/>
      <c r="G71" s="118"/>
      <c r="H71" s="116"/>
      <c r="I71" s="116"/>
      <c r="J71" s="111"/>
      <c r="K71" s="111"/>
      <c r="L71" s="111"/>
      <c r="M71" s="111"/>
      <c r="N71" s="110"/>
      <c r="O71" s="111"/>
    </row>
    <row r="72" spans="1:15" s="106" customFormat="1" ht="18.75" customHeight="1" x14ac:dyDescent="0.2">
      <c r="A72" s="104">
        <v>37360</v>
      </c>
      <c r="B72" s="104">
        <v>37373</v>
      </c>
      <c r="C72" s="224">
        <v>31800000</v>
      </c>
      <c r="D72" s="106" t="s">
        <v>2552</v>
      </c>
      <c r="E72" s="225" t="s">
        <v>19</v>
      </c>
      <c r="F72" s="225" t="s">
        <v>2553</v>
      </c>
      <c r="G72" s="226" t="s">
        <v>349</v>
      </c>
      <c r="H72" s="227">
        <v>59.78</v>
      </c>
      <c r="I72" s="108"/>
      <c r="J72" s="108">
        <v>50.3</v>
      </c>
      <c r="K72" s="110"/>
      <c r="L72" s="104">
        <v>37622</v>
      </c>
      <c r="M72" s="104">
        <v>40543</v>
      </c>
      <c r="N72" s="225" t="s">
        <v>19</v>
      </c>
      <c r="O72" s="225" t="s">
        <v>2553</v>
      </c>
    </row>
    <row r="73" spans="1:15" ht="18.75" customHeight="1" x14ac:dyDescent="0.2">
      <c r="A73" s="113"/>
      <c r="B73" s="113"/>
      <c r="C73" s="229"/>
      <c r="D73" s="106"/>
      <c r="E73" s="230" t="s">
        <v>21</v>
      </c>
      <c r="F73" s="230" t="s">
        <v>2609</v>
      </c>
      <c r="G73" s="231"/>
      <c r="H73" s="232">
        <v>40.22</v>
      </c>
      <c r="I73" s="116"/>
      <c r="J73" s="113"/>
      <c r="K73" s="111"/>
      <c r="L73" s="111"/>
      <c r="M73" s="111"/>
      <c r="N73" s="110"/>
      <c r="O73" s="111"/>
    </row>
    <row r="74" spans="1:15" ht="18.75" customHeight="1" x14ac:dyDescent="0.2">
      <c r="A74" s="111"/>
      <c r="B74" s="111"/>
      <c r="C74" s="111"/>
      <c r="D74" s="111"/>
      <c r="E74" s="111"/>
      <c r="F74" s="111"/>
      <c r="G74" s="118"/>
      <c r="H74" s="116"/>
      <c r="I74" s="116"/>
      <c r="J74" s="111"/>
      <c r="K74" s="111"/>
      <c r="L74" s="111"/>
      <c r="M74" s="111"/>
      <c r="N74" s="110"/>
      <c r="O74" s="111"/>
    </row>
    <row r="75" spans="1:15" s="106" customFormat="1" ht="18.75" customHeight="1" x14ac:dyDescent="0.2">
      <c r="A75" s="104">
        <v>37402</v>
      </c>
      <c r="B75" s="104">
        <v>37416</v>
      </c>
      <c r="C75" s="224">
        <v>11100000</v>
      </c>
      <c r="D75" s="106" t="s">
        <v>2543</v>
      </c>
      <c r="E75" s="225" t="s">
        <v>21</v>
      </c>
      <c r="F75" s="225" t="s">
        <v>2544</v>
      </c>
      <c r="G75" s="226" t="s">
        <v>349</v>
      </c>
      <c r="H75" s="227">
        <v>57.68</v>
      </c>
      <c r="I75" s="108"/>
      <c r="J75" s="108">
        <v>51.3</v>
      </c>
      <c r="K75" s="110"/>
      <c r="L75" s="104">
        <v>37543</v>
      </c>
      <c r="M75" s="104">
        <v>40298</v>
      </c>
      <c r="N75" s="225" t="s">
        <v>21</v>
      </c>
      <c r="O75" s="225" t="s">
        <v>2544</v>
      </c>
    </row>
    <row r="76" spans="1:15" ht="18.75" customHeight="1" x14ac:dyDescent="0.2">
      <c r="A76" s="113"/>
      <c r="B76" s="113"/>
      <c r="C76" s="229"/>
      <c r="D76" s="106"/>
      <c r="E76" s="230" t="s">
        <v>19</v>
      </c>
      <c r="F76" s="230" t="s">
        <v>2610</v>
      </c>
      <c r="G76" s="231"/>
      <c r="H76" s="232">
        <v>39.270000000000003</v>
      </c>
      <c r="I76" s="116"/>
      <c r="J76" s="113"/>
      <c r="K76" s="111"/>
      <c r="L76" s="111"/>
      <c r="M76" s="111"/>
      <c r="N76" s="110"/>
      <c r="O76" s="111"/>
    </row>
    <row r="77" spans="1:15" ht="18.75" customHeight="1" x14ac:dyDescent="0.2">
      <c r="A77" s="113"/>
      <c r="B77" s="113"/>
      <c r="C77" s="229"/>
      <c r="D77" s="106"/>
      <c r="E77" s="230" t="s">
        <v>38</v>
      </c>
      <c r="F77" s="230" t="s">
        <v>2611</v>
      </c>
      <c r="G77" s="231"/>
      <c r="H77" s="232">
        <v>3.04</v>
      </c>
      <c r="I77" s="116"/>
      <c r="J77" s="113"/>
      <c r="K77" s="111"/>
      <c r="L77" s="111"/>
      <c r="M77" s="111"/>
      <c r="N77" s="110"/>
      <c r="O77" s="111"/>
    </row>
    <row r="78" spans="1:15" ht="18.75" customHeight="1" x14ac:dyDescent="0.2">
      <c r="A78" s="111"/>
      <c r="B78" s="111"/>
      <c r="C78" s="111"/>
      <c r="D78" s="111"/>
      <c r="E78" s="111"/>
      <c r="F78" s="111"/>
      <c r="G78" s="118"/>
      <c r="H78" s="116"/>
      <c r="I78" s="116"/>
      <c r="J78" s="111"/>
      <c r="K78" s="111"/>
      <c r="L78" s="111"/>
      <c r="M78" s="111"/>
      <c r="N78" s="110"/>
      <c r="O78" s="111"/>
    </row>
    <row r="79" spans="1:15" s="106" customFormat="1" ht="18.75" customHeight="1" x14ac:dyDescent="0.2">
      <c r="A79" s="104">
        <v>37521</v>
      </c>
      <c r="B79" s="104">
        <v>37542</v>
      </c>
      <c r="C79" s="224">
        <v>31700000</v>
      </c>
      <c r="D79" s="106" t="s">
        <v>2571</v>
      </c>
      <c r="E79" s="225" t="s">
        <v>19</v>
      </c>
      <c r="F79" s="225" t="s">
        <v>2612</v>
      </c>
      <c r="G79" s="226" t="s">
        <v>349</v>
      </c>
      <c r="H79" s="227">
        <v>65.69</v>
      </c>
      <c r="I79" s="108"/>
      <c r="J79" s="108">
        <v>72.099999999999994</v>
      </c>
      <c r="K79" s="110"/>
      <c r="L79" s="104">
        <v>37742</v>
      </c>
      <c r="M79" s="104">
        <v>40663</v>
      </c>
      <c r="N79" s="225" t="s">
        <v>19</v>
      </c>
      <c r="O79" s="225" t="s">
        <v>2572</v>
      </c>
    </row>
    <row r="80" spans="1:15" ht="18.75" customHeight="1" x14ac:dyDescent="0.2">
      <c r="A80" s="113"/>
      <c r="B80" s="113"/>
      <c r="C80" s="229"/>
      <c r="D80" s="106"/>
      <c r="E80" s="230" t="s">
        <v>21</v>
      </c>
      <c r="F80" s="230" t="s">
        <v>2613</v>
      </c>
      <c r="G80" s="231"/>
      <c r="H80" s="232">
        <v>30.43</v>
      </c>
      <c r="I80" s="116"/>
      <c r="J80" s="113"/>
      <c r="K80" s="111"/>
      <c r="L80" s="111"/>
      <c r="M80" s="111"/>
      <c r="N80" s="110"/>
      <c r="O80" s="111"/>
    </row>
    <row r="81" spans="1:15" ht="18.75" customHeight="1" x14ac:dyDescent="0.2">
      <c r="A81" s="113"/>
      <c r="B81" s="113"/>
      <c r="C81" s="229"/>
      <c r="D81" s="106"/>
      <c r="E81" s="230" t="s">
        <v>2275</v>
      </c>
      <c r="F81" s="230" t="s">
        <v>2614</v>
      </c>
      <c r="G81" s="231"/>
      <c r="H81" s="232">
        <v>3.88</v>
      </c>
      <c r="I81" s="116"/>
      <c r="J81" s="113"/>
      <c r="K81" s="111"/>
      <c r="L81" s="111"/>
      <c r="M81" s="111"/>
      <c r="N81" s="110"/>
      <c r="O81" s="111"/>
    </row>
    <row r="82" spans="1:15" ht="18.75" customHeight="1" x14ac:dyDescent="0.2">
      <c r="A82" s="111"/>
      <c r="B82" s="111"/>
      <c r="C82" s="111"/>
      <c r="D82" s="111"/>
      <c r="E82" s="111"/>
      <c r="F82" s="111"/>
      <c r="G82" s="118"/>
      <c r="H82" s="116"/>
      <c r="I82" s="116"/>
      <c r="J82" s="111"/>
      <c r="K82" s="111"/>
      <c r="L82" s="111"/>
      <c r="M82" s="111"/>
      <c r="N82" s="110"/>
      <c r="O82" s="111"/>
    </row>
    <row r="83" spans="1:15" s="106" customFormat="1" ht="18.75" customHeight="1" x14ac:dyDescent="0.2">
      <c r="A83" s="104">
        <v>37696</v>
      </c>
      <c r="B83" s="104">
        <v>37710</v>
      </c>
      <c r="C83" s="224">
        <v>31900000</v>
      </c>
      <c r="D83" s="106" t="s">
        <v>2563</v>
      </c>
      <c r="E83" s="225" t="s">
        <v>21</v>
      </c>
      <c r="F83" s="225" t="s">
        <v>2615</v>
      </c>
      <c r="G83" s="226" t="s">
        <v>349</v>
      </c>
      <c r="H83" s="227">
        <v>50.76</v>
      </c>
      <c r="I83" s="108"/>
      <c r="J83" s="108">
        <v>45.4</v>
      </c>
      <c r="K83" s="110"/>
      <c r="L83" s="104">
        <v>37803</v>
      </c>
      <c r="M83" s="104">
        <v>40724</v>
      </c>
      <c r="N83" s="225" t="s">
        <v>26</v>
      </c>
      <c r="O83" s="225" t="s">
        <v>2564</v>
      </c>
    </row>
    <row r="84" spans="1:15" ht="18.75" customHeight="1" x14ac:dyDescent="0.2">
      <c r="A84" s="113"/>
      <c r="B84" s="113"/>
      <c r="C84" s="229"/>
      <c r="D84" s="106"/>
      <c r="E84" s="230" t="s">
        <v>19</v>
      </c>
      <c r="F84" s="230" t="s">
        <v>2616</v>
      </c>
      <c r="G84" s="231"/>
      <c r="H84" s="232">
        <v>39.01</v>
      </c>
      <c r="I84" s="116"/>
      <c r="J84" s="113"/>
      <c r="K84" s="111"/>
      <c r="L84" s="111"/>
      <c r="M84" s="111"/>
      <c r="N84" s="110"/>
      <c r="O84" s="111"/>
    </row>
    <row r="85" spans="1:15" ht="18.75" customHeight="1" x14ac:dyDescent="0.2">
      <c r="A85" s="113"/>
      <c r="B85" s="113"/>
      <c r="C85" s="229"/>
      <c r="D85" s="106"/>
      <c r="E85" s="230" t="s">
        <v>26</v>
      </c>
      <c r="F85" s="230" t="s">
        <v>2617</v>
      </c>
      <c r="G85" s="231"/>
      <c r="H85" s="232">
        <v>4.8499999999999996</v>
      </c>
      <c r="I85" s="116"/>
      <c r="J85" s="113"/>
      <c r="K85" s="111"/>
      <c r="L85" s="111"/>
      <c r="M85" s="111"/>
      <c r="N85" s="110"/>
      <c r="O85" s="111"/>
    </row>
    <row r="86" spans="1:15" ht="18.75" customHeight="1" x14ac:dyDescent="0.2">
      <c r="A86" s="113"/>
      <c r="B86" s="113"/>
      <c r="C86" s="229"/>
      <c r="D86" s="106"/>
      <c r="E86" s="230" t="s">
        <v>34</v>
      </c>
      <c r="F86" s="230" t="s">
        <v>2618</v>
      </c>
      <c r="G86" s="231"/>
      <c r="H86" s="232">
        <v>4.16</v>
      </c>
      <c r="I86" s="116"/>
      <c r="J86" s="113"/>
      <c r="K86" s="111"/>
      <c r="L86" s="111"/>
      <c r="M86" s="111"/>
      <c r="N86" s="110"/>
      <c r="O86" s="111"/>
    </row>
    <row r="87" spans="1:15" ht="18.75" customHeight="1" x14ac:dyDescent="0.2">
      <c r="A87" s="113"/>
      <c r="B87" s="113"/>
      <c r="C87" s="229"/>
      <c r="D87" s="106"/>
      <c r="E87" s="230" t="s">
        <v>26</v>
      </c>
      <c r="F87" s="230" t="s">
        <v>2619</v>
      </c>
      <c r="G87" s="231"/>
      <c r="H87" s="232">
        <v>0.93</v>
      </c>
      <c r="I87" s="116"/>
      <c r="J87" s="113"/>
      <c r="K87" s="111"/>
      <c r="L87" s="111"/>
      <c r="M87" s="111"/>
      <c r="N87" s="110"/>
      <c r="O87" s="111"/>
    </row>
    <row r="88" spans="1:15" ht="18.75" customHeight="1" x14ac:dyDescent="0.2">
      <c r="A88" s="113"/>
      <c r="B88" s="113"/>
      <c r="C88" s="229"/>
      <c r="D88" s="106"/>
      <c r="E88" s="230" t="s">
        <v>26</v>
      </c>
      <c r="F88" s="230" t="s">
        <v>2620</v>
      </c>
      <c r="G88" s="231"/>
      <c r="H88" s="232">
        <v>0.28999999999999998</v>
      </c>
      <c r="I88" s="116"/>
      <c r="J88" s="113"/>
      <c r="K88" s="111"/>
      <c r="L88" s="111"/>
      <c r="M88" s="111"/>
      <c r="N88" s="110"/>
      <c r="O88" s="111"/>
    </row>
    <row r="89" spans="1:15" ht="18.75" customHeight="1" x14ac:dyDescent="0.2">
      <c r="A89" s="111"/>
      <c r="B89" s="111"/>
      <c r="C89" s="111"/>
      <c r="D89" s="111"/>
      <c r="E89" s="111"/>
      <c r="F89" s="111"/>
      <c r="G89" s="118"/>
      <c r="H89" s="116"/>
      <c r="I89" s="116"/>
      <c r="J89" s="111"/>
      <c r="K89" s="111"/>
      <c r="L89" s="111"/>
      <c r="M89" s="111"/>
      <c r="N89" s="110"/>
      <c r="O89" s="111"/>
    </row>
    <row r="90" spans="1:15" s="106" customFormat="1" ht="18.75" customHeight="1" x14ac:dyDescent="0.2">
      <c r="A90" s="104">
        <v>37892</v>
      </c>
      <c r="B90" s="104">
        <v>37906</v>
      </c>
      <c r="C90" s="224">
        <v>32000000</v>
      </c>
      <c r="D90" s="106" t="s">
        <v>2587</v>
      </c>
      <c r="E90" s="225" t="s">
        <v>26</v>
      </c>
      <c r="F90" s="225" t="s">
        <v>2621</v>
      </c>
      <c r="G90" s="226" t="s">
        <v>349</v>
      </c>
      <c r="H90" s="227">
        <v>68.08</v>
      </c>
      <c r="I90" s="108"/>
      <c r="J90" s="108">
        <v>46.8</v>
      </c>
      <c r="K90" s="110"/>
      <c r="L90" s="104">
        <v>38139</v>
      </c>
      <c r="M90" s="104">
        <v>41060</v>
      </c>
      <c r="N90" s="225" t="s">
        <v>19</v>
      </c>
      <c r="O90" s="225" t="s">
        <v>2588</v>
      </c>
    </row>
    <row r="91" spans="1:15" ht="18.75" customHeight="1" x14ac:dyDescent="0.2">
      <c r="A91" s="113"/>
      <c r="B91" s="113"/>
      <c r="C91" s="229"/>
      <c r="D91" s="106"/>
      <c r="E91" s="230" t="s">
        <v>21</v>
      </c>
      <c r="F91" s="230" t="s">
        <v>2622</v>
      </c>
      <c r="G91" s="231"/>
      <c r="H91" s="232">
        <v>18.420000000000002</v>
      </c>
      <c r="I91" s="116"/>
      <c r="J91" s="113"/>
      <c r="K91" s="111"/>
      <c r="L91" s="111"/>
      <c r="M91" s="111"/>
      <c r="N91" s="110"/>
      <c r="O91" s="111"/>
    </row>
    <row r="92" spans="1:15" ht="18.75" customHeight="1" x14ac:dyDescent="0.2">
      <c r="A92" s="113"/>
      <c r="B92" s="113"/>
      <c r="C92" s="229"/>
      <c r="D92" s="106"/>
      <c r="E92" s="230" t="s">
        <v>19</v>
      </c>
      <c r="F92" s="230" t="s">
        <v>2623</v>
      </c>
      <c r="G92" s="231"/>
      <c r="H92" s="232">
        <v>10.06</v>
      </c>
      <c r="I92" s="116"/>
      <c r="J92" s="113"/>
      <c r="K92" s="111"/>
      <c r="L92" s="111"/>
      <c r="M92" s="111"/>
      <c r="N92" s="110"/>
      <c r="O92" s="111"/>
    </row>
    <row r="93" spans="1:15" ht="18.75" customHeight="1" x14ac:dyDescent="0.2">
      <c r="A93" s="113"/>
      <c r="B93" s="113"/>
      <c r="C93" s="229"/>
      <c r="D93" s="106"/>
      <c r="E93" s="230" t="s">
        <v>26</v>
      </c>
      <c r="F93" s="230" t="s">
        <v>2624</v>
      </c>
      <c r="G93" s="231"/>
      <c r="H93" s="232">
        <v>3.44</v>
      </c>
      <c r="I93" s="116"/>
      <c r="J93" s="113"/>
      <c r="K93" s="111"/>
      <c r="L93" s="111"/>
      <c r="M93" s="111"/>
      <c r="N93" s="110"/>
      <c r="O93" s="111"/>
    </row>
    <row r="94" spans="1:15" ht="18.75" customHeight="1" x14ac:dyDescent="0.2">
      <c r="A94" s="111"/>
      <c r="B94" s="111"/>
      <c r="C94" s="111"/>
      <c r="D94" s="111"/>
      <c r="E94" s="111"/>
      <c r="F94" s="111"/>
      <c r="G94" s="118"/>
      <c r="H94" s="116"/>
      <c r="I94" s="116"/>
      <c r="J94" s="111"/>
      <c r="K94" s="111"/>
      <c r="L94" s="111"/>
      <c r="M94" s="111"/>
      <c r="N94" s="110"/>
      <c r="O94" s="111"/>
    </row>
    <row r="95" spans="1:15" s="106" customFormat="1" ht="18.75" customHeight="1" x14ac:dyDescent="0.2">
      <c r="A95" s="104">
        <v>38312</v>
      </c>
      <c r="B95" s="104">
        <v>38326</v>
      </c>
      <c r="C95" s="224">
        <v>31500000</v>
      </c>
      <c r="D95" s="106" t="s">
        <v>2556</v>
      </c>
      <c r="E95" s="225" t="s">
        <v>21</v>
      </c>
      <c r="F95" s="225" t="s">
        <v>2557</v>
      </c>
      <c r="G95" s="226" t="s">
        <v>349</v>
      </c>
      <c r="H95" s="227">
        <v>52.13</v>
      </c>
      <c r="I95" s="108"/>
      <c r="J95" s="108">
        <v>41.3</v>
      </c>
      <c r="K95" s="110"/>
      <c r="L95" s="104">
        <v>38476</v>
      </c>
      <c r="M95" s="104">
        <v>40908</v>
      </c>
      <c r="N95" s="225" t="s">
        <v>21</v>
      </c>
      <c r="O95" s="225" t="s">
        <v>2557</v>
      </c>
    </row>
    <row r="96" spans="1:15" ht="18.75" customHeight="1" x14ac:dyDescent="0.2">
      <c r="A96" s="113"/>
      <c r="B96" s="113"/>
      <c r="C96" s="229"/>
      <c r="D96" s="106"/>
      <c r="E96" s="230" t="s">
        <v>19</v>
      </c>
      <c r="F96" s="230" t="s">
        <v>2625</v>
      </c>
      <c r="G96" s="231"/>
      <c r="H96" s="232">
        <v>37.729999999999997</v>
      </c>
      <c r="I96" s="116"/>
      <c r="J96" s="113"/>
      <c r="K96" s="111"/>
      <c r="L96" s="111"/>
      <c r="M96" s="111"/>
      <c r="N96" s="110"/>
      <c r="O96" s="111"/>
    </row>
    <row r="97" spans="1:15" ht="18.75" customHeight="1" x14ac:dyDescent="0.2">
      <c r="A97" s="113"/>
      <c r="B97" s="113"/>
      <c r="C97" s="229"/>
      <c r="D97" s="106"/>
      <c r="E97" s="230" t="s">
        <v>34</v>
      </c>
      <c r="F97" s="230" t="s">
        <v>2626</v>
      </c>
      <c r="G97" s="231"/>
      <c r="H97" s="232">
        <v>9.15</v>
      </c>
      <c r="I97" s="116"/>
      <c r="J97" s="113"/>
      <c r="K97" s="111"/>
      <c r="L97" s="111"/>
      <c r="M97" s="111"/>
      <c r="N97" s="110"/>
      <c r="O97" s="111"/>
    </row>
    <row r="98" spans="1:15" ht="18.75" customHeight="1" x14ac:dyDescent="0.2">
      <c r="A98" s="113"/>
      <c r="B98" s="113"/>
      <c r="C98" s="229"/>
      <c r="D98" s="106"/>
      <c r="E98" s="230" t="s">
        <v>26</v>
      </c>
      <c r="F98" s="230" t="s">
        <v>2627</v>
      </c>
      <c r="G98" s="231"/>
      <c r="H98" s="232">
        <v>0.99</v>
      </c>
      <c r="I98" s="116"/>
      <c r="J98" s="113"/>
      <c r="K98" s="111"/>
      <c r="L98" s="111"/>
      <c r="M98" s="111"/>
      <c r="N98" s="110"/>
      <c r="O98" s="111"/>
    </row>
    <row r="99" spans="1:15" ht="18.75" customHeight="1" x14ac:dyDescent="0.2">
      <c r="A99" s="113"/>
      <c r="B99" s="113"/>
      <c r="C99" s="118"/>
      <c r="D99" s="111"/>
      <c r="E99" s="111"/>
      <c r="F99" s="111"/>
      <c r="G99" s="118"/>
      <c r="H99" s="116"/>
      <c r="I99" s="116"/>
      <c r="J99" s="118"/>
      <c r="K99" s="118"/>
      <c r="L99" s="111"/>
      <c r="M99" s="111"/>
      <c r="N99" s="110"/>
      <c r="O99" s="111"/>
    </row>
    <row r="100" spans="1:15" s="106" customFormat="1" ht="18.75" customHeight="1" x14ac:dyDescent="0.2">
      <c r="A100" s="104">
        <v>38984</v>
      </c>
      <c r="B100" s="104">
        <v>38998</v>
      </c>
      <c r="C100" s="224">
        <v>21100000</v>
      </c>
      <c r="D100" s="106" t="s">
        <v>2567</v>
      </c>
      <c r="E100" s="225" t="s">
        <v>26</v>
      </c>
      <c r="F100" s="225" t="s">
        <v>2628</v>
      </c>
      <c r="G100" s="226" t="s">
        <v>349</v>
      </c>
      <c r="H100" s="227">
        <v>66.900000000000006</v>
      </c>
      <c r="I100" s="108"/>
      <c r="J100" s="108">
        <v>43.2</v>
      </c>
      <c r="K100" s="110"/>
      <c r="L100" s="104">
        <v>39173</v>
      </c>
      <c r="M100" s="104">
        <v>42094</v>
      </c>
      <c r="N100" s="225" t="s">
        <v>19</v>
      </c>
      <c r="O100" s="225" t="s">
        <v>2568</v>
      </c>
    </row>
    <row r="101" spans="1:15" ht="18.75" customHeight="1" x14ac:dyDescent="0.2">
      <c r="A101" s="113"/>
      <c r="B101" s="113"/>
      <c r="C101" s="229"/>
      <c r="D101" s="106"/>
      <c r="E101" s="230" t="s">
        <v>19</v>
      </c>
      <c r="F101" s="230" t="s">
        <v>2629</v>
      </c>
      <c r="G101" s="231"/>
      <c r="H101" s="232">
        <v>33.1</v>
      </c>
      <c r="I101" s="116"/>
      <c r="J101" s="113"/>
      <c r="K101" s="111"/>
      <c r="L101" s="111"/>
      <c r="M101" s="111"/>
      <c r="N101" s="110"/>
      <c r="O101" s="111"/>
    </row>
    <row r="102" spans="1:15" ht="18.75" customHeight="1" x14ac:dyDescent="0.2">
      <c r="A102" s="111"/>
      <c r="B102" s="111"/>
      <c r="C102" s="111"/>
      <c r="D102" s="111"/>
      <c r="E102" s="111"/>
      <c r="F102" s="111"/>
      <c r="G102" s="118"/>
      <c r="H102" s="116"/>
      <c r="I102" s="116"/>
      <c r="J102" s="111"/>
      <c r="K102" s="111"/>
      <c r="L102" s="111"/>
      <c r="M102" s="111"/>
      <c r="N102" s="110"/>
      <c r="O102" s="111"/>
    </row>
    <row r="103" spans="1:15" s="106" customFormat="1" ht="18.75" customHeight="1" x14ac:dyDescent="0.2">
      <c r="A103" s="104">
        <v>39152</v>
      </c>
      <c r="B103" s="104">
        <v>39166</v>
      </c>
      <c r="C103" s="224" t="s">
        <v>2630</v>
      </c>
      <c r="D103" s="106" t="s">
        <v>2576</v>
      </c>
      <c r="E103" s="235" t="s">
        <v>21</v>
      </c>
      <c r="F103" s="235" t="s">
        <v>2631</v>
      </c>
      <c r="G103" s="236" t="s">
        <v>349</v>
      </c>
      <c r="H103" s="237">
        <v>55.59</v>
      </c>
      <c r="I103" s="212"/>
      <c r="J103" s="108">
        <v>41.8</v>
      </c>
      <c r="K103" s="110"/>
      <c r="L103" s="104">
        <v>39326</v>
      </c>
      <c r="M103" s="104">
        <v>42247</v>
      </c>
      <c r="N103" s="225" t="s">
        <v>19</v>
      </c>
      <c r="O103" s="225" t="s">
        <v>2577</v>
      </c>
    </row>
    <row r="104" spans="1:15" ht="18.75" customHeight="1" x14ac:dyDescent="0.2">
      <c r="A104" s="113"/>
      <c r="B104" s="113"/>
      <c r="C104" s="229"/>
      <c r="D104" s="106"/>
      <c r="E104" s="238" t="s">
        <v>19</v>
      </c>
      <c r="F104" s="238" t="s">
        <v>2577</v>
      </c>
      <c r="G104" s="239"/>
      <c r="H104" s="240">
        <v>40.200000000000003</v>
      </c>
      <c r="I104" s="116"/>
      <c r="J104" s="113"/>
      <c r="K104" s="111"/>
      <c r="L104" s="111"/>
      <c r="M104" s="111"/>
      <c r="N104" s="110"/>
      <c r="O104" s="111"/>
    </row>
    <row r="105" spans="1:15" ht="18.75" customHeight="1" x14ac:dyDescent="0.2">
      <c r="A105" s="113"/>
      <c r="B105" s="113"/>
      <c r="C105" s="229"/>
      <c r="D105" s="106"/>
      <c r="E105" s="238" t="s">
        <v>2275</v>
      </c>
      <c r="F105" s="238" t="s">
        <v>2632</v>
      </c>
      <c r="G105" s="239"/>
      <c r="H105" s="240">
        <v>4.21</v>
      </c>
      <c r="I105" s="116"/>
      <c r="J105" s="113"/>
      <c r="K105" s="111"/>
      <c r="L105" s="111"/>
      <c r="M105" s="111"/>
      <c r="N105" s="110"/>
      <c r="O105" s="111"/>
    </row>
    <row r="106" spans="1:15" ht="18.75" customHeight="1" x14ac:dyDescent="0.2">
      <c r="A106" s="111"/>
      <c r="B106" s="111"/>
      <c r="C106" s="111"/>
      <c r="D106" s="111"/>
      <c r="E106" s="111"/>
      <c r="F106" s="111"/>
      <c r="G106" s="118"/>
      <c r="H106" s="116"/>
      <c r="I106" s="116"/>
      <c r="J106" s="111"/>
      <c r="K106" s="111"/>
      <c r="L106" s="111"/>
      <c r="M106" s="111"/>
      <c r="N106" s="110"/>
      <c r="O106" s="111"/>
    </row>
    <row r="107" spans="1:15" s="106" customFormat="1" ht="18.75" customHeight="1" x14ac:dyDescent="0.2">
      <c r="A107" s="104">
        <v>39236</v>
      </c>
      <c r="B107" s="104">
        <v>39250</v>
      </c>
      <c r="C107" s="224">
        <v>31100000</v>
      </c>
      <c r="D107" s="106" t="s">
        <v>2582</v>
      </c>
      <c r="E107" s="235" t="s">
        <v>19</v>
      </c>
      <c r="F107" s="235" t="s">
        <v>2583</v>
      </c>
      <c r="G107" s="236" t="s">
        <v>349</v>
      </c>
      <c r="H107" s="237">
        <v>84.42</v>
      </c>
      <c r="I107" s="108"/>
      <c r="J107" s="108">
        <v>40.700000000000003</v>
      </c>
      <c r="K107" s="110"/>
      <c r="L107" s="104">
        <v>39448</v>
      </c>
      <c r="M107" s="104">
        <v>42369</v>
      </c>
      <c r="N107" s="225" t="s">
        <v>19</v>
      </c>
      <c r="O107" s="225" t="s">
        <v>2583</v>
      </c>
    </row>
    <row r="108" spans="1:15" ht="18.75" customHeight="1" x14ac:dyDescent="0.2">
      <c r="A108" s="113"/>
      <c r="B108" s="113"/>
      <c r="C108" s="229"/>
      <c r="D108" s="106"/>
      <c r="E108" s="238" t="s">
        <v>21</v>
      </c>
      <c r="F108" s="238" t="s">
        <v>2633</v>
      </c>
      <c r="G108" s="239"/>
      <c r="H108" s="240">
        <v>13.45</v>
      </c>
      <c r="I108" s="116"/>
      <c r="J108" s="113"/>
      <c r="K108" s="111"/>
      <c r="L108" s="111"/>
      <c r="M108" s="111"/>
      <c r="N108" s="110"/>
      <c r="O108" s="111"/>
    </row>
    <row r="109" spans="1:15" ht="18.75" customHeight="1" x14ac:dyDescent="0.2">
      <c r="A109" s="113"/>
      <c r="B109" s="113"/>
      <c r="C109" s="229"/>
      <c r="D109" s="106"/>
      <c r="E109" s="238" t="s">
        <v>26</v>
      </c>
      <c r="F109" s="238" t="s">
        <v>2634</v>
      </c>
      <c r="G109" s="239"/>
      <c r="H109" s="240">
        <v>2.12</v>
      </c>
      <c r="I109" s="116"/>
      <c r="J109" s="113"/>
      <c r="K109" s="111"/>
      <c r="L109" s="111"/>
      <c r="M109" s="111"/>
      <c r="N109" s="110"/>
      <c r="O109" s="111"/>
    </row>
    <row r="110" spans="1:15" ht="18.75" customHeight="1" x14ac:dyDescent="0.2">
      <c r="A110" s="113"/>
      <c r="B110" s="113"/>
      <c r="C110" s="118"/>
      <c r="D110" s="111"/>
      <c r="E110" s="111"/>
      <c r="F110" s="111"/>
      <c r="G110" s="118"/>
      <c r="H110" s="116"/>
      <c r="I110" s="116"/>
      <c r="J110" s="118"/>
      <c r="K110" s="118"/>
      <c r="L110" s="111"/>
      <c r="M110" s="111"/>
      <c r="N110" s="110"/>
      <c r="O110" s="111"/>
    </row>
    <row r="111" spans="1:15" s="106" customFormat="1" ht="18.75" customHeight="1" x14ac:dyDescent="0.2">
      <c r="A111" s="104">
        <v>39327</v>
      </c>
      <c r="B111" s="104">
        <v>39341</v>
      </c>
      <c r="C111" s="224">
        <v>31300000</v>
      </c>
      <c r="D111" s="106" t="s">
        <v>2605</v>
      </c>
      <c r="E111" s="235" t="s">
        <v>21</v>
      </c>
      <c r="F111" s="235" t="s">
        <v>2607</v>
      </c>
      <c r="G111" s="236" t="s">
        <v>349</v>
      </c>
      <c r="H111" s="237">
        <v>62.5</v>
      </c>
      <c r="I111" s="108"/>
      <c r="J111" s="108">
        <v>42.75</v>
      </c>
      <c r="K111" s="110"/>
      <c r="L111" s="104">
        <v>39448</v>
      </c>
      <c r="M111" s="104">
        <v>42369</v>
      </c>
      <c r="N111" s="225" t="s">
        <v>19</v>
      </c>
      <c r="O111" s="225" t="s">
        <v>2606</v>
      </c>
    </row>
    <row r="112" spans="1:15" ht="18.75" customHeight="1" x14ac:dyDescent="0.2">
      <c r="A112" s="113"/>
      <c r="B112" s="113"/>
      <c r="C112" s="113"/>
      <c r="D112" s="106"/>
      <c r="E112" s="238" t="s">
        <v>34</v>
      </c>
      <c r="F112" s="238" t="s">
        <v>2635</v>
      </c>
      <c r="G112" s="239"/>
      <c r="H112" s="240">
        <v>13.72</v>
      </c>
      <c r="I112" s="116"/>
      <c r="J112" s="111"/>
      <c r="K112" s="111"/>
      <c r="L112" s="111"/>
      <c r="M112" s="111"/>
      <c r="N112" s="110"/>
      <c r="O112" s="111"/>
    </row>
    <row r="113" spans="1:15" ht="18.75" customHeight="1" x14ac:dyDescent="0.2">
      <c r="A113" s="113"/>
      <c r="B113" s="113"/>
      <c r="C113" s="113"/>
      <c r="D113" s="106"/>
      <c r="E113" s="238" t="s">
        <v>55</v>
      </c>
      <c r="F113" s="238" t="s">
        <v>2636</v>
      </c>
      <c r="G113" s="239"/>
      <c r="H113" s="240">
        <v>8.16</v>
      </c>
      <c r="I113" s="116"/>
      <c r="J113" s="111"/>
      <c r="K113" s="111"/>
      <c r="L113" s="111"/>
      <c r="M113" s="111"/>
      <c r="N113" s="110"/>
      <c r="O113" s="111"/>
    </row>
    <row r="114" spans="1:15" ht="18.75" customHeight="1" x14ac:dyDescent="0.2">
      <c r="A114" s="113"/>
      <c r="B114" s="113"/>
      <c r="C114" s="113"/>
      <c r="D114" s="106"/>
      <c r="E114" s="238" t="s">
        <v>124</v>
      </c>
      <c r="F114" s="238" t="s">
        <v>2637</v>
      </c>
      <c r="G114" s="239"/>
      <c r="H114" s="240">
        <v>6.49</v>
      </c>
      <c r="I114" s="116"/>
      <c r="J114" s="111"/>
      <c r="K114" s="111"/>
      <c r="L114" s="111"/>
      <c r="M114" s="111"/>
      <c r="N114" s="110"/>
      <c r="O114" s="111"/>
    </row>
    <row r="115" spans="1:15" ht="18.75" customHeight="1" x14ac:dyDescent="0.2">
      <c r="A115" s="113"/>
      <c r="B115" s="113"/>
      <c r="C115" s="113"/>
      <c r="D115" s="106"/>
      <c r="E115" s="238" t="s">
        <v>19</v>
      </c>
      <c r="F115" s="238" t="s">
        <v>2638</v>
      </c>
      <c r="G115" s="239"/>
      <c r="H115" s="240">
        <v>5.66</v>
      </c>
      <c r="I115" s="116"/>
      <c r="J115" s="111"/>
      <c r="K115" s="111"/>
      <c r="L115" s="111"/>
      <c r="M115" s="111"/>
      <c r="N115" s="110"/>
      <c r="O115" s="111"/>
    </row>
    <row r="116" spans="1:15" ht="18.75" customHeight="1" x14ac:dyDescent="0.2">
      <c r="A116" s="113"/>
      <c r="B116" s="113"/>
      <c r="C116" s="113"/>
      <c r="D116" s="106"/>
      <c r="E116" s="238" t="s">
        <v>38</v>
      </c>
      <c r="F116" s="238" t="s">
        <v>2639</v>
      </c>
      <c r="G116" s="239"/>
      <c r="H116" s="240">
        <v>3.47</v>
      </c>
      <c r="I116" s="116"/>
      <c r="J116" s="111"/>
      <c r="K116" s="111"/>
      <c r="L116" s="111"/>
      <c r="M116" s="111"/>
      <c r="N116" s="110"/>
      <c r="O116" s="111"/>
    </row>
    <row r="117" spans="1:15" ht="18.75" customHeight="1" x14ac:dyDescent="0.2">
      <c r="A117" s="113"/>
      <c r="B117" s="113"/>
      <c r="C117" s="229"/>
      <c r="D117" s="111"/>
      <c r="E117" s="111"/>
      <c r="F117" s="111"/>
      <c r="G117" s="118"/>
      <c r="H117" s="116"/>
      <c r="I117" s="116"/>
      <c r="J117" s="116"/>
      <c r="K117" s="118"/>
      <c r="L117" s="113"/>
      <c r="M117" s="113"/>
      <c r="N117" s="110"/>
      <c r="O117" s="111"/>
    </row>
    <row r="118" spans="1:15" s="106" customFormat="1" ht="18.75" customHeight="1" x14ac:dyDescent="0.2">
      <c r="A118" s="104">
        <v>39971</v>
      </c>
      <c r="B118" s="104">
        <v>39985</v>
      </c>
      <c r="C118" s="224">
        <v>31400000</v>
      </c>
      <c r="D118" s="106" t="s">
        <v>2594</v>
      </c>
      <c r="E118" s="241" t="s">
        <v>19</v>
      </c>
      <c r="F118" s="241" t="s">
        <v>2595</v>
      </c>
      <c r="G118" s="242" t="s">
        <v>419</v>
      </c>
      <c r="H118" s="243">
        <v>53.68</v>
      </c>
      <c r="I118" s="108"/>
      <c r="J118" s="108">
        <v>44.03</v>
      </c>
      <c r="K118" s="110"/>
      <c r="L118" s="104">
        <v>40179</v>
      </c>
      <c r="M118" s="104">
        <v>43100</v>
      </c>
      <c r="N118" s="225" t="s">
        <v>19</v>
      </c>
      <c r="O118" s="225" t="s">
        <v>2595</v>
      </c>
    </row>
    <row r="119" spans="1:15" ht="18.75" customHeight="1" x14ac:dyDescent="0.2">
      <c r="A119" s="113"/>
      <c r="B119" s="113"/>
      <c r="C119" s="113"/>
      <c r="D119" s="106"/>
      <c r="E119" s="244" t="s">
        <v>21</v>
      </c>
      <c r="F119" s="244" t="s">
        <v>2640</v>
      </c>
      <c r="G119" s="245"/>
      <c r="H119" s="246">
        <v>37.61</v>
      </c>
      <c r="I119" s="116"/>
      <c r="J119" s="111"/>
      <c r="K119" s="111"/>
      <c r="L119" s="111"/>
      <c r="M119" s="111"/>
      <c r="N119" s="110"/>
      <c r="O119" s="111"/>
    </row>
    <row r="120" spans="1:15" ht="18.75" customHeight="1" x14ac:dyDescent="0.2">
      <c r="A120" s="113"/>
      <c r="B120" s="113"/>
      <c r="C120" s="113"/>
      <c r="D120" s="106"/>
      <c r="E120" s="244" t="s">
        <v>2275</v>
      </c>
      <c r="F120" s="244" t="s">
        <v>2641</v>
      </c>
      <c r="G120" s="245"/>
      <c r="H120" s="246">
        <v>5.61</v>
      </c>
      <c r="I120" s="116"/>
      <c r="J120" s="111"/>
      <c r="K120" s="111"/>
      <c r="L120" s="111"/>
      <c r="M120" s="111"/>
      <c r="N120" s="110"/>
      <c r="O120" s="111"/>
    </row>
    <row r="121" spans="1:15" ht="18.75" customHeight="1" x14ac:dyDescent="0.2">
      <c r="A121" s="113"/>
      <c r="B121" s="113"/>
      <c r="C121" s="113"/>
      <c r="D121" s="106"/>
      <c r="E121" s="244" t="s">
        <v>2642</v>
      </c>
      <c r="F121" s="244" t="s">
        <v>2599</v>
      </c>
      <c r="G121" s="245"/>
      <c r="H121" s="246">
        <v>3.1</v>
      </c>
      <c r="I121" s="116"/>
      <c r="J121" s="111"/>
      <c r="K121" s="111"/>
      <c r="L121" s="111"/>
      <c r="M121" s="111"/>
      <c r="N121" s="110"/>
      <c r="O121" s="111"/>
    </row>
    <row r="122" spans="1:15" ht="18.75" customHeight="1" x14ac:dyDescent="0.2">
      <c r="A122" s="113"/>
      <c r="B122" s="113"/>
      <c r="C122" s="229"/>
      <c r="D122" s="111"/>
      <c r="E122" s="111"/>
      <c r="F122" s="111"/>
      <c r="G122" s="118"/>
      <c r="H122" s="116"/>
      <c r="I122" s="116"/>
      <c r="J122" s="116"/>
      <c r="K122" s="118"/>
      <c r="L122" s="113"/>
      <c r="M122" s="113"/>
      <c r="N122" s="110"/>
      <c r="O122" s="111"/>
    </row>
    <row r="123" spans="1:15" s="106" customFormat="1" ht="18.75" customHeight="1" x14ac:dyDescent="0.2">
      <c r="A123" s="104">
        <v>39971</v>
      </c>
      <c r="B123" s="104">
        <v>39985</v>
      </c>
      <c r="C123" s="224">
        <v>31600000</v>
      </c>
      <c r="D123" s="106" t="s">
        <v>2600</v>
      </c>
      <c r="E123" s="241" t="s">
        <v>19</v>
      </c>
      <c r="F123" s="241" t="s">
        <v>2601</v>
      </c>
      <c r="G123" s="242" t="s">
        <v>349</v>
      </c>
      <c r="H123" s="243">
        <v>52.34</v>
      </c>
      <c r="I123" s="108"/>
      <c r="J123" s="108">
        <v>55.6</v>
      </c>
      <c r="K123" s="110"/>
      <c r="L123" s="104">
        <v>40179</v>
      </c>
      <c r="M123" s="104">
        <v>43100</v>
      </c>
      <c r="N123" s="225" t="s">
        <v>19</v>
      </c>
      <c r="O123" s="225" t="s">
        <v>2601</v>
      </c>
    </row>
    <row r="124" spans="1:15" ht="18.75" customHeight="1" x14ac:dyDescent="0.2">
      <c r="A124" s="113"/>
      <c r="B124" s="113"/>
      <c r="C124" s="113"/>
      <c r="D124" s="106"/>
      <c r="E124" s="244" t="s">
        <v>2643</v>
      </c>
      <c r="F124" s="244" t="s">
        <v>2644</v>
      </c>
      <c r="G124" s="245"/>
      <c r="H124" s="246">
        <v>35.090000000000003</v>
      </c>
      <c r="I124" s="116"/>
      <c r="J124" s="111"/>
      <c r="K124" s="111"/>
      <c r="L124" s="111"/>
      <c r="M124" s="111"/>
      <c r="N124" s="110"/>
      <c r="O124" s="111"/>
    </row>
    <row r="125" spans="1:15" ht="18.75" customHeight="1" x14ac:dyDescent="0.2">
      <c r="A125" s="113"/>
      <c r="B125" s="113"/>
      <c r="C125" s="113"/>
      <c r="D125" s="106"/>
      <c r="E125" s="244" t="s">
        <v>2645</v>
      </c>
      <c r="F125" s="244" t="s">
        <v>2646</v>
      </c>
      <c r="G125" s="245"/>
      <c r="H125" s="246">
        <v>12.57</v>
      </c>
      <c r="I125" s="116"/>
      <c r="J125" s="111"/>
      <c r="K125" s="111"/>
      <c r="L125" s="111"/>
      <c r="M125" s="111"/>
      <c r="N125" s="110"/>
      <c r="O125" s="111"/>
    </row>
    <row r="126" spans="1:15" ht="18.75" customHeight="1" x14ac:dyDescent="0.2">
      <c r="A126" s="113"/>
      <c r="B126" s="113"/>
      <c r="C126" s="113"/>
      <c r="D126" s="229"/>
      <c r="E126" s="111"/>
      <c r="F126" s="111"/>
      <c r="G126" s="118"/>
      <c r="H126" s="144"/>
      <c r="I126" s="116"/>
      <c r="J126" s="118"/>
      <c r="K126" s="116"/>
      <c r="L126" s="118"/>
      <c r="M126" s="113"/>
      <c r="N126" s="104"/>
      <c r="O126" s="111"/>
    </row>
    <row r="127" spans="1:15" s="106" customFormat="1" ht="18.75" customHeight="1" x14ac:dyDescent="0.2">
      <c r="A127" s="104">
        <v>40083</v>
      </c>
      <c r="B127" s="104">
        <v>40097</v>
      </c>
      <c r="C127" s="224" t="s">
        <v>2647</v>
      </c>
      <c r="D127" s="106" t="s">
        <v>2648</v>
      </c>
      <c r="E127" s="235" t="s">
        <v>2649</v>
      </c>
      <c r="F127" s="235" t="s">
        <v>2650</v>
      </c>
      <c r="G127" s="236" t="s">
        <v>349</v>
      </c>
      <c r="H127" s="237">
        <v>54.4</v>
      </c>
      <c r="I127" s="108"/>
      <c r="J127" s="108">
        <v>66.66</v>
      </c>
      <c r="L127" s="104">
        <v>40299</v>
      </c>
      <c r="M127" s="104">
        <v>43220</v>
      </c>
      <c r="N127" s="225" t="s">
        <v>21</v>
      </c>
      <c r="O127" s="225" t="s">
        <v>2544</v>
      </c>
    </row>
    <row r="128" spans="1:15" ht="18.75" customHeight="1" x14ac:dyDescent="0.2">
      <c r="A128" s="113"/>
      <c r="B128" s="113"/>
      <c r="C128" s="113"/>
      <c r="D128" s="106"/>
      <c r="E128" s="238" t="s">
        <v>19</v>
      </c>
      <c r="F128" s="238" t="s">
        <v>15</v>
      </c>
      <c r="G128" s="239"/>
      <c r="H128" s="240">
        <v>45.6</v>
      </c>
      <c r="I128" s="116"/>
      <c r="J128" s="111"/>
      <c r="K128" s="111"/>
      <c r="L128" s="111"/>
      <c r="M128" s="111"/>
      <c r="N128" s="110"/>
      <c r="O128" s="111"/>
    </row>
    <row r="129" spans="1:15" ht="18.75" customHeight="1" x14ac:dyDescent="0.2">
      <c r="A129" s="113"/>
      <c r="B129" s="113"/>
      <c r="C129" s="113"/>
      <c r="D129" s="229"/>
      <c r="E129" s="111"/>
      <c r="F129" s="111"/>
      <c r="G129" s="118"/>
      <c r="H129" s="144"/>
      <c r="I129" s="116"/>
      <c r="J129" s="118"/>
      <c r="K129" s="116"/>
      <c r="L129" s="118"/>
      <c r="M129" s="113"/>
      <c r="N129" s="104"/>
      <c r="O129" s="111"/>
    </row>
    <row r="130" spans="1:15" s="106" customFormat="1" ht="18.75" customHeight="1" x14ac:dyDescent="0.2">
      <c r="A130" s="104">
        <v>40342</v>
      </c>
      <c r="B130" s="104">
        <v>40356</v>
      </c>
      <c r="C130" s="224">
        <v>31800000</v>
      </c>
      <c r="D130" s="106" t="s">
        <v>2552</v>
      </c>
      <c r="E130" s="235" t="s">
        <v>19</v>
      </c>
      <c r="F130" s="235" t="s">
        <v>2651</v>
      </c>
      <c r="G130" s="236" t="s">
        <v>349</v>
      </c>
      <c r="H130" s="237">
        <v>40.86</v>
      </c>
      <c r="I130" s="237">
        <v>50.74</v>
      </c>
      <c r="J130" s="108">
        <v>43.73</v>
      </c>
      <c r="K130" s="110">
        <v>39.9</v>
      </c>
      <c r="L130" s="104">
        <v>40544</v>
      </c>
      <c r="M130" s="104">
        <v>43465</v>
      </c>
      <c r="N130" s="225" t="s">
        <v>19</v>
      </c>
      <c r="O130" s="225" t="s">
        <v>2553</v>
      </c>
    </row>
    <row r="131" spans="1:15" ht="18.75" customHeight="1" x14ac:dyDescent="0.2">
      <c r="A131" s="113"/>
      <c r="B131" s="113"/>
      <c r="C131" s="113"/>
      <c r="D131" s="106"/>
      <c r="E131" s="238" t="s">
        <v>21</v>
      </c>
      <c r="F131" s="238" t="s">
        <v>2652</v>
      </c>
      <c r="G131" s="239"/>
      <c r="H131" s="240">
        <v>33.880000000000003</v>
      </c>
      <c r="I131" s="240">
        <v>49.26</v>
      </c>
      <c r="J131" s="111"/>
      <c r="K131" s="111"/>
      <c r="L131" s="111"/>
      <c r="M131" s="111"/>
      <c r="N131" s="110"/>
      <c r="O131" s="111"/>
    </row>
    <row r="132" spans="1:15" ht="18.75" customHeight="1" x14ac:dyDescent="0.2">
      <c r="A132" s="113"/>
      <c r="B132" s="113"/>
      <c r="C132" s="113"/>
      <c r="D132" s="106"/>
      <c r="E132" s="238" t="s">
        <v>903</v>
      </c>
      <c r="F132" s="238" t="s">
        <v>2653</v>
      </c>
      <c r="G132" s="239"/>
      <c r="H132" s="240">
        <v>13.28</v>
      </c>
      <c r="I132" s="116"/>
      <c r="J132" s="111"/>
      <c r="K132" s="111"/>
      <c r="L132" s="111"/>
      <c r="M132" s="111"/>
      <c r="N132" s="110"/>
      <c r="O132" s="111"/>
    </row>
    <row r="133" spans="1:15" ht="18.75" customHeight="1" x14ac:dyDescent="0.2">
      <c r="A133" s="113"/>
      <c r="B133" s="113"/>
      <c r="C133" s="113"/>
      <c r="D133" s="106"/>
      <c r="E133" s="238" t="s">
        <v>34</v>
      </c>
      <c r="F133" s="238" t="s">
        <v>2654</v>
      </c>
      <c r="G133" s="239"/>
      <c r="H133" s="240">
        <v>11.99</v>
      </c>
      <c r="I133" s="116"/>
      <c r="J133" s="111"/>
      <c r="K133" s="111"/>
      <c r="L133" s="111"/>
      <c r="M133" s="111"/>
      <c r="N133" s="110"/>
      <c r="O133" s="111"/>
    </row>
    <row r="134" spans="1:15" ht="18.75" customHeight="1" x14ac:dyDescent="0.2">
      <c r="A134" s="113"/>
      <c r="B134" s="113"/>
      <c r="C134" s="113"/>
      <c r="D134" s="118"/>
      <c r="E134" s="238"/>
      <c r="F134" s="238"/>
      <c r="G134" s="239"/>
      <c r="H134" s="240"/>
      <c r="I134" s="116"/>
      <c r="J134" s="111"/>
      <c r="K134" s="111"/>
      <c r="L134" s="111"/>
      <c r="M134" s="111"/>
      <c r="N134" s="110"/>
      <c r="O134" s="111"/>
    </row>
    <row r="135" spans="1:15" ht="18.75" customHeight="1" x14ac:dyDescent="0.2">
      <c r="A135" s="104">
        <v>40629</v>
      </c>
      <c r="B135" s="104">
        <v>40643</v>
      </c>
      <c r="C135" s="224">
        <v>31700000</v>
      </c>
      <c r="D135" s="106" t="s">
        <v>2571</v>
      </c>
      <c r="E135" s="235" t="s">
        <v>19</v>
      </c>
      <c r="F135" s="235" t="s">
        <v>2612</v>
      </c>
      <c r="G135" s="236" t="s">
        <v>349</v>
      </c>
      <c r="H135" s="237">
        <v>68.95</v>
      </c>
      <c r="I135" s="108"/>
      <c r="J135" s="108">
        <v>52.96</v>
      </c>
      <c r="K135" s="110"/>
      <c r="L135" s="104">
        <v>40664</v>
      </c>
      <c r="M135" s="104">
        <v>43585</v>
      </c>
      <c r="N135" s="225" t="s">
        <v>19</v>
      </c>
      <c r="O135" s="225" t="s">
        <v>2612</v>
      </c>
    </row>
    <row r="136" spans="1:15" ht="18.75" customHeight="1" x14ac:dyDescent="0.2">
      <c r="A136" s="113"/>
      <c r="B136" s="113"/>
      <c r="C136" s="229"/>
      <c r="D136" s="106"/>
      <c r="E136" s="238" t="s">
        <v>21</v>
      </c>
      <c r="F136" s="238" t="s">
        <v>2655</v>
      </c>
      <c r="G136" s="239"/>
      <c r="H136" s="240">
        <v>18.36</v>
      </c>
      <c r="I136" s="116"/>
      <c r="J136" s="113"/>
      <c r="K136" s="111"/>
      <c r="L136" s="111"/>
      <c r="M136" s="111"/>
      <c r="N136" s="110"/>
      <c r="O136" s="111"/>
    </row>
    <row r="137" spans="1:15" ht="18.75" customHeight="1" x14ac:dyDescent="0.2">
      <c r="A137" s="113"/>
      <c r="B137" s="113"/>
      <c r="C137" s="229"/>
      <c r="D137" s="106"/>
      <c r="E137" s="238" t="s">
        <v>2656</v>
      </c>
      <c r="F137" s="238" t="s">
        <v>2657</v>
      </c>
      <c r="G137" s="239"/>
      <c r="H137" s="240">
        <v>6.51</v>
      </c>
      <c r="I137" s="116"/>
      <c r="J137" s="113"/>
      <c r="K137" s="111"/>
      <c r="L137" s="111"/>
      <c r="M137" s="111"/>
      <c r="N137" s="110"/>
      <c r="O137" s="111"/>
    </row>
    <row r="138" spans="1:15" ht="18.75" customHeight="1" x14ac:dyDescent="0.2">
      <c r="A138" s="113"/>
      <c r="B138" s="113"/>
      <c r="C138" s="229"/>
      <c r="D138" s="106"/>
      <c r="E138" s="238" t="s">
        <v>2275</v>
      </c>
      <c r="F138" s="238" t="s">
        <v>2658</v>
      </c>
      <c r="G138" s="239"/>
      <c r="H138" s="240">
        <v>4.95</v>
      </c>
      <c r="I138" s="116"/>
      <c r="J138" s="113"/>
      <c r="K138" s="111"/>
      <c r="L138" s="111"/>
      <c r="M138" s="111"/>
      <c r="N138" s="110"/>
      <c r="O138" s="111"/>
    </row>
    <row r="139" spans="1:15" ht="18.75" customHeight="1" x14ac:dyDescent="0.2">
      <c r="A139" s="113"/>
      <c r="B139" s="113"/>
      <c r="C139" s="229"/>
      <c r="D139" s="106"/>
      <c r="E139" s="238" t="s">
        <v>1286</v>
      </c>
      <c r="F139" s="238" t="s">
        <v>2659</v>
      </c>
      <c r="G139" s="239"/>
      <c r="H139" s="240">
        <v>1.23</v>
      </c>
      <c r="I139" s="116"/>
      <c r="J139" s="113"/>
      <c r="K139" s="111"/>
      <c r="L139" s="111"/>
      <c r="M139" s="111"/>
      <c r="N139" s="110"/>
      <c r="O139" s="111"/>
    </row>
    <row r="140" spans="1:15" ht="18.75" customHeight="1" x14ac:dyDescent="0.2">
      <c r="A140" s="113"/>
      <c r="B140" s="113"/>
      <c r="C140" s="229"/>
      <c r="D140" s="111"/>
      <c r="E140" s="111"/>
      <c r="F140" s="111"/>
      <c r="G140" s="118"/>
      <c r="H140" s="116"/>
      <c r="I140" s="116"/>
      <c r="J140" s="116"/>
      <c r="K140" s="118"/>
      <c r="L140" s="113"/>
      <c r="M140" s="113"/>
      <c r="N140" s="110"/>
      <c r="O140" s="111"/>
    </row>
    <row r="141" spans="1:15" ht="18.75" customHeight="1" x14ac:dyDescent="0.2">
      <c r="A141" s="104">
        <v>40629</v>
      </c>
      <c r="B141" s="104">
        <v>40643</v>
      </c>
      <c r="C141" s="224">
        <v>31900000</v>
      </c>
      <c r="D141" s="106" t="s">
        <v>2660</v>
      </c>
      <c r="E141" s="235" t="s">
        <v>21</v>
      </c>
      <c r="F141" s="235" t="s">
        <v>2615</v>
      </c>
      <c r="G141" s="236" t="s">
        <v>349</v>
      </c>
      <c r="H141" s="237">
        <v>46.02</v>
      </c>
      <c r="I141" s="237">
        <v>52.95</v>
      </c>
      <c r="J141" s="108">
        <v>54.98</v>
      </c>
      <c r="K141" s="110">
        <v>40.299999999999997</v>
      </c>
      <c r="L141" s="104">
        <v>40725</v>
      </c>
      <c r="M141" s="104">
        <v>43646</v>
      </c>
      <c r="N141" s="225" t="s">
        <v>21</v>
      </c>
      <c r="O141" s="225" t="s">
        <v>2615</v>
      </c>
    </row>
    <row r="142" spans="1:15" ht="18.75" customHeight="1" x14ac:dyDescent="0.2">
      <c r="A142" s="113"/>
      <c r="B142" s="113"/>
      <c r="C142" s="229"/>
      <c r="D142" s="106"/>
      <c r="E142" s="238" t="s">
        <v>19</v>
      </c>
      <c r="F142" s="238" t="s">
        <v>2661</v>
      </c>
      <c r="G142" s="239"/>
      <c r="H142" s="240">
        <v>27.67</v>
      </c>
      <c r="I142" s="240">
        <v>47.05</v>
      </c>
      <c r="J142" s="113"/>
      <c r="K142" s="111"/>
      <c r="L142" s="111"/>
      <c r="M142" s="111"/>
      <c r="N142" s="110"/>
      <c r="O142" s="111"/>
    </row>
    <row r="143" spans="1:15" ht="18.75" customHeight="1" x14ac:dyDescent="0.2">
      <c r="A143" s="113"/>
      <c r="B143" s="113"/>
      <c r="C143" s="229"/>
      <c r="D143" s="106"/>
      <c r="E143" s="238" t="s">
        <v>38</v>
      </c>
      <c r="F143" s="238" t="s">
        <v>2662</v>
      </c>
      <c r="G143" s="239"/>
      <c r="H143" s="240">
        <v>15.53</v>
      </c>
      <c r="I143" s="116"/>
      <c r="J143" s="113"/>
      <c r="K143" s="111"/>
      <c r="L143" s="111"/>
      <c r="M143" s="111"/>
      <c r="N143" s="110"/>
      <c r="O143" s="111"/>
    </row>
    <row r="144" spans="1:15" ht="18.75" customHeight="1" x14ac:dyDescent="0.2">
      <c r="A144" s="113"/>
      <c r="B144" s="113"/>
      <c r="C144" s="229"/>
      <c r="D144" s="106"/>
      <c r="E144" s="238" t="s">
        <v>34</v>
      </c>
      <c r="F144" s="238" t="s">
        <v>2663</v>
      </c>
      <c r="G144" s="239"/>
      <c r="H144" s="240">
        <v>7.93</v>
      </c>
      <c r="I144" s="116"/>
      <c r="J144" s="113"/>
      <c r="K144" s="111"/>
      <c r="L144" s="111"/>
      <c r="M144" s="111"/>
      <c r="N144" s="110"/>
      <c r="O144" s="111"/>
    </row>
    <row r="145" spans="1:15" ht="18.75" customHeight="1" x14ac:dyDescent="0.2">
      <c r="A145" s="113"/>
      <c r="B145" s="113"/>
      <c r="C145" s="229"/>
      <c r="D145" s="106"/>
      <c r="E145" s="238" t="s">
        <v>98</v>
      </c>
      <c r="F145" s="238" t="s">
        <v>2664</v>
      </c>
      <c r="G145" s="239"/>
      <c r="H145" s="240">
        <v>2.84</v>
      </c>
      <c r="I145" s="116"/>
      <c r="J145" s="113"/>
      <c r="K145" s="111"/>
      <c r="L145" s="111"/>
      <c r="M145" s="111"/>
      <c r="N145" s="110"/>
      <c r="O145" s="111"/>
    </row>
    <row r="146" spans="1:15" ht="18.75" customHeight="1" x14ac:dyDescent="0.2">
      <c r="A146" s="113"/>
      <c r="B146" s="113"/>
      <c r="C146" s="229"/>
      <c r="D146" s="111"/>
      <c r="E146" s="111"/>
      <c r="F146" s="111"/>
      <c r="G146" s="118"/>
      <c r="H146" s="116"/>
      <c r="I146" s="116"/>
      <c r="J146" s="116"/>
      <c r="K146" s="118"/>
      <c r="L146" s="113"/>
      <c r="M146" s="113"/>
      <c r="N146" s="110"/>
      <c r="O146" s="111"/>
    </row>
    <row r="147" spans="1:15" ht="18.75" customHeight="1" x14ac:dyDescent="0.2">
      <c r="A147" s="104">
        <v>40790</v>
      </c>
      <c r="B147" s="104">
        <v>40804</v>
      </c>
      <c r="C147" s="224">
        <v>32000000</v>
      </c>
      <c r="D147" s="106" t="s">
        <v>2587</v>
      </c>
      <c r="E147" s="235" t="s">
        <v>21</v>
      </c>
      <c r="F147" s="235" t="s">
        <v>2665</v>
      </c>
      <c r="G147" s="236" t="s">
        <v>349</v>
      </c>
      <c r="H147" s="237">
        <v>56.91</v>
      </c>
      <c r="I147" s="108"/>
      <c r="J147" s="108">
        <v>38.630000000000003</v>
      </c>
      <c r="K147" s="110"/>
      <c r="L147" s="104">
        <v>41061</v>
      </c>
      <c r="M147" s="104">
        <v>43982</v>
      </c>
      <c r="N147" s="225" t="s">
        <v>26</v>
      </c>
      <c r="O147" s="225" t="s">
        <v>2621</v>
      </c>
    </row>
    <row r="148" spans="1:15" ht="18.75" customHeight="1" x14ac:dyDescent="0.2">
      <c r="A148" s="113"/>
      <c r="B148" s="113"/>
      <c r="C148" s="229"/>
      <c r="D148" s="106"/>
      <c r="E148" s="238" t="s">
        <v>2666</v>
      </c>
      <c r="F148" s="238" t="s">
        <v>2667</v>
      </c>
      <c r="G148" s="239"/>
      <c r="H148" s="240">
        <v>31.48</v>
      </c>
      <c r="I148" s="116"/>
      <c r="J148" s="113"/>
      <c r="K148" s="111"/>
      <c r="L148" s="111"/>
      <c r="M148" s="111"/>
      <c r="N148" s="110"/>
      <c r="O148" s="111"/>
    </row>
    <row r="149" spans="1:15" ht="18.75" customHeight="1" x14ac:dyDescent="0.2">
      <c r="A149" s="113"/>
      <c r="B149" s="113"/>
      <c r="C149" s="229"/>
      <c r="D149" s="106"/>
      <c r="E149" s="238" t="s">
        <v>19</v>
      </c>
      <c r="F149" s="238" t="s">
        <v>2668</v>
      </c>
      <c r="G149" s="239"/>
      <c r="H149" s="240">
        <v>8.36</v>
      </c>
      <c r="I149" s="116"/>
      <c r="J149" s="113"/>
      <c r="K149" s="111"/>
      <c r="L149" s="111"/>
      <c r="M149" s="111"/>
      <c r="N149" s="110"/>
      <c r="O149" s="111"/>
    </row>
    <row r="150" spans="1:15" ht="18.75" customHeight="1" x14ac:dyDescent="0.2">
      <c r="A150" s="113"/>
      <c r="B150" s="113"/>
      <c r="C150" s="229"/>
      <c r="D150" s="106"/>
      <c r="E150" s="238" t="s">
        <v>1181</v>
      </c>
      <c r="F150" s="238" t="s">
        <v>2624</v>
      </c>
      <c r="G150" s="239"/>
      <c r="H150" s="240">
        <v>2.0099999999999998</v>
      </c>
      <c r="I150" s="116"/>
      <c r="J150" s="113"/>
      <c r="K150" s="111"/>
      <c r="L150" s="111"/>
      <c r="M150" s="111"/>
      <c r="N150" s="110"/>
      <c r="O150" s="111"/>
    </row>
    <row r="151" spans="1:15" ht="18.75" customHeight="1" x14ac:dyDescent="0.2">
      <c r="A151" s="113"/>
      <c r="B151" s="113"/>
      <c r="C151" s="229"/>
      <c r="D151" s="106"/>
      <c r="E151" s="238" t="s">
        <v>98</v>
      </c>
      <c r="F151" s="238" t="s">
        <v>2669</v>
      </c>
      <c r="G151" s="239"/>
      <c r="H151" s="240">
        <v>1.24</v>
      </c>
      <c r="I151" s="116"/>
      <c r="J151" s="113"/>
      <c r="K151" s="111"/>
      <c r="L151" s="111"/>
      <c r="M151" s="111"/>
      <c r="N151" s="110"/>
      <c r="O151" s="111"/>
    </row>
    <row r="152" spans="1:15" ht="18.75" customHeight="1" x14ac:dyDescent="0.2">
      <c r="A152" s="113"/>
      <c r="B152" s="113"/>
      <c r="C152" s="229"/>
      <c r="D152" s="111"/>
      <c r="E152" s="111"/>
      <c r="F152" s="111"/>
      <c r="G152" s="118"/>
      <c r="H152" s="116"/>
      <c r="I152" s="116"/>
      <c r="J152" s="116"/>
      <c r="K152" s="118"/>
      <c r="L152" s="113"/>
      <c r="M152" s="113"/>
      <c r="N152" s="110"/>
      <c r="O152" s="111"/>
    </row>
    <row r="153" spans="1:15" ht="18.75" customHeight="1" x14ac:dyDescent="0.2">
      <c r="A153" s="104">
        <v>40979</v>
      </c>
      <c r="B153" s="104">
        <v>40993</v>
      </c>
      <c r="C153" s="224">
        <v>31500000</v>
      </c>
      <c r="D153" s="106" t="s">
        <v>2670</v>
      </c>
      <c r="E153" s="247" t="s">
        <v>21</v>
      </c>
      <c r="F153" s="247" t="s">
        <v>2671</v>
      </c>
      <c r="G153" s="248" t="s">
        <v>349</v>
      </c>
      <c r="H153" s="249">
        <v>40.479999999999997</v>
      </c>
      <c r="I153" s="249">
        <v>58.19</v>
      </c>
      <c r="J153" s="108">
        <v>42.81</v>
      </c>
      <c r="K153" s="110">
        <v>34.299999999999997</v>
      </c>
      <c r="L153" s="104">
        <v>41017</v>
      </c>
      <c r="M153" s="104">
        <v>43938</v>
      </c>
      <c r="N153" s="225" t="s">
        <v>21</v>
      </c>
      <c r="O153" s="225" t="s">
        <v>2557</v>
      </c>
    </row>
    <row r="154" spans="1:15" ht="18.75" customHeight="1" x14ac:dyDescent="0.2">
      <c r="A154" s="113"/>
      <c r="B154" s="113"/>
      <c r="C154" s="229"/>
      <c r="D154" s="106"/>
      <c r="E154" s="250" t="s">
        <v>34</v>
      </c>
      <c r="F154" s="250" t="s">
        <v>2626</v>
      </c>
      <c r="G154" s="251"/>
      <c r="H154" s="252">
        <v>26.58</v>
      </c>
      <c r="I154" s="252">
        <v>41.81</v>
      </c>
      <c r="J154" s="113"/>
      <c r="K154" s="111"/>
      <c r="L154" s="111"/>
      <c r="M154" s="111"/>
      <c r="N154" s="110"/>
      <c r="O154" s="111"/>
    </row>
    <row r="155" spans="1:15" ht="18.75" customHeight="1" x14ac:dyDescent="0.2">
      <c r="A155" s="113"/>
      <c r="B155" s="113"/>
      <c r="C155" s="229"/>
      <c r="D155" s="106"/>
      <c r="E155" s="250" t="s">
        <v>19</v>
      </c>
      <c r="F155" s="250" t="s">
        <v>2672</v>
      </c>
      <c r="G155" s="251"/>
      <c r="H155" s="252">
        <v>20.43</v>
      </c>
      <c r="I155" s="116"/>
      <c r="J155" s="113"/>
      <c r="K155" s="111"/>
      <c r="L155" s="111"/>
      <c r="M155" s="111"/>
      <c r="N155" s="110"/>
      <c r="O155" s="111"/>
    </row>
    <row r="156" spans="1:15" ht="18.75" customHeight="1" x14ac:dyDescent="0.2">
      <c r="A156" s="113"/>
      <c r="B156" s="113"/>
      <c r="C156" s="229"/>
      <c r="D156" s="106"/>
      <c r="E156" s="250" t="s">
        <v>2673</v>
      </c>
      <c r="F156" s="250" t="s">
        <v>2674</v>
      </c>
      <c r="G156" s="251"/>
      <c r="H156" s="252">
        <v>4.79</v>
      </c>
      <c r="I156" s="116"/>
      <c r="J156" s="113"/>
      <c r="K156" s="111"/>
      <c r="L156" s="111"/>
      <c r="M156" s="111"/>
      <c r="N156" s="110"/>
      <c r="O156" s="111"/>
    </row>
    <row r="157" spans="1:15" ht="18.75" customHeight="1" x14ac:dyDescent="0.2">
      <c r="A157" s="113"/>
      <c r="B157" s="113"/>
      <c r="C157" s="229"/>
      <c r="D157" s="106"/>
      <c r="E157" s="250" t="s">
        <v>196</v>
      </c>
      <c r="F157" s="250" t="s">
        <v>2675</v>
      </c>
      <c r="G157" s="251"/>
      <c r="H157" s="252">
        <v>3.07</v>
      </c>
      <c r="I157" s="116"/>
      <c r="J157" s="113"/>
      <c r="K157" s="111"/>
      <c r="L157" s="111"/>
      <c r="M157" s="111"/>
      <c r="N157" s="110"/>
      <c r="O157" s="111"/>
    </row>
    <row r="158" spans="1:15" ht="18.75" customHeight="1" x14ac:dyDescent="0.2">
      <c r="A158" s="113"/>
      <c r="B158" s="113"/>
      <c r="C158" s="229"/>
      <c r="D158" s="106"/>
      <c r="E158" s="250" t="s">
        <v>2676</v>
      </c>
      <c r="F158" s="250" t="s">
        <v>2677</v>
      </c>
      <c r="G158" s="251"/>
      <c r="H158" s="252">
        <v>1.69</v>
      </c>
      <c r="I158" s="116"/>
      <c r="J158" s="113"/>
      <c r="K158" s="111"/>
      <c r="L158" s="111"/>
      <c r="M158" s="111"/>
      <c r="N158" s="110"/>
      <c r="O158" s="111"/>
    </row>
    <row r="159" spans="1:15" ht="18.75" customHeight="1" x14ac:dyDescent="0.2">
      <c r="A159" s="113"/>
      <c r="B159" s="113"/>
      <c r="C159" s="229"/>
      <c r="D159" s="106"/>
      <c r="E159" s="250" t="s">
        <v>2678</v>
      </c>
      <c r="F159" s="250" t="s">
        <v>2679</v>
      </c>
      <c r="G159" s="251"/>
      <c r="H159" s="252">
        <v>1.59</v>
      </c>
      <c r="I159" s="116"/>
      <c r="J159" s="113"/>
      <c r="K159" s="111"/>
      <c r="L159" s="111"/>
      <c r="M159" s="111"/>
      <c r="N159" s="110"/>
      <c r="O159" s="111"/>
    </row>
    <row r="160" spans="1:15" ht="18.75" customHeight="1" x14ac:dyDescent="0.2">
      <c r="A160" s="113"/>
      <c r="B160" s="113"/>
      <c r="C160" s="229"/>
      <c r="D160" s="106"/>
      <c r="E160" s="250" t="s">
        <v>2680</v>
      </c>
      <c r="F160" s="250" t="s">
        <v>2681</v>
      </c>
      <c r="G160" s="251"/>
      <c r="H160" s="252">
        <v>1.36</v>
      </c>
      <c r="I160" s="116"/>
      <c r="J160" s="113"/>
      <c r="K160" s="111"/>
      <c r="L160" s="111"/>
      <c r="M160" s="111"/>
      <c r="N160" s="110"/>
      <c r="O160" s="111"/>
    </row>
    <row r="161" spans="1:15" ht="18.75" customHeight="1" x14ac:dyDescent="0.2">
      <c r="A161" s="113"/>
      <c r="B161" s="113"/>
      <c r="C161" s="229"/>
      <c r="D161" s="111"/>
      <c r="E161" s="111"/>
      <c r="F161" s="111"/>
      <c r="G161" s="118"/>
      <c r="H161" s="116"/>
      <c r="I161" s="116"/>
      <c r="J161" s="116"/>
      <c r="K161" s="118"/>
      <c r="L161" s="113"/>
      <c r="M161" s="113"/>
      <c r="N161" s="110"/>
      <c r="O161" s="111"/>
    </row>
    <row r="162" spans="1:15" ht="18.75" customHeight="1" x14ac:dyDescent="0.2">
      <c r="A162" s="104">
        <v>41910</v>
      </c>
      <c r="B162" s="104">
        <v>41924</v>
      </c>
      <c r="C162" s="224">
        <v>21100000</v>
      </c>
      <c r="D162" s="106" t="s">
        <v>2682</v>
      </c>
      <c r="E162" s="169" t="s">
        <v>21</v>
      </c>
      <c r="F162" s="169" t="s">
        <v>2683</v>
      </c>
      <c r="G162" s="253" t="s">
        <v>349</v>
      </c>
      <c r="H162" s="173">
        <v>36.29</v>
      </c>
      <c r="I162" s="173">
        <v>50.22</v>
      </c>
      <c r="J162" s="108">
        <v>32.69</v>
      </c>
      <c r="K162" s="110">
        <v>30.4</v>
      </c>
      <c r="L162" s="104">
        <v>42095</v>
      </c>
      <c r="M162" s="104">
        <v>45016</v>
      </c>
      <c r="N162" s="225" t="s">
        <v>26</v>
      </c>
      <c r="O162" s="225" t="s">
        <v>2628</v>
      </c>
    </row>
    <row r="163" spans="1:15" ht="18.75" customHeight="1" x14ac:dyDescent="0.2">
      <c r="A163" s="113"/>
      <c r="B163" s="113"/>
      <c r="C163" s="229"/>
      <c r="D163" s="106"/>
      <c r="E163" s="171" t="s">
        <v>19</v>
      </c>
      <c r="F163" s="171" t="s">
        <v>2684</v>
      </c>
      <c r="G163" s="254"/>
      <c r="H163" s="174">
        <v>45.76</v>
      </c>
      <c r="I163" s="174">
        <v>49.78</v>
      </c>
      <c r="J163" s="113"/>
      <c r="K163" s="111"/>
      <c r="L163" s="111"/>
      <c r="M163" s="111"/>
      <c r="N163" s="110"/>
      <c r="O163" s="111"/>
    </row>
    <row r="164" spans="1:15" ht="18.75" customHeight="1" x14ac:dyDescent="0.2">
      <c r="A164" s="113"/>
      <c r="B164" s="113"/>
      <c r="C164" s="229"/>
      <c r="D164" s="106"/>
      <c r="E164" s="171" t="s">
        <v>34</v>
      </c>
      <c r="F164" s="171" t="s">
        <v>2685</v>
      </c>
      <c r="G164" s="254"/>
      <c r="H164" s="174">
        <v>17.95</v>
      </c>
      <c r="I164" s="116"/>
      <c r="J164" s="113"/>
      <c r="K164" s="111"/>
      <c r="L164" s="111"/>
      <c r="M164" s="111"/>
      <c r="N164" s="110"/>
      <c r="O164" s="111"/>
    </row>
    <row r="165" spans="1:15" ht="18.75" customHeight="1" x14ac:dyDescent="0.2">
      <c r="A165" s="113"/>
      <c r="B165" s="113"/>
      <c r="C165" s="229"/>
      <c r="D165" s="111"/>
      <c r="E165" s="111"/>
      <c r="F165" s="111"/>
      <c r="G165" s="118"/>
      <c r="H165" s="116"/>
      <c r="I165" s="116"/>
      <c r="J165" s="116"/>
      <c r="K165" s="118"/>
      <c r="L165" s="113"/>
      <c r="M165" s="113"/>
      <c r="N165" s="110"/>
      <c r="O165" s="111"/>
    </row>
    <row r="166" spans="1:15" ht="18.75" customHeight="1" x14ac:dyDescent="0.2">
      <c r="A166" s="104">
        <v>41980</v>
      </c>
      <c r="B166" s="104">
        <v>41994</v>
      </c>
      <c r="C166" s="224">
        <v>31200000</v>
      </c>
      <c r="D166" s="106" t="s">
        <v>2576</v>
      </c>
      <c r="E166" s="169" t="s">
        <v>21</v>
      </c>
      <c r="F166" s="169" t="s">
        <v>2631</v>
      </c>
      <c r="G166" s="253" t="s">
        <v>349</v>
      </c>
      <c r="H166" s="173">
        <v>53.58</v>
      </c>
      <c r="I166" s="108"/>
      <c r="J166" s="108">
        <v>28.49</v>
      </c>
      <c r="K166" s="110"/>
      <c r="L166" s="104">
        <v>42248</v>
      </c>
      <c r="M166" s="104">
        <v>45169</v>
      </c>
      <c r="N166" s="235" t="s">
        <v>21</v>
      </c>
      <c r="O166" s="235" t="s">
        <v>2631</v>
      </c>
    </row>
    <row r="167" spans="1:15" ht="18.75" customHeight="1" x14ac:dyDescent="0.2">
      <c r="A167" s="113"/>
      <c r="B167" s="113"/>
      <c r="C167" s="229"/>
      <c r="D167" s="106"/>
      <c r="E167" s="171" t="s">
        <v>19</v>
      </c>
      <c r="F167" s="171" t="s">
        <v>2686</v>
      </c>
      <c r="G167" s="254"/>
      <c r="H167" s="174">
        <v>41</v>
      </c>
      <c r="I167" s="116"/>
      <c r="J167" s="113"/>
      <c r="K167" s="111"/>
      <c r="L167" s="111"/>
      <c r="M167" s="111"/>
      <c r="N167" s="110"/>
      <c r="O167" s="111"/>
    </row>
    <row r="168" spans="1:15" ht="18.75" customHeight="1" x14ac:dyDescent="0.2">
      <c r="A168" s="113"/>
      <c r="B168" s="113"/>
      <c r="C168" s="229"/>
      <c r="D168" s="106"/>
      <c r="E168" s="171" t="s">
        <v>38</v>
      </c>
      <c r="F168" s="171" t="s">
        <v>2687</v>
      </c>
      <c r="G168" s="254"/>
      <c r="H168" s="174">
        <v>5.42</v>
      </c>
      <c r="I168" s="116"/>
      <c r="J168" s="113"/>
      <c r="K168" s="111"/>
      <c r="L168" s="111"/>
      <c r="M168" s="111"/>
      <c r="N168" s="110"/>
      <c r="O168" s="111"/>
    </row>
    <row r="169" spans="1:15" ht="18.75" customHeight="1" x14ac:dyDescent="0.2">
      <c r="A169" s="113"/>
      <c r="B169" s="113"/>
      <c r="C169" s="229"/>
      <c r="D169" s="111"/>
      <c r="E169" s="111"/>
      <c r="F169" s="111"/>
      <c r="G169" s="118"/>
      <c r="H169" s="116"/>
      <c r="I169" s="116"/>
      <c r="J169" s="116"/>
      <c r="K169" s="118"/>
      <c r="L169" s="113"/>
      <c r="M169" s="113"/>
      <c r="N169" s="110"/>
      <c r="O169" s="111"/>
    </row>
    <row r="170" spans="1:15" ht="18.75" customHeight="1" x14ac:dyDescent="0.2">
      <c r="A170" s="104">
        <v>42134</v>
      </c>
      <c r="B170" s="104">
        <v>42155</v>
      </c>
      <c r="C170" s="224">
        <v>31100000</v>
      </c>
      <c r="D170" s="106" t="s">
        <v>2582</v>
      </c>
      <c r="E170" s="169" t="s">
        <v>19</v>
      </c>
      <c r="F170" s="169" t="s">
        <v>2688</v>
      </c>
      <c r="G170" s="253" t="s">
        <v>349</v>
      </c>
      <c r="H170" s="173">
        <v>48.8</v>
      </c>
      <c r="I170" s="173">
        <v>50.62</v>
      </c>
      <c r="J170" s="108">
        <v>37.299999999999997</v>
      </c>
      <c r="K170" s="108">
        <v>35.44</v>
      </c>
      <c r="L170" s="104">
        <v>42370</v>
      </c>
      <c r="M170" s="104">
        <v>45291</v>
      </c>
      <c r="N170" s="235" t="s">
        <v>19</v>
      </c>
      <c r="O170" s="235" t="s">
        <v>2583</v>
      </c>
    </row>
    <row r="171" spans="1:15" ht="18.75" customHeight="1" x14ac:dyDescent="0.2">
      <c r="A171" s="113"/>
      <c r="B171" s="113"/>
      <c r="C171" s="229"/>
      <c r="D171" s="106"/>
      <c r="E171" s="171" t="s">
        <v>21</v>
      </c>
      <c r="F171" s="171" t="s">
        <v>2689</v>
      </c>
      <c r="G171" s="254"/>
      <c r="H171" s="174">
        <v>42.45</v>
      </c>
      <c r="I171" s="174">
        <v>49.38</v>
      </c>
      <c r="J171" s="111"/>
      <c r="K171" s="111"/>
      <c r="L171" s="111"/>
      <c r="M171" s="111"/>
      <c r="N171" s="110"/>
      <c r="O171" s="111"/>
    </row>
    <row r="172" spans="1:15" ht="18.75" customHeight="1" x14ac:dyDescent="0.2">
      <c r="A172" s="113"/>
      <c r="B172" s="113"/>
      <c r="C172" s="229"/>
      <c r="D172" s="106"/>
      <c r="E172" s="171" t="s">
        <v>2690</v>
      </c>
      <c r="F172" s="171" t="s">
        <v>2691</v>
      </c>
      <c r="G172" s="254"/>
      <c r="H172" s="174">
        <v>8.75</v>
      </c>
      <c r="I172" s="116"/>
      <c r="J172" s="113"/>
      <c r="K172" s="111"/>
      <c r="L172" s="111"/>
      <c r="M172" s="111"/>
      <c r="N172" s="110"/>
      <c r="O172" s="111"/>
    </row>
    <row r="173" spans="1:15" ht="18.75" customHeight="1" x14ac:dyDescent="0.2">
      <c r="A173" s="113"/>
      <c r="B173" s="113"/>
      <c r="C173" s="229"/>
      <c r="D173" s="111"/>
      <c r="E173" s="111"/>
      <c r="F173" s="111"/>
      <c r="G173" s="118"/>
      <c r="H173" s="116"/>
      <c r="I173" s="116"/>
      <c r="J173" s="116"/>
      <c r="K173" s="118"/>
      <c r="L173" s="113"/>
      <c r="M173" s="113"/>
      <c r="N173" s="110"/>
      <c r="O173" s="111"/>
    </row>
    <row r="174" spans="1:15" ht="18.75" customHeight="1" x14ac:dyDescent="0.2">
      <c r="A174" s="104">
        <v>42169</v>
      </c>
      <c r="B174" s="104">
        <v>42183</v>
      </c>
      <c r="C174" s="224">
        <v>31300000</v>
      </c>
      <c r="D174" s="106" t="s">
        <v>2605</v>
      </c>
      <c r="E174" s="169" t="s">
        <v>19</v>
      </c>
      <c r="F174" s="169" t="s">
        <v>2692</v>
      </c>
      <c r="G174" s="253" t="s">
        <v>349</v>
      </c>
      <c r="H174" s="173">
        <v>43.11</v>
      </c>
      <c r="I174" s="173">
        <v>53.21</v>
      </c>
      <c r="J174" s="108">
        <v>43.73</v>
      </c>
      <c r="K174" s="110">
        <v>39.4</v>
      </c>
      <c r="L174" s="104">
        <v>42370</v>
      </c>
      <c r="M174" s="104">
        <v>44926</v>
      </c>
      <c r="N174" s="235" t="s">
        <v>21</v>
      </c>
      <c r="O174" s="235" t="s">
        <v>2607</v>
      </c>
    </row>
    <row r="175" spans="1:15" ht="18.75" customHeight="1" x14ac:dyDescent="0.2">
      <c r="A175" s="113"/>
      <c r="B175" s="113"/>
      <c r="C175" s="118"/>
      <c r="D175" s="106"/>
      <c r="E175" s="171" t="s">
        <v>21</v>
      </c>
      <c r="F175" s="171" t="s">
        <v>2693</v>
      </c>
      <c r="G175" s="254"/>
      <c r="H175" s="174">
        <v>34.46</v>
      </c>
      <c r="I175" s="174">
        <v>46.79</v>
      </c>
      <c r="J175" s="111"/>
      <c r="K175" s="111"/>
      <c r="L175" s="111"/>
      <c r="M175" s="111"/>
      <c r="N175" s="110"/>
      <c r="O175" s="111"/>
    </row>
    <row r="176" spans="1:15" ht="18.75" customHeight="1" x14ac:dyDescent="0.2">
      <c r="A176" s="113"/>
      <c r="B176" s="113"/>
      <c r="C176" s="118"/>
      <c r="D176" s="106"/>
      <c r="E176" s="171" t="s">
        <v>34</v>
      </c>
      <c r="F176" s="171" t="s">
        <v>2694</v>
      </c>
      <c r="G176" s="254"/>
      <c r="H176" s="174">
        <v>10.97</v>
      </c>
      <c r="I176" s="144"/>
      <c r="J176" s="111"/>
      <c r="K176" s="111"/>
      <c r="L176" s="111"/>
      <c r="M176" s="111"/>
      <c r="N176" s="110"/>
      <c r="O176" s="111"/>
    </row>
    <row r="177" spans="1:15" ht="18.75" customHeight="1" x14ac:dyDescent="0.2">
      <c r="A177" s="113"/>
      <c r="B177" s="113"/>
      <c r="C177" s="118"/>
      <c r="D177" s="106"/>
      <c r="E177" s="171" t="s">
        <v>2695</v>
      </c>
      <c r="F177" s="171" t="s">
        <v>2696</v>
      </c>
      <c r="G177" s="254"/>
      <c r="H177" s="174">
        <v>8.73</v>
      </c>
      <c r="I177" s="144"/>
      <c r="J177" s="111"/>
      <c r="K177" s="111"/>
      <c r="L177" s="111"/>
      <c r="M177" s="111"/>
      <c r="N177" s="110"/>
      <c r="O177" s="111"/>
    </row>
    <row r="178" spans="1:15" ht="18.75" customHeight="1" x14ac:dyDescent="0.2">
      <c r="A178" s="113"/>
      <c r="B178" s="113"/>
      <c r="C178" s="118"/>
      <c r="D178" s="106"/>
      <c r="E178" s="171" t="s">
        <v>210</v>
      </c>
      <c r="F178" s="171" t="s">
        <v>2697</v>
      </c>
      <c r="G178" s="254"/>
      <c r="H178" s="174">
        <v>2.73</v>
      </c>
      <c r="I178" s="144"/>
      <c r="J178" s="111"/>
      <c r="K178" s="111"/>
      <c r="L178" s="111"/>
      <c r="M178" s="111"/>
      <c r="N178" s="110"/>
      <c r="O178" s="111"/>
    </row>
    <row r="179" spans="1:15" ht="18.75" customHeight="1" x14ac:dyDescent="0.2">
      <c r="A179" s="113"/>
      <c r="B179" s="113"/>
      <c r="C179" s="118"/>
      <c r="D179" s="111"/>
      <c r="E179" s="111"/>
      <c r="F179" s="111"/>
      <c r="G179" s="118"/>
      <c r="H179" s="116"/>
      <c r="I179" s="144"/>
      <c r="J179" s="118"/>
      <c r="K179" s="118"/>
      <c r="L179" s="111"/>
      <c r="M179" s="111"/>
      <c r="N179" s="110"/>
      <c r="O179" s="111"/>
    </row>
    <row r="180" spans="1:15" ht="12" x14ac:dyDescent="0.2">
      <c r="A180" s="104">
        <v>43002</v>
      </c>
      <c r="B180" s="104">
        <v>43023</v>
      </c>
      <c r="C180" s="110" t="s">
        <v>2647</v>
      </c>
      <c r="D180" s="106" t="s">
        <v>2543</v>
      </c>
      <c r="E180" s="106" t="s">
        <v>2698</v>
      </c>
      <c r="F180" s="106" t="s">
        <v>2699</v>
      </c>
      <c r="G180" s="110" t="s">
        <v>349</v>
      </c>
      <c r="H180" s="255">
        <v>69.8</v>
      </c>
      <c r="I180" s="255">
        <v>42.82</v>
      </c>
      <c r="J180" s="110">
        <v>70.760000000000005</v>
      </c>
      <c r="K180" s="110">
        <v>40</v>
      </c>
      <c r="L180" s="209">
        <v>43221</v>
      </c>
      <c r="M180" s="209">
        <v>46142</v>
      </c>
      <c r="N180" s="110" t="s">
        <v>26</v>
      </c>
      <c r="O180" s="106" t="s">
        <v>2650</v>
      </c>
    </row>
    <row r="181" spans="1:15" x14ac:dyDescent="0.2">
      <c r="E181" s="112" t="s">
        <v>2700</v>
      </c>
      <c r="F181" s="112" t="s">
        <v>2701</v>
      </c>
      <c r="H181" s="257">
        <v>25.57</v>
      </c>
      <c r="I181" s="257">
        <v>30.2</v>
      </c>
    </row>
    <row r="182" spans="1:15" x14ac:dyDescent="0.2">
      <c r="E182" s="112" t="s">
        <v>34</v>
      </c>
      <c r="F182" s="112" t="s">
        <v>2702</v>
      </c>
      <c r="H182" s="257">
        <v>18.29</v>
      </c>
      <c r="I182" s="257"/>
    </row>
    <row r="183" spans="1:15" x14ac:dyDescent="0.2">
      <c r="E183" s="112" t="s">
        <v>38</v>
      </c>
      <c r="F183" s="112" t="s">
        <v>2703</v>
      </c>
      <c r="H183" s="257">
        <v>13.31</v>
      </c>
      <c r="I183" s="257"/>
    </row>
    <row r="184" spans="1:15" x14ac:dyDescent="0.2">
      <c r="H184" s="257"/>
      <c r="I184" s="257"/>
    </row>
    <row r="185" spans="1:15" ht="12" x14ac:dyDescent="0.2">
      <c r="A185" s="104">
        <v>43002</v>
      </c>
      <c r="B185" s="104">
        <v>43023</v>
      </c>
      <c r="C185" s="110" t="s">
        <v>2704</v>
      </c>
      <c r="D185" s="106" t="s">
        <v>2594</v>
      </c>
      <c r="E185" s="106" t="s">
        <v>21</v>
      </c>
      <c r="F185" s="106" t="s">
        <v>2705</v>
      </c>
      <c r="G185" s="110" t="s">
        <v>419</v>
      </c>
      <c r="H185" s="255">
        <v>48.25</v>
      </c>
      <c r="I185" s="255">
        <v>58.05</v>
      </c>
      <c r="J185" s="106">
        <v>60.18</v>
      </c>
      <c r="K185" s="106">
        <v>34.81</v>
      </c>
      <c r="L185" s="104">
        <v>43101</v>
      </c>
      <c r="M185" s="104">
        <v>46022</v>
      </c>
      <c r="N185" s="110" t="s">
        <v>19</v>
      </c>
      <c r="O185" s="106" t="s">
        <v>2595</v>
      </c>
    </row>
    <row r="186" spans="1:15" x14ac:dyDescent="0.2">
      <c r="E186" s="112" t="s">
        <v>19</v>
      </c>
      <c r="F186" s="112" t="s">
        <v>2706</v>
      </c>
      <c r="H186" s="257">
        <v>40.14</v>
      </c>
      <c r="I186" s="257">
        <v>41.95</v>
      </c>
    </row>
    <row r="187" spans="1:15" x14ac:dyDescent="0.2">
      <c r="E187" s="112" t="s">
        <v>2707</v>
      </c>
      <c r="F187" s="112" t="s">
        <v>2708</v>
      </c>
      <c r="H187" s="257">
        <v>6.19</v>
      </c>
    </row>
    <row r="188" spans="1:15" x14ac:dyDescent="0.2">
      <c r="E188" s="112" t="s">
        <v>766</v>
      </c>
      <c r="F188" s="112" t="s">
        <v>2709</v>
      </c>
      <c r="H188" s="257">
        <v>5.42</v>
      </c>
    </row>
    <row r="190" spans="1:15" ht="12" x14ac:dyDescent="0.2">
      <c r="A190" s="104">
        <v>43002</v>
      </c>
      <c r="B190" s="104">
        <v>43023</v>
      </c>
      <c r="C190" s="110" t="s">
        <v>2710</v>
      </c>
      <c r="D190" s="106" t="s">
        <v>2711</v>
      </c>
      <c r="E190" s="106" t="s">
        <v>1178</v>
      </c>
      <c r="F190" s="106" t="s">
        <v>2712</v>
      </c>
      <c r="G190" s="110" t="s">
        <v>349</v>
      </c>
      <c r="H190" s="255">
        <v>58.14</v>
      </c>
      <c r="I190" s="212"/>
      <c r="J190" s="106">
        <v>75.040000000000006</v>
      </c>
      <c r="K190" s="106"/>
      <c r="L190" s="104">
        <v>43101</v>
      </c>
      <c r="M190" s="104">
        <v>46022</v>
      </c>
      <c r="N190" s="110" t="s">
        <v>19</v>
      </c>
      <c r="O190" s="106" t="s">
        <v>2601</v>
      </c>
    </row>
    <row r="191" spans="1:15" x14ac:dyDescent="0.2">
      <c r="E191" s="112" t="s">
        <v>19</v>
      </c>
      <c r="F191" s="112" t="s">
        <v>2713</v>
      </c>
      <c r="H191" s="257">
        <v>21.84</v>
      </c>
    </row>
    <row r="192" spans="1:15" x14ac:dyDescent="0.2">
      <c r="E192" s="112" t="s">
        <v>21</v>
      </c>
      <c r="F192" s="112" t="s">
        <v>2714</v>
      </c>
      <c r="H192" s="257">
        <v>20.03</v>
      </c>
    </row>
    <row r="194" spans="1:15" ht="12" x14ac:dyDescent="0.2">
      <c r="A194" s="104">
        <v>43247</v>
      </c>
      <c r="B194" s="104">
        <v>43261</v>
      </c>
      <c r="C194" s="110" t="s">
        <v>2715</v>
      </c>
      <c r="D194" s="106" t="s">
        <v>2716</v>
      </c>
      <c r="E194" s="106" t="s">
        <v>21</v>
      </c>
      <c r="F194" s="106" t="s">
        <v>2717</v>
      </c>
      <c r="G194" s="110" t="s">
        <v>419</v>
      </c>
      <c r="H194" s="255">
        <v>41.98</v>
      </c>
      <c r="I194" s="212">
        <v>52.4</v>
      </c>
      <c r="J194" s="106">
        <v>46.86</v>
      </c>
      <c r="K194" s="106">
        <v>44.52</v>
      </c>
      <c r="L194" s="104">
        <v>43467</v>
      </c>
      <c r="M194" s="104">
        <v>46388</v>
      </c>
      <c r="N194" s="110" t="s">
        <v>19</v>
      </c>
      <c r="O194" s="106" t="s">
        <v>2651</v>
      </c>
    </row>
    <row r="195" spans="1:15" x14ac:dyDescent="0.2">
      <c r="E195" s="112" t="s">
        <v>19</v>
      </c>
      <c r="F195" s="112" t="s">
        <v>2651</v>
      </c>
      <c r="H195" s="257">
        <v>42.91</v>
      </c>
      <c r="I195" s="259">
        <v>47.6</v>
      </c>
    </row>
    <row r="196" spans="1:15" x14ac:dyDescent="0.2">
      <c r="E196" s="112" t="s">
        <v>34</v>
      </c>
      <c r="F196" s="112" t="s">
        <v>2718</v>
      </c>
      <c r="H196" s="257">
        <v>10.52</v>
      </c>
    </row>
    <row r="197" spans="1:15" x14ac:dyDescent="0.2">
      <c r="E197" s="112" t="s">
        <v>2719</v>
      </c>
      <c r="F197" s="112" t="s">
        <v>2641</v>
      </c>
      <c r="H197" s="257">
        <v>4.59</v>
      </c>
    </row>
    <row r="199" spans="1:15" ht="12" x14ac:dyDescent="0.2">
      <c r="A199" s="104">
        <v>43366</v>
      </c>
      <c r="B199" s="104">
        <v>43387</v>
      </c>
      <c r="C199" s="110" t="s">
        <v>2720</v>
      </c>
      <c r="D199" s="106" t="s">
        <v>2587</v>
      </c>
      <c r="E199" s="106" t="s">
        <v>21</v>
      </c>
      <c r="F199" s="106" t="s">
        <v>2721</v>
      </c>
      <c r="G199" s="110" t="s">
        <v>349</v>
      </c>
      <c r="H199" s="255">
        <v>42.67</v>
      </c>
      <c r="I199" s="212">
        <v>56.07</v>
      </c>
      <c r="J199" s="106">
        <v>44.86</v>
      </c>
      <c r="K199" s="106">
        <v>40.659999999999997</v>
      </c>
      <c r="L199" s="104">
        <v>43455</v>
      </c>
      <c r="M199" s="104">
        <v>46376</v>
      </c>
      <c r="N199" s="110" t="s">
        <v>21</v>
      </c>
      <c r="O199" s="106" t="s">
        <v>2722</v>
      </c>
    </row>
    <row r="200" spans="1:15" ht="12" x14ac:dyDescent="0.2">
      <c r="A200" s="113"/>
      <c r="B200" s="113"/>
      <c r="C200" s="118"/>
      <c r="D200" s="111"/>
      <c r="E200" s="111" t="s">
        <v>19</v>
      </c>
      <c r="F200" s="111" t="s">
        <v>2723</v>
      </c>
      <c r="G200" s="118"/>
      <c r="H200" s="260">
        <v>36.4</v>
      </c>
      <c r="I200" s="144">
        <v>43.93</v>
      </c>
      <c r="J200" s="111"/>
      <c r="K200" s="111"/>
      <c r="L200" s="118"/>
      <c r="M200" s="118"/>
      <c r="N200" s="110"/>
      <c r="O200" s="111"/>
    </row>
    <row r="201" spans="1:15" x14ac:dyDescent="0.2">
      <c r="E201" s="112" t="s">
        <v>210</v>
      </c>
      <c r="F201" s="112" t="s">
        <v>2724</v>
      </c>
      <c r="H201" s="257">
        <v>4.1900000000000004</v>
      </c>
    </row>
    <row r="202" spans="1:15" x14ac:dyDescent="0.2">
      <c r="E202" s="112" t="s">
        <v>2725</v>
      </c>
      <c r="F202" s="112" t="s">
        <v>2726</v>
      </c>
      <c r="H202" s="257">
        <v>13.33</v>
      </c>
    </row>
    <row r="203" spans="1:15" x14ac:dyDescent="0.2">
      <c r="E203" s="112" t="s">
        <v>2727</v>
      </c>
      <c r="F203" s="112" t="s">
        <v>2728</v>
      </c>
      <c r="H203" s="257">
        <v>0.73</v>
      </c>
    </row>
    <row r="204" spans="1:15" x14ac:dyDescent="0.2">
      <c r="E204" s="112" t="s">
        <v>2729</v>
      </c>
      <c r="F204" s="112" t="s">
        <v>2730</v>
      </c>
      <c r="H204" s="257">
        <v>2.68</v>
      </c>
    </row>
    <row r="205" spans="1:15" x14ac:dyDescent="0.2">
      <c r="H205" s="257"/>
    </row>
    <row r="206" spans="1:15" ht="12" x14ac:dyDescent="0.2">
      <c r="A206" s="104">
        <v>43401</v>
      </c>
      <c r="B206" s="104">
        <v>43415</v>
      </c>
      <c r="C206" s="110" t="s">
        <v>2731</v>
      </c>
      <c r="D206" s="106" t="s">
        <v>2547</v>
      </c>
      <c r="E206" s="106" t="s">
        <v>19</v>
      </c>
      <c r="F206" s="106" t="s">
        <v>2732</v>
      </c>
      <c r="G206" s="110" t="s">
        <v>349</v>
      </c>
      <c r="H206" s="255">
        <v>51.21</v>
      </c>
      <c r="I206" s="212"/>
      <c r="J206" s="106">
        <v>39.15</v>
      </c>
      <c r="K206" s="106"/>
      <c r="L206" s="104">
        <v>43586</v>
      </c>
      <c r="M206" s="104">
        <v>46507</v>
      </c>
      <c r="N206" s="110" t="s">
        <v>19</v>
      </c>
      <c r="O206" s="106" t="s">
        <v>2612</v>
      </c>
    </row>
    <row r="207" spans="1:15" x14ac:dyDescent="0.2">
      <c r="E207" s="111" t="s">
        <v>21</v>
      </c>
      <c r="F207" s="111" t="s">
        <v>2733</v>
      </c>
      <c r="G207" s="118"/>
      <c r="H207" s="260">
        <v>48.79</v>
      </c>
    </row>
    <row r="209" spans="1:15" ht="12" x14ac:dyDescent="0.2">
      <c r="A209" s="104">
        <v>43408</v>
      </c>
      <c r="B209" s="104">
        <v>43422</v>
      </c>
      <c r="C209" s="110" t="s">
        <v>2734</v>
      </c>
      <c r="D209" s="106" t="s">
        <v>2660</v>
      </c>
      <c r="E209" s="106" t="s">
        <v>19</v>
      </c>
      <c r="F209" s="106" t="s">
        <v>2735</v>
      </c>
      <c r="G209" s="110" t="s">
        <v>349</v>
      </c>
      <c r="H209" s="255">
        <v>30.72</v>
      </c>
      <c r="I209" s="212">
        <v>73.08</v>
      </c>
      <c r="J209" s="106">
        <v>45.64</v>
      </c>
      <c r="K209" s="106">
        <v>40.770000000000003</v>
      </c>
      <c r="L209" s="104">
        <v>43647</v>
      </c>
      <c r="M209" s="104">
        <v>46568</v>
      </c>
      <c r="N209" s="110" t="s">
        <v>21</v>
      </c>
      <c r="O209" s="106" t="s">
        <v>2615</v>
      </c>
    </row>
    <row r="210" spans="1:15" x14ac:dyDescent="0.2">
      <c r="E210" s="111" t="s">
        <v>21</v>
      </c>
      <c r="F210" s="111" t="s">
        <v>2615</v>
      </c>
      <c r="G210" s="118"/>
      <c r="H210" s="260">
        <v>21.91</v>
      </c>
      <c r="I210" s="259">
        <v>26.92</v>
      </c>
    </row>
    <row r="211" spans="1:15" x14ac:dyDescent="0.2">
      <c r="E211" s="111" t="s">
        <v>34</v>
      </c>
      <c r="F211" s="111" t="s">
        <v>2736</v>
      </c>
      <c r="G211" s="118"/>
      <c r="H211" s="260">
        <v>18.93</v>
      </c>
    </row>
    <row r="212" spans="1:15" x14ac:dyDescent="0.2">
      <c r="E212" s="111" t="s">
        <v>38</v>
      </c>
      <c r="F212" s="111" t="s">
        <v>2737</v>
      </c>
      <c r="G212" s="118"/>
      <c r="H212" s="260">
        <v>6.65</v>
      </c>
    </row>
    <row r="213" spans="1:15" x14ac:dyDescent="0.2">
      <c r="E213" s="111" t="s">
        <v>98</v>
      </c>
      <c r="F213" s="111" t="s">
        <v>2738</v>
      </c>
      <c r="G213" s="118"/>
      <c r="H213" s="260">
        <v>1.34</v>
      </c>
    </row>
    <row r="214" spans="1:15" x14ac:dyDescent="0.2">
      <c r="E214" s="111" t="s">
        <v>2739</v>
      </c>
      <c r="F214" s="111" t="s">
        <v>2740</v>
      </c>
      <c r="G214" s="118"/>
      <c r="H214" s="260">
        <v>20.46</v>
      </c>
    </row>
    <row r="216" spans="1:15" s="106" customFormat="1" ht="12" x14ac:dyDescent="0.2">
      <c r="A216" s="104">
        <v>43765</v>
      </c>
      <c r="B216" s="104">
        <v>43779</v>
      </c>
      <c r="C216" s="110">
        <v>31500000</v>
      </c>
      <c r="D216" s="106" t="s">
        <v>2670</v>
      </c>
      <c r="E216" s="106" t="s">
        <v>21</v>
      </c>
      <c r="F216" s="106" t="s">
        <v>2671</v>
      </c>
      <c r="G216" s="110" t="s">
        <v>349</v>
      </c>
      <c r="H216" s="212">
        <v>41</v>
      </c>
      <c r="I216" s="212">
        <v>55.2</v>
      </c>
      <c r="J216" s="106">
        <v>45.8</v>
      </c>
      <c r="K216" s="106">
        <v>40.200000000000003</v>
      </c>
      <c r="L216" s="104">
        <v>43939</v>
      </c>
      <c r="M216" s="104">
        <v>44846</v>
      </c>
      <c r="N216" s="110" t="s">
        <v>21</v>
      </c>
      <c r="O216" s="106" t="s">
        <v>2671</v>
      </c>
    </row>
    <row r="217" spans="1:15" x14ac:dyDescent="0.2">
      <c r="A217" s="261"/>
      <c r="B217" s="261"/>
      <c r="C217" s="256"/>
      <c r="E217" s="112" t="s">
        <v>2741</v>
      </c>
      <c r="F217" s="112" t="s">
        <v>2742</v>
      </c>
      <c r="H217" s="259">
        <v>32.4</v>
      </c>
      <c r="I217" s="259">
        <v>44.8</v>
      </c>
      <c r="L217" s="256"/>
      <c r="M217" s="256"/>
    </row>
    <row r="218" spans="1:15" x14ac:dyDescent="0.2">
      <c r="A218" s="261"/>
      <c r="B218" s="261"/>
      <c r="C218" s="256"/>
      <c r="E218" s="112" t="s">
        <v>34</v>
      </c>
      <c r="F218" s="112" t="s">
        <v>2743</v>
      </c>
      <c r="H218" s="259">
        <v>22.5</v>
      </c>
      <c r="L218" s="256"/>
      <c r="M218" s="256"/>
    </row>
    <row r="219" spans="1:15" x14ac:dyDescent="0.2">
      <c r="A219" s="261"/>
      <c r="B219" s="261"/>
      <c r="C219" s="256"/>
      <c r="E219" s="112" t="s">
        <v>98</v>
      </c>
      <c r="F219" s="112" t="s">
        <v>2744</v>
      </c>
      <c r="H219" s="259">
        <v>2.8</v>
      </c>
      <c r="L219" s="256"/>
      <c r="M219" s="256"/>
    </row>
    <row r="220" spans="1:15" x14ac:dyDescent="0.2">
      <c r="A220" s="261"/>
      <c r="B220" s="261"/>
      <c r="C220" s="256"/>
      <c r="E220" s="112" t="s">
        <v>215</v>
      </c>
      <c r="F220" s="112" t="s">
        <v>2745</v>
      </c>
      <c r="H220" s="259">
        <v>1.4</v>
      </c>
      <c r="L220" s="256"/>
      <c r="M220" s="256"/>
    </row>
    <row r="221" spans="1:15" x14ac:dyDescent="0.2">
      <c r="H221" s="259"/>
    </row>
    <row r="222" spans="1:15" s="106" customFormat="1" ht="12" x14ac:dyDescent="0.2">
      <c r="A222" s="104">
        <v>44745</v>
      </c>
      <c r="B222" s="104">
        <v>44759</v>
      </c>
      <c r="C222" s="110">
        <v>31300000</v>
      </c>
      <c r="D222" s="106" t="s">
        <v>2746</v>
      </c>
      <c r="E222" s="106" t="s">
        <v>19</v>
      </c>
      <c r="F222" s="106" t="s">
        <v>2747</v>
      </c>
      <c r="G222" s="110" t="s">
        <v>349</v>
      </c>
      <c r="H222" s="255">
        <v>34</v>
      </c>
      <c r="I222" s="255">
        <v>50.6</v>
      </c>
      <c r="J222" s="262">
        <v>50.3</v>
      </c>
      <c r="K222" s="262">
        <v>43.3</v>
      </c>
      <c r="L222" s="104">
        <v>44927</v>
      </c>
      <c r="M222" s="104">
        <v>47848</v>
      </c>
      <c r="N222" s="110" t="s">
        <v>19</v>
      </c>
      <c r="O222" s="106" t="s">
        <v>2692</v>
      </c>
    </row>
    <row r="223" spans="1:15" ht="12" x14ac:dyDescent="0.2">
      <c r="A223" s="113"/>
      <c r="B223" s="113"/>
      <c r="C223" s="118"/>
      <c r="D223" s="111"/>
      <c r="E223" s="111" t="s">
        <v>21</v>
      </c>
      <c r="F223" s="111" t="s">
        <v>2693</v>
      </c>
      <c r="G223" s="118"/>
      <c r="H223" s="260">
        <v>35.700000000000003</v>
      </c>
      <c r="I223" s="260">
        <v>49.4</v>
      </c>
      <c r="J223" s="263"/>
      <c r="K223" s="263"/>
      <c r="L223" s="118"/>
      <c r="M223" s="118"/>
      <c r="N223" s="110"/>
      <c r="O223" s="111"/>
    </row>
    <row r="224" spans="1:15" ht="12" x14ac:dyDescent="0.2">
      <c r="A224" s="113"/>
      <c r="B224" s="113"/>
      <c r="C224" s="118"/>
      <c r="D224" s="111"/>
      <c r="E224" s="111" t="s">
        <v>34</v>
      </c>
      <c r="F224" s="111" t="s">
        <v>2694</v>
      </c>
      <c r="G224" s="118"/>
      <c r="H224" s="260">
        <v>26.4</v>
      </c>
      <c r="I224" s="260"/>
      <c r="J224" s="263"/>
      <c r="K224" s="263"/>
      <c r="L224" s="118"/>
      <c r="M224" s="118"/>
      <c r="N224" s="110"/>
      <c r="O224" s="111"/>
    </row>
    <row r="225" spans="1:15" ht="12" x14ac:dyDescent="0.2">
      <c r="A225" s="113"/>
      <c r="B225" s="113"/>
      <c r="C225" s="118"/>
      <c r="D225" s="111"/>
      <c r="E225" s="111" t="s">
        <v>2031</v>
      </c>
      <c r="F225" s="111" t="s">
        <v>2748</v>
      </c>
      <c r="G225" s="118"/>
      <c r="H225" s="260">
        <v>1.8</v>
      </c>
      <c r="I225" s="260"/>
      <c r="J225" s="263"/>
      <c r="K225" s="263"/>
      <c r="L225" s="118"/>
      <c r="M225" s="118"/>
      <c r="N225" s="110"/>
      <c r="O225" s="111"/>
    </row>
    <row r="226" spans="1:15" ht="12" x14ac:dyDescent="0.2">
      <c r="A226" s="113"/>
      <c r="B226" s="113"/>
      <c r="C226" s="118"/>
      <c r="D226" s="111"/>
      <c r="E226" s="111" t="s">
        <v>215</v>
      </c>
      <c r="F226" s="111" t="s">
        <v>2749</v>
      </c>
      <c r="G226" s="118"/>
      <c r="H226" s="260">
        <v>2.2000000000000002</v>
      </c>
      <c r="I226" s="260"/>
      <c r="J226" s="263"/>
      <c r="K226" s="263"/>
      <c r="L226" s="118"/>
      <c r="M226" s="118"/>
      <c r="N226" s="110"/>
      <c r="O226" s="111"/>
    </row>
    <row r="227" spans="1:15" x14ac:dyDescent="0.2">
      <c r="A227" s="264"/>
      <c r="B227" s="264"/>
      <c r="C227" s="265"/>
      <c r="D227" s="119"/>
      <c r="E227" s="119"/>
      <c r="F227" s="119"/>
      <c r="G227" s="258"/>
      <c r="H227" s="266"/>
      <c r="I227" s="267"/>
      <c r="J227" s="119"/>
      <c r="K227" s="119"/>
      <c r="L227" s="265"/>
      <c r="M227" s="265"/>
      <c r="O227" s="119"/>
    </row>
    <row r="228" spans="1:15" ht="12" x14ac:dyDescent="0.2">
      <c r="A228" s="104">
        <v>44829</v>
      </c>
      <c r="B228" s="104">
        <v>44843</v>
      </c>
      <c r="C228" s="110">
        <v>21100000</v>
      </c>
      <c r="D228" s="106" t="s">
        <v>2682</v>
      </c>
      <c r="E228" s="106" t="s">
        <v>21</v>
      </c>
      <c r="F228" s="106" t="s">
        <v>2683</v>
      </c>
      <c r="G228" s="110" t="s">
        <v>349</v>
      </c>
      <c r="H228" s="255">
        <v>72.2</v>
      </c>
      <c r="I228" s="212"/>
      <c r="J228" s="106">
        <v>32.1</v>
      </c>
      <c r="K228" s="106"/>
      <c r="L228" s="104">
        <v>45017</v>
      </c>
      <c r="M228" s="104">
        <v>45016</v>
      </c>
      <c r="N228" s="110" t="s">
        <v>21</v>
      </c>
      <c r="O228" s="106" t="s">
        <v>2750</v>
      </c>
    </row>
    <row r="229" spans="1:15" ht="12" x14ac:dyDescent="0.2">
      <c r="A229" s="113"/>
      <c r="B229" s="113"/>
      <c r="C229" s="118"/>
      <c r="D229" s="111"/>
      <c r="E229" s="111" t="s">
        <v>19</v>
      </c>
      <c r="F229" s="111" t="s">
        <v>2751</v>
      </c>
      <c r="G229" s="118"/>
      <c r="H229" s="260">
        <v>20.5</v>
      </c>
      <c r="I229" s="144"/>
      <c r="J229" s="111"/>
      <c r="K229" s="111"/>
      <c r="L229" s="118"/>
      <c r="M229" s="118"/>
      <c r="N229" s="110"/>
      <c r="O229" s="111"/>
    </row>
    <row r="230" spans="1:15" ht="12" x14ac:dyDescent="0.2">
      <c r="A230" s="113"/>
      <c r="B230" s="113"/>
      <c r="C230" s="118"/>
      <c r="D230" s="111"/>
      <c r="E230" s="111" t="s">
        <v>215</v>
      </c>
      <c r="F230" s="111" t="s">
        <v>2752</v>
      </c>
      <c r="G230" s="118"/>
      <c r="H230" s="260">
        <v>7.3</v>
      </c>
      <c r="I230" s="144"/>
      <c r="J230" s="111"/>
      <c r="K230" s="111"/>
      <c r="L230" s="118"/>
      <c r="M230" s="118"/>
      <c r="N230" s="110"/>
      <c r="O230" s="111"/>
    </row>
    <row r="232" spans="1:15" s="106" customFormat="1" ht="12" x14ac:dyDescent="0.2">
      <c r="A232" s="104">
        <v>44969</v>
      </c>
      <c r="B232" s="104">
        <v>44983</v>
      </c>
      <c r="C232" s="110">
        <v>31200000</v>
      </c>
      <c r="D232" s="106" t="s">
        <v>2576</v>
      </c>
      <c r="E232" s="106" t="s">
        <v>21</v>
      </c>
      <c r="F232" s="106" t="s">
        <v>2753</v>
      </c>
      <c r="G232" s="110" t="s">
        <v>419</v>
      </c>
      <c r="H232" s="212">
        <v>36.5</v>
      </c>
      <c r="I232" s="212">
        <v>62.3</v>
      </c>
      <c r="J232" s="262">
        <v>34.700000000000003</v>
      </c>
      <c r="K232" s="106">
        <v>27.5</v>
      </c>
      <c r="L232" s="104">
        <v>45170</v>
      </c>
      <c r="M232" s="104">
        <v>45169</v>
      </c>
      <c r="N232" s="110" t="s">
        <v>21</v>
      </c>
      <c r="O232" s="106" t="s">
        <v>2631</v>
      </c>
    </row>
    <row r="233" spans="1:15" ht="12" x14ac:dyDescent="0.2">
      <c r="A233" s="113"/>
      <c r="B233" s="113"/>
      <c r="C233" s="118"/>
      <c r="D233" s="111"/>
      <c r="E233" s="111" t="s">
        <v>19</v>
      </c>
      <c r="F233" s="111" t="s">
        <v>2754</v>
      </c>
      <c r="G233" s="118" t="s">
        <v>419</v>
      </c>
      <c r="H233" s="144">
        <v>19.8</v>
      </c>
      <c r="I233" s="144">
        <v>37.700000000000003</v>
      </c>
      <c r="J233" s="263"/>
      <c r="K233" s="111"/>
      <c r="L233" s="118"/>
      <c r="M233" s="118"/>
      <c r="N233" s="110"/>
      <c r="O233" s="111"/>
    </row>
    <row r="234" spans="1:15" x14ac:dyDescent="0.2">
      <c r="E234" s="112" t="s">
        <v>34</v>
      </c>
      <c r="F234" s="112" t="s">
        <v>2755</v>
      </c>
      <c r="G234" s="256" t="s">
        <v>349</v>
      </c>
      <c r="H234" s="144">
        <v>18.899999999999999</v>
      </c>
      <c r="J234" s="268"/>
    </row>
    <row r="235" spans="1:15" x14ac:dyDescent="0.2">
      <c r="E235" s="112" t="s">
        <v>2756</v>
      </c>
      <c r="F235" s="112" t="s">
        <v>2757</v>
      </c>
      <c r="G235" s="256" t="s">
        <v>349</v>
      </c>
      <c r="H235" s="144">
        <v>1.3</v>
      </c>
      <c r="J235" s="268"/>
    </row>
    <row r="236" spans="1:15" x14ac:dyDescent="0.2">
      <c r="E236" s="112" t="s">
        <v>2758</v>
      </c>
      <c r="F236" s="112" t="s">
        <v>2759</v>
      </c>
      <c r="G236" s="256" t="s">
        <v>349</v>
      </c>
      <c r="H236" s="144">
        <v>19.7</v>
      </c>
      <c r="J236" s="268"/>
    </row>
    <row r="237" spans="1:15" x14ac:dyDescent="0.2">
      <c r="E237" s="112" t="s">
        <v>2760</v>
      </c>
      <c r="F237" s="112" t="s">
        <v>2761</v>
      </c>
      <c r="G237" s="256" t="s">
        <v>419</v>
      </c>
      <c r="H237" s="144">
        <v>2.4</v>
      </c>
      <c r="J237" s="268"/>
    </row>
    <row r="238" spans="1:15" x14ac:dyDescent="0.2">
      <c r="E238" s="112" t="s">
        <v>2762</v>
      </c>
      <c r="F238" s="112" t="s">
        <v>2763</v>
      </c>
      <c r="G238" s="256" t="s">
        <v>349</v>
      </c>
      <c r="H238" s="144">
        <v>1.4</v>
      </c>
      <c r="J238" s="268"/>
    </row>
    <row r="239" spans="1:15" x14ac:dyDescent="0.2">
      <c r="H239" s="259"/>
      <c r="J239" s="268"/>
    </row>
    <row r="240" spans="1:15" s="106" customFormat="1" ht="12" x14ac:dyDescent="0.2">
      <c r="A240" s="104">
        <v>44969</v>
      </c>
      <c r="B240" s="104">
        <v>44990</v>
      </c>
      <c r="C240" s="110">
        <v>31500000</v>
      </c>
      <c r="D240" s="106" t="s">
        <v>2670</v>
      </c>
      <c r="E240" s="106" t="s">
        <v>2741</v>
      </c>
      <c r="F240" s="106" t="s">
        <v>2742</v>
      </c>
      <c r="G240" s="110" t="s">
        <v>349</v>
      </c>
      <c r="H240" s="255">
        <v>40.200000000000003</v>
      </c>
      <c r="I240" s="212">
        <v>63.6</v>
      </c>
      <c r="J240" s="262">
        <v>49.2</v>
      </c>
      <c r="K240" s="106">
        <v>40.1</v>
      </c>
      <c r="L240" s="104">
        <v>45007</v>
      </c>
      <c r="M240" s="104">
        <v>47928</v>
      </c>
      <c r="N240" s="110" t="s">
        <v>21</v>
      </c>
      <c r="O240" s="106" t="s">
        <v>2764</v>
      </c>
    </row>
    <row r="241" spans="1:15" ht="12" x14ac:dyDescent="0.2">
      <c r="A241" s="113"/>
      <c r="B241" s="113"/>
      <c r="C241" s="118"/>
      <c r="D241" s="111"/>
      <c r="E241" s="111" t="s">
        <v>34</v>
      </c>
      <c r="F241" s="111" t="s">
        <v>2765</v>
      </c>
      <c r="G241" s="118" t="s">
        <v>349</v>
      </c>
      <c r="H241" s="260">
        <v>21.5</v>
      </c>
      <c r="I241" s="144">
        <v>36.4</v>
      </c>
      <c r="J241" s="263"/>
      <c r="K241" s="111"/>
      <c r="L241" s="118"/>
      <c r="M241" s="118"/>
      <c r="N241" s="110"/>
      <c r="O241" s="111"/>
    </row>
    <row r="242" spans="1:15" ht="12" x14ac:dyDescent="0.2">
      <c r="A242" s="113"/>
      <c r="B242" s="113"/>
      <c r="C242" s="118"/>
      <c r="D242" s="111"/>
      <c r="E242" s="111" t="s">
        <v>21</v>
      </c>
      <c r="F242" s="111" t="s">
        <v>2766</v>
      </c>
      <c r="G242" s="118" t="s">
        <v>419</v>
      </c>
      <c r="H242" s="260">
        <v>13.3</v>
      </c>
      <c r="I242" s="144"/>
      <c r="J242" s="263"/>
      <c r="K242" s="111"/>
      <c r="L242" s="118"/>
      <c r="M242" s="118"/>
      <c r="N242" s="110"/>
      <c r="O242" s="111"/>
    </row>
    <row r="243" spans="1:15" ht="12" x14ac:dyDescent="0.2">
      <c r="A243" s="113"/>
      <c r="B243" s="113"/>
      <c r="C243" s="118"/>
      <c r="D243" s="111"/>
      <c r="E243" s="111" t="s">
        <v>38</v>
      </c>
      <c r="F243" s="111" t="s">
        <v>2767</v>
      </c>
      <c r="G243" s="118" t="s">
        <v>349</v>
      </c>
      <c r="H243" s="260">
        <v>3.8</v>
      </c>
      <c r="I243" s="144"/>
      <c r="J243" s="263"/>
      <c r="K243" s="111"/>
      <c r="L243" s="118"/>
      <c r="M243" s="118"/>
      <c r="N243" s="110"/>
      <c r="O243" s="111"/>
    </row>
    <row r="244" spans="1:15" ht="12" x14ac:dyDescent="0.2">
      <c r="A244" s="113"/>
      <c r="B244" s="113"/>
      <c r="C244" s="118"/>
      <c r="D244" s="111"/>
      <c r="E244" s="111" t="s">
        <v>98</v>
      </c>
      <c r="F244" s="111" t="s">
        <v>2744</v>
      </c>
      <c r="G244" s="118" t="s">
        <v>349</v>
      </c>
      <c r="H244" s="260">
        <v>7.1</v>
      </c>
      <c r="I244" s="144"/>
      <c r="J244" s="263"/>
      <c r="K244" s="111"/>
      <c r="L244" s="118"/>
      <c r="M244" s="118"/>
      <c r="N244" s="110"/>
      <c r="O244" s="111"/>
    </row>
    <row r="245" spans="1:15" ht="12" x14ac:dyDescent="0.2">
      <c r="A245" s="113"/>
      <c r="B245" s="113"/>
      <c r="C245" s="118"/>
      <c r="D245" s="111"/>
      <c r="E245" s="111" t="s">
        <v>19</v>
      </c>
      <c r="F245" s="111" t="s">
        <v>2768</v>
      </c>
      <c r="G245" s="118" t="s">
        <v>419</v>
      </c>
      <c r="H245" s="260">
        <v>13.4</v>
      </c>
      <c r="I245" s="144"/>
      <c r="J245" s="111"/>
      <c r="K245" s="111"/>
      <c r="L245" s="118"/>
      <c r="M245" s="118"/>
      <c r="N245" s="110"/>
      <c r="O245" s="111"/>
    </row>
    <row r="246" spans="1:15" ht="12" x14ac:dyDescent="0.2">
      <c r="A246" s="113"/>
      <c r="B246" s="113"/>
      <c r="C246" s="118"/>
      <c r="D246" s="111"/>
      <c r="E246" s="111" t="s">
        <v>297</v>
      </c>
      <c r="F246" s="111" t="s">
        <v>2769</v>
      </c>
      <c r="G246" s="118" t="s">
        <v>349</v>
      </c>
      <c r="H246" s="260">
        <v>0.6</v>
      </c>
      <c r="I246" s="144"/>
      <c r="J246" s="111"/>
      <c r="K246" s="111"/>
      <c r="L246" s="118"/>
      <c r="M246" s="118"/>
      <c r="N246" s="110"/>
      <c r="O246" s="111"/>
    </row>
    <row r="247" spans="1:15" ht="12" x14ac:dyDescent="0.2">
      <c r="A247" s="113"/>
      <c r="B247" s="113"/>
      <c r="C247" s="118"/>
      <c r="D247" s="111"/>
      <c r="E247" s="111"/>
      <c r="F247" s="111"/>
      <c r="G247" s="118"/>
      <c r="H247" s="116"/>
      <c r="I247" s="144"/>
      <c r="J247" s="111"/>
      <c r="K247" s="111"/>
      <c r="L247" s="118"/>
      <c r="M247" s="118"/>
      <c r="N247" s="110"/>
      <c r="O247" s="111"/>
    </row>
    <row r="248" spans="1:15" s="106" customFormat="1" ht="12" x14ac:dyDescent="0.2">
      <c r="A248" s="104">
        <v>45102</v>
      </c>
      <c r="B248" s="104">
        <v>45116</v>
      </c>
      <c r="C248" s="110">
        <v>31100000</v>
      </c>
      <c r="D248" s="106" t="s">
        <v>2770</v>
      </c>
      <c r="E248" s="106" t="s">
        <v>55</v>
      </c>
      <c r="F248" s="106" t="s">
        <v>2771</v>
      </c>
      <c r="G248" s="110" t="s">
        <v>349</v>
      </c>
      <c r="H248" s="255">
        <v>55.4</v>
      </c>
      <c r="I248" s="255"/>
      <c r="J248" s="262">
        <v>55.4</v>
      </c>
      <c r="K248" s="262"/>
      <c r="L248" s="104">
        <v>45292</v>
      </c>
      <c r="M248" s="104">
        <v>48213</v>
      </c>
      <c r="N248" s="110" t="s">
        <v>19</v>
      </c>
      <c r="O248" s="106" t="s">
        <v>2688</v>
      </c>
    </row>
    <row r="249" spans="1:15" ht="12" x14ac:dyDescent="0.2">
      <c r="A249" s="113"/>
      <c r="B249" s="113"/>
      <c r="C249" s="118"/>
      <c r="D249" s="111"/>
      <c r="E249" s="111" t="s">
        <v>21</v>
      </c>
      <c r="F249" s="111" t="s">
        <v>2772</v>
      </c>
      <c r="G249" s="118" t="s">
        <v>419</v>
      </c>
      <c r="H249" s="260">
        <v>16.399999999999999</v>
      </c>
      <c r="I249" s="260"/>
      <c r="J249" s="263"/>
      <c r="K249" s="263"/>
      <c r="L249" s="118"/>
      <c r="M249" s="118"/>
      <c r="N249" s="110"/>
      <c r="O249" s="111"/>
    </row>
    <row r="250" spans="1:15" ht="12" x14ac:dyDescent="0.2">
      <c r="A250" s="113"/>
      <c r="B250" s="113"/>
      <c r="C250" s="118"/>
      <c r="D250" s="111"/>
      <c r="E250" s="111" t="s">
        <v>34</v>
      </c>
      <c r="F250" s="111" t="s">
        <v>2773</v>
      </c>
      <c r="G250" s="118" t="s">
        <v>349</v>
      </c>
      <c r="H250" s="260">
        <v>3</v>
      </c>
      <c r="I250" s="260"/>
      <c r="J250" s="263"/>
      <c r="K250" s="263"/>
      <c r="L250" s="118"/>
      <c r="M250" s="118"/>
      <c r="N250" s="110"/>
      <c r="O250" s="111"/>
    </row>
    <row r="251" spans="1:15" ht="12" x14ac:dyDescent="0.2">
      <c r="A251" s="113"/>
      <c r="B251" s="113"/>
      <c r="C251" s="118"/>
      <c r="D251" s="111"/>
      <c r="E251" s="111" t="s">
        <v>19</v>
      </c>
      <c r="F251" s="111" t="s">
        <v>2774</v>
      </c>
      <c r="G251" s="118" t="s">
        <v>349</v>
      </c>
      <c r="H251" s="260">
        <v>22.7</v>
      </c>
      <c r="I251" s="260"/>
      <c r="J251" s="263"/>
      <c r="K251" s="263"/>
      <c r="L251" s="118"/>
      <c r="M251" s="118"/>
      <c r="N251" s="110"/>
      <c r="O251" s="111"/>
    </row>
    <row r="252" spans="1:15" x14ac:dyDescent="0.2">
      <c r="E252" s="112" t="s">
        <v>2775</v>
      </c>
      <c r="F252" s="112" t="s">
        <v>2688</v>
      </c>
      <c r="G252" s="256" t="s">
        <v>349</v>
      </c>
      <c r="H252" s="257">
        <v>2.5</v>
      </c>
      <c r="I252" s="257"/>
      <c r="J252" s="268"/>
      <c r="K252" s="268"/>
    </row>
    <row r="253" spans="1:15" x14ac:dyDescent="0.2">
      <c r="H253" s="257"/>
      <c r="I253" s="257"/>
      <c r="J253" s="268"/>
      <c r="K253" s="268"/>
    </row>
    <row r="254" spans="1:15" s="106" customFormat="1" ht="12" x14ac:dyDescent="0.2">
      <c r="A254" s="104">
        <v>45823</v>
      </c>
      <c r="B254" s="104">
        <v>45837</v>
      </c>
      <c r="C254" s="110">
        <v>31600000</v>
      </c>
      <c r="D254" s="106" t="s">
        <v>2776</v>
      </c>
      <c r="E254" s="106" t="s">
        <v>2603</v>
      </c>
      <c r="F254" s="106" t="s">
        <v>2712</v>
      </c>
      <c r="G254" s="110" t="s">
        <v>349</v>
      </c>
      <c r="H254" s="255">
        <v>79.7</v>
      </c>
      <c r="I254" s="255"/>
      <c r="J254" s="262">
        <v>36.9</v>
      </c>
      <c r="K254" s="262"/>
      <c r="L254" s="104">
        <v>46023</v>
      </c>
      <c r="M254" s="104">
        <v>48944</v>
      </c>
      <c r="N254" s="110" t="s">
        <v>1178</v>
      </c>
      <c r="O254" s="106" t="s">
        <v>2712</v>
      </c>
    </row>
    <row r="255" spans="1:15" x14ac:dyDescent="0.2">
      <c r="E255" s="112" t="s">
        <v>2777</v>
      </c>
      <c r="F255" s="112" t="s">
        <v>2778</v>
      </c>
      <c r="G255" s="256" t="s">
        <v>419</v>
      </c>
      <c r="H255" s="257">
        <v>20.3</v>
      </c>
      <c r="I255" s="257"/>
      <c r="J255" s="268"/>
      <c r="K255" s="268"/>
    </row>
    <row r="256" spans="1:15" x14ac:dyDescent="0.2">
      <c r="H256" s="257"/>
      <c r="I256" s="257"/>
      <c r="J256" s="268"/>
      <c r="K256" s="268"/>
    </row>
    <row r="257" spans="8:11" x14ac:dyDescent="0.2">
      <c r="H257" s="257"/>
      <c r="I257" s="257"/>
      <c r="J257" s="268"/>
      <c r="K257" s="268"/>
    </row>
    <row r="258" spans="8:11" x14ac:dyDescent="0.2">
      <c r="H258" s="257"/>
      <c r="I258" s="257"/>
      <c r="J258" s="268"/>
      <c r="K258" s="268"/>
    </row>
    <row r="259" spans="8:11" x14ac:dyDescent="0.2">
      <c r="H259" s="257"/>
      <c r="I259" s="257"/>
      <c r="J259" s="268"/>
      <c r="K259" s="268"/>
    </row>
    <row r="260" spans="8:11" x14ac:dyDescent="0.2">
      <c r="H260" s="257"/>
      <c r="I260" s="257"/>
      <c r="J260" s="268"/>
      <c r="K260" s="268"/>
    </row>
    <row r="261" spans="8:11" x14ac:dyDescent="0.2">
      <c r="H261" s="257"/>
      <c r="I261" s="257"/>
      <c r="J261" s="268"/>
      <c r="K261" s="268"/>
    </row>
    <row r="262" spans="8:11" x14ac:dyDescent="0.2">
      <c r="H262" s="257"/>
      <c r="I262" s="257"/>
      <c r="J262" s="268"/>
      <c r="K262" s="268"/>
    </row>
    <row r="263" spans="8:11" x14ac:dyDescent="0.2">
      <c r="H263" s="257"/>
      <c r="I263" s="257"/>
      <c r="J263" s="268"/>
      <c r="K263" s="268"/>
    </row>
  </sheetData>
  <autoFilter ref="D1:D180" xr:uid="{00000000-0009-0000-0000-000000000000}"/>
  <mergeCells count="20">
    <mergeCell ref="A3:A5"/>
    <mergeCell ref="B3:B5"/>
    <mergeCell ref="C3:C5"/>
    <mergeCell ref="D3:D5"/>
    <mergeCell ref="E3:F3"/>
    <mergeCell ref="E4:E5"/>
    <mergeCell ref="F4:F5"/>
    <mergeCell ref="H4:H5"/>
    <mergeCell ref="I4:I5"/>
    <mergeCell ref="J4:J5"/>
    <mergeCell ref="G3:G5"/>
    <mergeCell ref="L4:L5"/>
    <mergeCell ref="M4:M5"/>
    <mergeCell ref="N4:N5"/>
    <mergeCell ref="O4:O5"/>
    <mergeCell ref="H3:I3"/>
    <mergeCell ref="J3:K3"/>
    <mergeCell ref="L3:M3"/>
    <mergeCell ref="N3:O3"/>
    <mergeCell ref="K4:K5"/>
  </mergeCells>
  <printOptions horizontalCentered="1"/>
  <pageMargins left="0.59055118110236227" right="0.59055118110236227" top="0.78740157480314965" bottom="0.78740157480314965" header="0.39370078740157483" footer="0.39370078740157483"/>
  <pageSetup paperSize="9" scale="93" fitToHeight="0" orientation="landscape" horizontalDpi="4294967292" verticalDpi="300" r:id="rId1"/>
  <headerFooter alignWithMargins="0">
    <oddFooter>&amp;L&amp;9EB = Einzelbewerber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4F84-4DE9-426B-8843-91615EFCAE0E}">
  <sheetPr>
    <pageSetUpPr fitToPage="1"/>
  </sheetPr>
  <dimension ref="A1:W2160"/>
  <sheetViews>
    <sheetView zoomScaleNormal="100" workbookViewId="0">
      <pane ySplit="5" topLeftCell="A2121" activePane="bottomLeft" state="frozen"/>
      <selection pane="bottomLeft" activeCell="R2141" sqref="R2141"/>
    </sheetView>
  </sheetViews>
  <sheetFormatPr baseColWidth="10" defaultColWidth="11.5703125" defaultRowHeight="12.75" x14ac:dyDescent="0.2"/>
  <cols>
    <col min="1" max="2" width="10.7109375" style="178" customWidth="1"/>
    <col min="3" max="3" width="9.42578125" style="178" customWidth="1"/>
    <col min="4" max="4" width="33" style="69" bestFit="1" customWidth="1"/>
    <col min="5" max="5" width="18.85546875" style="69" customWidth="1"/>
    <col min="6" max="6" width="18.42578125" style="69" bestFit="1" customWidth="1"/>
    <col min="7" max="7" width="15.5703125" style="69" bestFit="1" customWidth="1"/>
    <col min="8" max="8" width="10.140625" style="69" bestFit="1" customWidth="1"/>
    <col min="9" max="10" width="10.85546875" style="179" bestFit="1" customWidth="1"/>
    <col min="11" max="11" width="10.85546875" style="180" customWidth="1"/>
    <col min="12" max="12" width="9.7109375" style="180" customWidth="1"/>
    <col min="13" max="14" width="10.7109375" customWidth="1"/>
    <col min="15" max="15" width="15.42578125" style="69" customWidth="1"/>
    <col min="16" max="16" width="14.85546875" style="69" bestFit="1" customWidth="1"/>
    <col min="17" max="17" width="13.5703125" style="69" bestFit="1" customWidth="1"/>
    <col min="18" max="18" width="10.140625" style="69" bestFit="1" customWidth="1"/>
    <col min="19" max="19" width="21" style="66" bestFit="1" customWidth="1"/>
    <col min="20" max="16384" width="11.5703125" style="69"/>
  </cols>
  <sheetData>
    <row r="1" spans="1:20" s="67" customFormat="1" ht="15.95" customHeight="1" x14ac:dyDescent="0.25">
      <c r="A1" s="63" t="s">
        <v>340</v>
      </c>
      <c r="B1" s="63"/>
      <c r="C1" s="63"/>
      <c r="D1" s="63"/>
      <c r="E1" s="63"/>
      <c r="F1" s="63"/>
      <c r="G1" s="63"/>
      <c r="H1" s="63"/>
      <c r="I1" s="63"/>
      <c r="J1" s="64"/>
      <c r="K1" s="63"/>
      <c r="L1" s="63"/>
      <c r="M1" s="65"/>
      <c r="N1" s="65"/>
      <c r="O1" s="65"/>
      <c r="P1" s="65"/>
      <c r="Q1" s="65"/>
      <c r="R1" s="65"/>
      <c r="S1" s="66"/>
    </row>
    <row r="2" spans="1:20" s="67" customFormat="1" ht="15.95" customHeight="1" x14ac:dyDescent="0.25">
      <c r="A2" s="63"/>
      <c r="B2" s="63"/>
      <c r="C2" s="63"/>
      <c r="D2" s="63"/>
      <c r="E2" s="63"/>
      <c r="F2" s="63"/>
      <c r="G2" s="63"/>
      <c r="H2" s="63"/>
      <c r="I2" s="63"/>
      <c r="J2" s="64"/>
      <c r="K2" s="63"/>
      <c r="L2" s="63"/>
      <c r="N2" s="68" t="s">
        <v>341</v>
      </c>
      <c r="S2" s="66"/>
    </row>
    <row r="3" spans="1:20" s="66" customFormat="1" ht="12" customHeight="1" x14ac:dyDescent="0.2">
      <c r="A3" s="274" t="s">
        <v>137</v>
      </c>
      <c r="B3" s="275" t="s">
        <v>165</v>
      </c>
      <c r="C3" s="276" t="s">
        <v>166</v>
      </c>
      <c r="D3" s="276" t="s">
        <v>342</v>
      </c>
      <c r="E3" s="294" t="s">
        <v>134</v>
      </c>
      <c r="F3" s="295"/>
      <c r="G3" s="295"/>
      <c r="H3" s="296"/>
      <c r="I3" s="270" t="s">
        <v>168</v>
      </c>
      <c r="J3" s="270"/>
      <c r="K3" s="273" t="s">
        <v>169</v>
      </c>
      <c r="L3" s="273"/>
      <c r="M3" s="270" t="s">
        <v>138</v>
      </c>
      <c r="N3" s="270"/>
      <c r="O3" s="270" t="s">
        <v>170</v>
      </c>
      <c r="P3" s="270"/>
      <c r="Q3" s="270"/>
      <c r="R3" s="270"/>
    </row>
    <row r="4" spans="1:20" ht="12.75" customHeight="1" x14ac:dyDescent="0.2">
      <c r="A4" s="274"/>
      <c r="B4" s="275"/>
      <c r="C4" s="276"/>
      <c r="D4" s="276"/>
      <c r="E4" s="276" t="s">
        <v>343</v>
      </c>
      <c r="F4" s="271" t="s">
        <v>172</v>
      </c>
      <c r="G4" s="271" t="s">
        <v>344</v>
      </c>
      <c r="H4" s="271" t="s">
        <v>345</v>
      </c>
      <c r="I4" s="270" t="s">
        <v>173</v>
      </c>
      <c r="J4" s="290" t="s">
        <v>174</v>
      </c>
      <c r="K4" s="270" t="s">
        <v>173</v>
      </c>
      <c r="L4" s="270" t="s">
        <v>174</v>
      </c>
      <c r="M4" s="270" t="s">
        <v>135</v>
      </c>
      <c r="N4" s="270" t="s">
        <v>136</v>
      </c>
      <c r="O4" s="276" t="s">
        <v>171</v>
      </c>
      <c r="P4" s="270" t="s">
        <v>172</v>
      </c>
      <c r="Q4" s="270" t="s">
        <v>344</v>
      </c>
      <c r="R4" s="270" t="s">
        <v>345</v>
      </c>
    </row>
    <row r="5" spans="1:20" ht="12.75" customHeight="1" x14ac:dyDescent="0.2">
      <c r="A5" s="292"/>
      <c r="B5" s="293"/>
      <c r="C5" s="271"/>
      <c r="D5" s="271"/>
      <c r="E5" s="271"/>
      <c r="F5" s="289"/>
      <c r="G5" s="289"/>
      <c r="H5" s="289"/>
      <c r="I5" s="288"/>
      <c r="J5" s="291"/>
      <c r="K5" s="288"/>
      <c r="L5" s="288"/>
      <c r="M5" s="288"/>
      <c r="N5" s="288"/>
      <c r="O5" s="271"/>
      <c r="P5" s="288"/>
      <c r="Q5" s="288"/>
      <c r="R5" s="288"/>
    </row>
    <row r="6" spans="1:20" s="72" customFormat="1" ht="18.75" customHeight="1" x14ac:dyDescent="0.2">
      <c r="A6" s="70">
        <v>34497</v>
      </c>
      <c r="B6" s="70">
        <v>34511</v>
      </c>
      <c r="C6" s="71">
        <v>13203</v>
      </c>
      <c r="D6" s="72" t="s">
        <v>346</v>
      </c>
      <c r="E6" s="73" t="s">
        <v>347</v>
      </c>
      <c r="F6" s="73" t="s">
        <v>347</v>
      </c>
      <c r="G6" s="73" t="s">
        <v>348</v>
      </c>
      <c r="H6" s="74" t="s">
        <v>349</v>
      </c>
      <c r="I6" s="75">
        <v>52.34</v>
      </c>
      <c r="J6" s="76"/>
      <c r="K6" s="77">
        <v>70.400000000000006</v>
      </c>
      <c r="L6" s="77"/>
      <c r="M6" s="70">
        <v>34731</v>
      </c>
      <c r="N6" s="78">
        <v>37652</v>
      </c>
    </row>
    <row r="7" spans="1:20" s="66" customFormat="1" ht="18.75" customHeight="1" x14ac:dyDescent="0.2">
      <c r="A7" s="79"/>
      <c r="B7" s="79"/>
      <c r="C7" s="80"/>
      <c r="E7" s="81" t="s">
        <v>350</v>
      </c>
      <c r="F7" s="81" t="s">
        <v>351</v>
      </c>
      <c r="G7" s="81" t="s">
        <v>352</v>
      </c>
      <c r="H7" s="82" t="s">
        <v>349</v>
      </c>
      <c r="I7" s="83">
        <v>47.66</v>
      </c>
      <c r="J7" s="84"/>
      <c r="K7" s="85"/>
      <c r="R7" s="72"/>
    </row>
    <row r="8" spans="1:20" s="66" customFormat="1" ht="18.75" customHeight="1" x14ac:dyDescent="0.2">
      <c r="A8" s="79"/>
      <c r="B8" s="79"/>
      <c r="C8" s="80"/>
      <c r="E8" s="81"/>
      <c r="F8" s="81"/>
      <c r="G8" s="81" t="s">
        <v>353</v>
      </c>
      <c r="H8" s="82"/>
      <c r="I8" s="83"/>
      <c r="J8" s="84"/>
      <c r="K8" s="85"/>
      <c r="R8" s="72"/>
    </row>
    <row r="9" spans="1:20" s="72" customFormat="1" ht="18.75" customHeight="1" x14ac:dyDescent="0.2">
      <c r="A9" s="70">
        <v>34497</v>
      </c>
      <c r="B9" s="70">
        <v>34511</v>
      </c>
      <c r="C9" s="71">
        <v>13205</v>
      </c>
      <c r="D9" s="72" t="s">
        <v>354</v>
      </c>
      <c r="E9" s="73" t="s">
        <v>347</v>
      </c>
      <c r="F9" s="73" t="s">
        <v>347</v>
      </c>
      <c r="G9" s="73" t="s">
        <v>355</v>
      </c>
      <c r="H9" s="74" t="s">
        <v>349</v>
      </c>
      <c r="I9" s="75">
        <v>82.52</v>
      </c>
      <c r="J9" s="76"/>
      <c r="K9" s="77">
        <v>84.2</v>
      </c>
      <c r="L9" s="77"/>
      <c r="M9" s="70">
        <v>34516</v>
      </c>
      <c r="N9" s="78">
        <v>37437</v>
      </c>
    </row>
    <row r="10" spans="1:20" s="66" customFormat="1" ht="18.75" customHeight="1" x14ac:dyDescent="0.2">
      <c r="A10" s="79"/>
      <c r="B10" s="79"/>
      <c r="C10" s="80"/>
      <c r="E10" s="86"/>
      <c r="G10" s="66" t="s">
        <v>353</v>
      </c>
      <c r="H10" s="82"/>
      <c r="I10" s="87"/>
      <c r="J10" s="84"/>
      <c r="K10" s="85"/>
      <c r="R10" s="72"/>
    </row>
    <row r="11" spans="1:20" s="72" customFormat="1" ht="18.75" customHeight="1" x14ac:dyDescent="0.2">
      <c r="A11" s="70">
        <v>34497</v>
      </c>
      <c r="B11" s="70">
        <v>34511</v>
      </c>
      <c r="C11" s="71">
        <v>13305</v>
      </c>
      <c r="D11" s="72" t="s">
        <v>356</v>
      </c>
      <c r="E11" s="73" t="s">
        <v>357</v>
      </c>
      <c r="F11" s="73" t="s">
        <v>357</v>
      </c>
      <c r="G11" s="73" t="s">
        <v>358</v>
      </c>
      <c r="H11" s="74" t="s">
        <v>349</v>
      </c>
      <c r="I11" s="75">
        <v>32.28</v>
      </c>
      <c r="J11" s="88">
        <v>58</v>
      </c>
      <c r="K11" s="77">
        <v>77.8</v>
      </c>
      <c r="L11" s="77">
        <v>63.4</v>
      </c>
      <c r="M11" s="70">
        <v>34516</v>
      </c>
      <c r="N11" s="89">
        <v>34680</v>
      </c>
    </row>
    <row r="12" spans="1:20" s="66" customFormat="1" ht="18.75" customHeight="1" x14ac:dyDescent="0.2">
      <c r="A12" s="79"/>
      <c r="B12" s="79"/>
      <c r="C12" s="80"/>
      <c r="E12" s="81" t="s">
        <v>21</v>
      </c>
      <c r="F12" s="81" t="s">
        <v>359</v>
      </c>
      <c r="G12" s="81" t="s">
        <v>360</v>
      </c>
      <c r="H12" s="82" t="s">
        <v>349</v>
      </c>
      <c r="I12" s="83">
        <v>39.82</v>
      </c>
      <c r="J12" s="90">
        <v>42</v>
      </c>
      <c r="K12" s="91"/>
      <c r="R12" s="72"/>
    </row>
    <row r="13" spans="1:20" s="66" customFormat="1" ht="18.75" customHeight="1" x14ac:dyDescent="0.2">
      <c r="A13" s="79"/>
      <c r="B13" s="79"/>
      <c r="C13" s="80"/>
      <c r="E13" s="81" t="s">
        <v>347</v>
      </c>
      <c r="F13" s="81" t="s">
        <v>347</v>
      </c>
      <c r="G13" s="81" t="s">
        <v>361</v>
      </c>
      <c r="H13" s="82" t="s">
        <v>349</v>
      </c>
      <c r="I13" s="83">
        <v>27.9</v>
      </c>
      <c r="J13" s="84"/>
      <c r="K13" s="91"/>
      <c r="R13" s="72"/>
      <c r="T13" s="72"/>
    </row>
    <row r="14" spans="1:20" s="66" customFormat="1" ht="18.75" customHeight="1" x14ac:dyDescent="0.2">
      <c r="A14" s="79"/>
      <c r="B14" s="79"/>
      <c r="C14" s="80"/>
      <c r="E14" s="81"/>
      <c r="F14" s="81"/>
      <c r="G14" s="81" t="s">
        <v>353</v>
      </c>
      <c r="H14" s="82"/>
      <c r="I14" s="83"/>
      <c r="J14" s="84"/>
      <c r="K14" s="91"/>
      <c r="R14" s="72"/>
    </row>
    <row r="15" spans="1:20" s="72" customFormat="1" ht="18.75" customHeight="1" x14ac:dyDescent="0.2">
      <c r="A15" s="70">
        <v>34497</v>
      </c>
      <c r="B15" s="70">
        <v>34511</v>
      </c>
      <c r="C15" s="71">
        <v>23102</v>
      </c>
      <c r="D15" s="72" t="s">
        <v>362</v>
      </c>
      <c r="E15" s="73" t="s">
        <v>19</v>
      </c>
      <c r="F15" s="73" t="s">
        <v>363</v>
      </c>
      <c r="G15" s="73" t="s">
        <v>364</v>
      </c>
      <c r="H15" s="74" t="s">
        <v>349</v>
      </c>
      <c r="I15" s="75">
        <v>73.33</v>
      </c>
      <c r="J15" s="76"/>
      <c r="K15" s="77">
        <v>77.099999999999994</v>
      </c>
      <c r="L15" s="77"/>
      <c r="M15" s="70">
        <v>34759</v>
      </c>
      <c r="N15" s="78">
        <v>37680</v>
      </c>
    </row>
    <row r="16" spans="1:20" s="66" customFormat="1" ht="18.75" customHeight="1" x14ac:dyDescent="0.2">
      <c r="A16" s="79"/>
      <c r="B16" s="79"/>
      <c r="C16" s="80"/>
      <c r="E16" s="81" t="s">
        <v>365</v>
      </c>
      <c r="F16" s="81" t="s">
        <v>365</v>
      </c>
      <c r="G16" s="81" t="s">
        <v>366</v>
      </c>
      <c r="H16" s="82" t="s">
        <v>349</v>
      </c>
      <c r="I16" s="83">
        <v>26.67</v>
      </c>
      <c r="J16" s="84"/>
      <c r="K16" s="85"/>
      <c r="R16" s="72"/>
      <c r="T16" s="72"/>
    </row>
    <row r="17" spans="1:20" s="66" customFormat="1" ht="18.75" customHeight="1" x14ac:dyDescent="0.2">
      <c r="A17" s="79"/>
      <c r="B17" s="79"/>
      <c r="C17" s="80"/>
      <c r="E17" s="86"/>
      <c r="G17" s="66" t="s">
        <v>353</v>
      </c>
      <c r="H17" s="82"/>
      <c r="I17" s="87"/>
      <c r="J17" s="84"/>
      <c r="K17" s="85"/>
      <c r="R17" s="72"/>
    </row>
    <row r="18" spans="1:20" s="72" customFormat="1" ht="18.75" customHeight="1" x14ac:dyDescent="0.2">
      <c r="A18" s="70">
        <v>34497</v>
      </c>
      <c r="B18" s="70">
        <v>34511</v>
      </c>
      <c r="C18" s="71">
        <v>23301</v>
      </c>
      <c r="D18" s="72" t="s">
        <v>142</v>
      </c>
      <c r="E18" s="73" t="s">
        <v>19</v>
      </c>
      <c r="F18" s="73" t="s">
        <v>367</v>
      </c>
      <c r="G18" s="73" t="s">
        <v>368</v>
      </c>
      <c r="H18" s="74" t="s">
        <v>349</v>
      </c>
      <c r="I18" s="75">
        <v>57.88</v>
      </c>
      <c r="J18" s="76"/>
      <c r="K18" s="77">
        <v>77.7</v>
      </c>
      <c r="L18" s="77"/>
      <c r="M18" s="70">
        <v>34515</v>
      </c>
      <c r="N18" s="78">
        <v>37436</v>
      </c>
    </row>
    <row r="19" spans="1:20" s="66" customFormat="1" ht="18.75" customHeight="1" x14ac:dyDescent="0.2">
      <c r="A19" s="79"/>
      <c r="B19" s="79"/>
      <c r="C19" s="80"/>
      <c r="E19" s="81" t="s">
        <v>21</v>
      </c>
      <c r="F19" s="81" t="s">
        <v>369</v>
      </c>
      <c r="G19" s="81" t="s">
        <v>348</v>
      </c>
      <c r="H19" s="82" t="s">
        <v>349</v>
      </c>
      <c r="I19" s="83">
        <v>34.409999999999997</v>
      </c>
      <c r="J19" s="84"/>
      <c r="K19" s="85"/>
      <c r="R19" s="72"/>
    </row>
    <row r="20" spans="1:20" s="66" customFormat="1" ht="18.75" customHeight="1" x14ac:dyDescent="0.2">
      <c r="A20" s="79"/>
      <c r="B20" s="79"/>
      <c r="C20" s="80"/>
      <c r="E20" s="81" t="s">
        <v>34</v>
      </c>
      <c r="F20" s="81" t="s">
        <v>370</v>
      </c>
      <c r="G20" s="81" t="s">
        <v>371</v>
      </c>
      <c r="H20" s="82" t="s">
        <v>349</v>
      </c>
      <c r="I20" s="83">
        <v>7.71</v>
      </c>
      <c r="J20" s="84"/>
      <c r="K20" s="85"/>
      <c r="R20" s="72"/>
    </row>
    <row r="21" spans="1:20" s="66" customFormat="1" ht="18.75" customHeight="1" x14ac:dyDescent="0.2">
      <c r="A21" s="79"/>
      <c r="B21" s="79"/>
      <c r="C21" s="80"/>
      <c r="E21" s="86"/>
      <c r="G21" s="66" t="s">
        <v>353</v>
      </c>
      <c r="H21" s="82"/>
      <c r="I21" s="87"/>
      <c r="J21" s="84"/>
      <c r="K21" s="85"/>
      <c r="R21" s="72"/>
    </row>
    <row r="22" spans="1:20" s="72" customFormat="1" ht="18.75" customHeight="1" x14ac:dyDescent="0.2">
      <c r="A22" s="70">
        <v>34497</v>
      </c>
      <c r="B22" s="70">
        <v>34511</v>
      </c>
      <c r="C22" s="71">
        <v>23304</v>
      </c>
      <c r="D22" s="72" t="s">
        <v>372</v>
      </c>
      <c r="E22" s="73" t="s">
        <v>19</v>
      </c>
      <c r="F22" s="73" t="s">
        <v>373</v>
      </c>
      <c r="G22" s="73" t="s">
        <v>374</v>
      </c>
      <c r="H22" s="74" t="s">
        <v>349</v>
      </c>
      <c r="I22" s="75">
        <v>73.5</v>
      </c>
      <c r="J22" s="76"/>
      <c r="K22" s="77">
        <v>83.7</v>
      </c>
      <c r="L22" s="77"/>
      <c r="M22" s="70">
        <v>34516</v>
      </c>
      <c r="N22" s="78">
        <v>37437</v>
      </c>
    </row>
    <row r="23" spans="1:20" s="66" customFormat="1" ht="18.75" customHeight="1" x14ac:dyDescent="0.2">
      <c r="A23" s="79"/>
      <c r="B23" s="79"/>
      <c r="C23" s="80"/>
      <c r="E23" s="81" t="s">
        <v>375</v>
      </c>
      <c r="F23" s="81" t="s">
        <v>375</v>
      </c>
      <c r="G23" s="81" t="s">
        <v>376</v>
      </c>
      <c r="H23" s="82" t="s">
        <v>349</v>
      </c>
      <c r="I23" s="83">
        <v>26.5</v>
      </c>
      <c r="J23" s="84"/>
      <c r="K23" s="85"/>
      <c r="R23" s="72"/>
      <c r="T23" s="72"/>
    </row>
    <row r="24" spans="1:20" s="66" customFormat="1" ht="18.75" customHeight="1" x14ac:dyDescent="0.2">
      <c r="A24" s="79"/>
      <c r="B24" s="79"/>
      <c r="C24" s="80"/>
      <c r="E24" s="86"/>
      <c r="G24" s="66" t="s">
        <v>353</v>
      </c>
      <c r="H24" s="82"/>
      <c r="I24" s="87"/>
      <c r="J24" s="84"/>
      <c r="K24" s="85"/>
      <c r="R24" s="72"/>
    </row>
    <row r="25" spans="1:20" s="72" customFormat="1" ht="18.75" customHeight="1" x14ac:dyDescent="0.2">
      <c r="A25" s="70">
        <v>34497</v>
      </c>
      <c r="B25" s="70">
        <v>34511</v>
      </c>
      <c r="C25" s="71">
        <v>23505</v>
      </c>
      <c r="D25" s="72" t="s">
        <v>377</v>
      </c>
      <c r="E25" s="73" t="s">
        <v>19</v>
      </c>
      <c r="F25" s="73" t="s">
        <v>378</v>
      </c>
      <c r="G25" s="73" t="s">
        <v>379</v>
      </c>
      <c r="H25" s="74" t="s">
        <v>349</v>
      </c>
      <c r="I25" s="75">
        <v>48.6</v>
      </c>
      <c r="J25" s="88">
        <v>65.650000000000006</v>
      </c>
      <c r="K25" s="77">
        <v>85.3</v>
      </c>
      <c r="L25" s="77">
        <v>56.9</v>
      </c>
      <c r="M25" s="70">
        <v>34557</v>
      </c>
      <c r="N25" s="78">
        <v>37478</v>
      </c>
    </row>
    <row r="26" spans="1:20" s="66" customFormat="1" ht="18.75" customHeight="1" x14ac:dyDescent="0.2">
      <c r="A26" s="79"/>
      <c r="B26" s="79"/>
      <c r="C26" s="80"/>
      <c r="E26" s="81" t="s">
        <v>21</v>
      </c>
      <c r="F26" s="81" t="s">
        <v>380</v>
      </c>
      <c r="G26" s="81" t="s">
        <v>381</v>
      </c>
      <c r="H26" s="82" t="s">
        <v>349</v>
      </c>
      <c r="I26" s="83">
        <v>26.59</v>
      </c>
      <c r="J26" s="90">
        <v>34.340000000000003</v>
      </c>
      <c r="K26" s="85"/>
      <c r="R26" s="72"/>
    </row>
    <row r="27" spans="1:20" s="66" customFormat="1" ht="18.75" customHeight="1" x14ac:dyDescent="0.2">
      <c r="A27" s="79"/>
      <c r="B27" s="79"/>
      <c r="C27" s="80"/>
      <c r="E27" s="81" t="s">
        <v>55</v>
      </c>
      <c r="F27" s="81" t="s">
        <v>382</v>
      </c>
      <c r="G27" s="81" t="s">
        <v>383</v>
      </c>
      <c r="H27" s="82" t="s">
        <v>349</v>
      </c>
      <c r="I27" s="83">
        <v>24.81</v>
      </c>
      <c r="J27" s="84"/>
      <c r="K27" s="85"/>
      <c r="R27" s="72"/>
    </row>
    <row r="28" spans="1:20" s="66" customFormat="1" ht="18.75" customHeight="1" x14ac:dyDescent="0.2">
      <c r="A28" s="79"/>
      <c r="B28" s="79"/>
      <c r="C28" s="80"/>
      <c r="E28" s="86"/>
      <c r="G28" s="66" t="s">
        <v>353</v>
      </c>
      <c r="H28" s="82"/>
      <c r="I28" s="87"/>
      <c r="J28" s="84"/>
      <c r="K28" s="85"/>
      <c r="R28" s="72"/>
    </row>
    <row r="29" spans="1:20" s="72" customFormat="1" ht="18.75" customHeight="1" x14ac:dyDescent="0.2">
      <c r="A29" s="70">
        <v>34497</v>
      </c>
      <c r="B29" s="70">
        <v>34511</v>
      </c>
      <c r="C29" s="71">
        <v>33101</v>
      </c>
      <c r="D29" s="72" t="s">
        <v>384</v>
      </c>
      <c r="E29" s="73" t="s">
        <v>21</v>
      </c>
      <c r="F29" s="73" t="s">
        <v>385</v>
      </c>
      <c r="G29" s="73" t="s">
        <v>386</v>
      </c>
      <c r="H29" s="74" t="s">
        <v>349</v>
      </c>
      <c r="I29" s="75">
        <v>71.95</v>
      </c>
      <c r="J29" s="76"/>
      <c r="K29" s="77">
        <v>82.4</v>
      </c>
      <c r="L29" s="77"/>
      <c r="M29" s="70">
        <v>34617</v>
      </c>
      <c r="N29" s="78">
        <v>37538</v>
      </c>
    </row>
    <row r="30" spans="1:20" s="66" customFormat="1" ht="18.75" customHeight="1" x14ac:dyDescent="0.2">
      <c r="A30" s="79"/>
      <c r="B30" s="79"/>
      <c r="C30" s="80"/>
      <c r="E30" s="86"/>
      <c r="G30" s="66" t="s">
        <v>353</v>
      </c>
      <c r="H30" s="82"/>
      <c r="I30" s="87"/>
      <c r="J30" s="84"/>
      <c r="K30" s="85"/>
      <c r="R30" s="72"/>
    </row>
    <row r="31" spans="1:20" s="72" customFormat="1" ht="18.75" customHeight="1" x14ac:dyDescent="0.2">
      <c r="A31" s="70">
        <v>34497</v>
      </c>
      <c r="B31" s="70">
        <v>34511</v>
      </c>
      <c r="C31" s="71">
        <v>33104</v>
      </c>
      <c r="D31" s="72" t="s">
        <v>387</v>
      </c>
      <c r="E31" s="73" t="s">
        <v>19</v>
      </c>
      <c r="F31" s="73" t="s">
        <v>388</v>
      </c>
      <c r="G31" s="73" t="s">
        <v>389</v>
      </c>
      <c r="H31" s="74" t="s">
        <v>349</v>
      </c>
      <c r="I31" s="75">
        <v>79.44</v>
      </c>
      <c r="J31" s="76"/>
      <c r="K31" s="77">
        <v>82.9</v>
      </c>
      <c r="L31" s="77"/>
      <c r="M31" s="70">
        <v>34606</v>
      </c>
      <c r="N31" s="78">
        <v>37346</v>
      </c>
    </row>
    <row r="32" spans="1:20" s="66" customFormat="1" ht="18.75" customHeight="1" x14ac:dyDescent="0.2">
      <c r="A32" s="79"/>
      <c r="B32" s="79"/>
      <c r="C32" s="80"/>
      <c r="E32" s="86"/>
      <c r="G32" s="66" t="s">
        <v>353</v>
      </c>
      <c r="H32" s="82"/>
      <c r="I32" s="87"/>
      <c r="J32" s="84"/>
      <c r="K32" s="85"/>
      <c r="R32" s="72"/>
    </row>
    <row r="33" spans="1:18" s="72" customFormat="1" ht="18.75" customHeight="1" x14ac:dyDescent="0.2">
      <c r="A33" s="70">
        <v>34497</v>
      </c>
      <c r="B33" s="70">
        <v>34511</v>
      </c>
      <c r="C33" s="71">
        <v>33201</v>
      </c>
      <c r="D33" s="72" t="s">
        <v>390</v>
      </c>
      <c r="E33" s="73" t="s">
        <v>19</v>
      </c>
      <c r="F33" s="73" t="s">
        <v>391</v>
      </c>
      <c r="G33" s="73" t="s">
        <v>392</v>
      </c>
      <c r="H33" s="74" t="s">
        <v>349</v>
      </c>
      <c r="I33" s="75">
        <v>69.709999999999994</v>
      </c>
      <c r="J33" s="76"/>
      <c r="K33" s="77">
        <v>81.900000000000006</v>
      </c>
      <c r="L33" s="77"/>
      <c r="M33" s="70">
        <v>34609</v>
      </c>
      <c r="N33" s="78">
        <v>35795</v>
      </c>
    </row>
    <row r="34" spans="1:18" s="66" customFormat="1" ht="18.75" customHeight="1" x14ac:dyDescent="0.2">
      <c r="A34" s="79"/>
      <c r="B34" s="79"/>
      <c r="C34" s="80"/>
      <c r="E34" s="81" t="s">
        <v>21</v>
      </c>
      <c r="F34" s="81" t="s">
        <v>393</v>
      </c>
      <c r="G34" s="81" t="s">
        <v>394</v>
      </c>
      <c r="H34" s="82" t="s">
        <v>349</v>
      </c>
      <c r="I34" s="83">
        <v>30.29</v>
      </c>
      <c r="J34" s="84"/>
      <c r="K34" s="85"/>
      <c r="R34" s="72"/>
    </row>
    <row r="35" spans="1:18" s="66" customFormat="1" ht="18.75" customHeight="1" x14ac:dyDescent="0.2">
      <c r="A35" s="79"/>
      <c r="B35" s="79"/>
      <c r="C35" s="80"/>
      <c r="E35" s="86"/>
      <c r="G35" s="66" t="s">
        <v>353</v>
      </c>
      <c r="H35" s="82"/>
      <c r="I35" s="87"/>
      <c r="J35" s="84"/>
      <c r="K35" s="85"/>
      <c r="R35" s="72"/>
    </row>
    <row r="36" spans="1:18" s="72" customFormat="1" ht="18.75" customHeight="1" x14ac:dyDescent="0.2">
      <c r="A36" s="70">
        <v>34497</v>
      </c>
      <c r="B36" s="70">
        <v>34511</v>
      </c>
      <c r="C36" s="71">
        <v>33508</v>
      </c>
      <c r="D36" s="72" t="s">
        <v>395</v>
      </c>
      <c r="E36" s="73" t="s">
        <v>19</v>
      </c>
      <c r="F36" s="73" t="s">
        <v>396</v>
      </c>
      <c r="G36" s="73" t="s">
        <v>397</v>
      </c>
      <c r="H36" s="74" t="s">
        <v>349</v>
      </c>
      <c r="I36" s="75">
        <v>73.62</v>
      </c>
      <c r="J36" s="76"/>
      <c r="K36" s="76">
        <v>78</v>
      </c>
      <c r="L36" s="76"/>
      <c r="M36" s="70">
        <v>34520</v>
      </c>
      <c r="N36" s="78">
        <v>36433</v>
      </c>
    </row>
    <row r="37" spans="1:18" s="66" customFormat="1" ht="18.75" customHeight="1" x14ac:dyDescent="0.2">
      <c r="A37" s="79"/>
      <c r="B37" s="79"/>
      <c r="C37" s="80"/>
      <c r="E37" s="81" t="s">
        <v>21</v>
      </c>
      <c r="F37" s="81" t="s">
        <v>398</v>
      </c>
      <c r="G37" s="81" t="s">
        <v>389</v>
      </c>
      <c r="H37" s="82" t="s">
        <v>349</v>
      </c>
      <c r="I37" s="83">
        <v>26.38</v>
      </c>
      <c r="J37" s="84"/>
      <c r="K37" s="85"/>
      <c r="R37" s="72"/>
    </row>
    <row r="38" spans="1:18" s="66" customFormat="1" ht="18.75" customHeight="1" x14ac:dyDescent="0.2">
      <c r="A38" s="79"/>
      <c r="B38" s="79"/>
      <c r="C38" s="80"/>
      <c r="E38" s="86"/>
      <c r="G38" s="66" t="s">
        <v>353</v>
      </c>
      <c r="H38" s="82"/>
      <c r="I38" s="87"/>
      <c r="J38" s="84"/>
      <c r="K38" s="85"/>
      <c r="R38" s="72"/>
    </row>
    <row r="39" spans="1:18" s="72" customFormat="1" ht="18.75" customHeight="1" x14ac:dyDescent="0.2">
      <c r="A39" s="70">
        <v>34497</v>
      </c>
      <c r="B39" s="70">
        <v>34511</v>
      </c>
      <c r="C39" s="71">
        <v>33607</v>
      </c>
      <c r="D39" s="72" t="s">
        <v>399</v>
      </c>
      <c r="E39" s="73" t="s">
        <v>21</v>
      </c>
      <c r="F39" s="73" t="s">
        <v>400</v>
      </c>
      <c r="G39" s="73" t="s">
        <v>379</v>
      </c>
      <c r="H39" s="74" t="s">
        <v>349</v>
      </c>
      <c r="I39" s="75">
        <v>51.26</v>
      </c>
      <c r="J39" s="76"/>
      <c r="K39" s="77">
        <v>80.8</v>
      </c>
      <c r="L39" s="77"/>
      <c r="M39" s="70">
        <v>34611</v>
      </c>
      <c r="N39" s="78">
        <v>37532</v>
      </c>
    </row>
    <row r="40" spans="1:18" s="66" customFormat="1" ht="18.75" customHeight="1" x14ac:dyDescent="0.2">
      <c r="A40" s="79"/>
      <c r="B40" s="79"/>
      <c r="C40" s="80"/>
      <c r="E40" s="81" t="s">
        <v>55</v>
      </c>
      <c r="F40" s="81" t="s">
        <v>401</v>
      </c>
      <c r="G40" s="81" t="s">
        <v>353</v>
      </c>
      <c r="H40" s="82"/>
      <c r="I40" s="83">
        <v>48.74</v>
      </c>
      <c r="J40" s="84"/>
      <c r="K40" s="85"/>
      <c r="R40" s="72"/>
    </row>
    <row r="41" spans="1:18" s="66" customFormat="1" ht="18.75" customHeight="1" x14ac:dyDescent="0.2">
      <c r="A41" s="79"/>
      <c r="B41" s="79"/>
      <c r="C41" s="80"/>
      <c r="E41" s="86"/>
      <c r="G41" s="66" t="s">
        <v>353</v>
      </c>
      <c r="H41" s="82"/>
      <c r="I41" s="87"/>
      <c r="J41" s="84"/>
      <c r="K41" s="85"/>
      <c r="R41" s="72"/>
    </row>
    <row r="42" spans="1:18" s="72" customFormat="1" ht="18.75" customHeight="1" x14ac:dyDescent="0.2">
      <c r="A42" s="70">
        <v>34497</v>
      </c>
      <c r="B42" s="70">
        <v>34511</v>
      </c>
      <c r="C42" s="71">
        <v>33703</v>
      </c>
      <c r="D42" s="72" t="s">
        <v>402</v>
      </c>
      <c r="E42" s="73" t="s">
        <v>19</v>
      </c>
      <c r="F42" s="73" t="s">
        <v>403</v>
      </c>
      <c r="G42" s="73" t="s">
        <v>404</v>
      </c>
      <c r="H42" s="74" t="s">
        <v>349</v>
      </c>
      <c r="I42" s="75">
        <v>43.83</v>
      </c>
      <c r="J42" s="88">
        <v>62.09</v>
      </c>
      <c r="K42" s="77">
        <v>81.5</v>
      </c>
      <c r="L42" s="77">
        <v>56.1</v>
      </c>
      <c r="M42" s="70">
        <v>34557</v>
      </c>
      <c r="N42" s="78">
        <v>37478</v>
      </c>
    </row>
    <row r="43" spans="1:18" s="66" customFormat="1" ht="18.75" customHeight="1" x14ac:dyDescent="0.2">
      <c r="A43" s="79"/>
      <c r="B43" s="79"/>
      <c r="C43" s="80"/>
      <c r="E43" s="81" t="s">
        <v>21</v>
      </c>
      <c r="F43" s="81" t="s">
        <v>405</v>
      </c>
      <c r="G43" s="81" t="s">
        <v>383</v>
      </c>
      <c r="H43" s="82" t="s">
        <v>349</v>
      </c>
      <c r="I43" s="83">
        <v>34.24</v>
      </c>
      <c r="J43" s="90">
        <v>37.909999999999997</v>
      </c>
      <c r="K43" s="85"/>
      <c r="R43" s="72"/>
    </row>
    <row r="44" spans="1:18" s="66" customFormat="1" ht="18.75" customHeight="1" x14ac:dyDescent="0.2">
      <c r="A44" s="79"/>
      <c r="B44" s="79"/>
      <c r="C44" s="80"/>
      <c r="E44" s="81" t="s">
        <v>55</v>
      </c>
      <c r="F44" s="81" t="s">
        <v>406</v>
      </c>
      <c r="G44" s="81" t="s">
        <v>407</v>
      </c>
      <c r="H44" s="82" t="s">
        <v>349</v>
      </c>
      <c r="I44" s="83">
        <v>21.93</v>
      </c>
      <c r="J44" s="84"/>
      <c r="K44" s="85"/>
      <c r="R44" s="72"/>
    </row>
    <row r="45" spans="1:18" s="66" customFormat="1" ht="18.75" customHeight="1" x14ac:dyDescent="0.2">
      <c r="A45" s="79"/>
      <c r="B45" s="79"/>
      <c r="C45" s="80"/>
      <c r="E45" s="86"/>
      <c r="G45" s="66" t="s">
        <v>353</v>
      </c>
      <c r="H45" s="82"/>
      <c r="I45" s="87"/>
      <c r="J45" s="84"/>
      <c r="K45" s="85"/>
      <c r="R45" s="72"/>
    </row>
    <row r="46" spans="1:18" s="72" customFormat="1" ht="18.75" customHeight="1" x14ac:dyDescent="0.2">
      <c r="A46" s="70">
        <v>34497</v>
      </c>
      <c r="B46" s="70">
        <v>34511</v>
      </c>
      <c r="C46" s="71">
        <v>33707</v>
      </c>
      <c r="D46" s="72" t="s">
        <v>408</v>
      </c>
      <c r="E46" s="73" t="s">
        <v>19</v>
      </c>
      <c r="F46" s="73" t="s">
        <v>409</v>
      </c>
      <c r="G46" s="73" t="s">
        <v>360</v>
      </c>
      <c r="H46" s="74" t="s">
        <v>349</v>
      </c>
      <c r="I46" s="75">
        <v>59.81</v>
      </c>
      <c r="J46" s="76"/>
      <c r="K46" s="77">
        <v>81.8</v>
      </c>
      <c r="L46" s="77"/>
      <c r="M46" s="70">
        <v>34516</v>
      </c>
      <c r="N46" s="78">
        <v>37437</v>
      </c>
    </row>
    <row r="47" spans="1:18" s="66" customFormat="1" ht="18.75" customHeight="1" x14ac:dyDescent="0.2">
      <c r="A47" s="79"/>
      <c r="B47" s="79"/>
      <c r="C47" s="80"/>
      <c r="E47" s="81" t="s">
        <v>21</v>
      </c>
      <c r="F47" s="81" t="s">
        <v>410</v>
      </c>
      <c r="G47" s="81" t="s">
        <v>360</v>
      </c>
      <c r="H47" s="82" t="s">
        <v>349</v>
      </c>
      <c r="I47" s="83">
        <v>33.94</v>
      </c>
      <c r="J47" s="84"/>
      <c r="K47" s="85"/>
      <c r="R47" s="72"/>
    </row>
    <row r="48" spans="1:18" s="66" customFormat="1" ht="18.75" customHeight="1" x14ac:dyDescent="0.2">
      <c r="A48" s="79"/>
      <c r="B48" s="79"/>
      <c r="C48" s="80"/>
      <c r="E48" s="81" t="s">
        <v>55</v>
      </c>
      <c r="F48" s="81" t="s">
        <v>411</v>
      </c>
      <c r="G48" s="81" t="s">
        <v>360</v>
      </c>
      <c r="H48" s="82" t="s">
        <v>349</v>
      </c>
      <c r="I48" s="83">
        <v>6.25</v>
      </c>
      <c r="J48" s="84"/>
      <c r="K48" s="85"/>
      <c r="R48" s="72"/>
    </row>
    <row r="49" spans="1:20" s="66" customFormat="1" ht="18.75" customHeight="1" x14ac:dyDescent="0.2">
      <c r="A49" s="79"/>
      <c r="B49" s="79"/>
      <c r="C49" s="80"/>
      <c r="E49" s="81"/>
      <c r="F49" s="81"/>
      <c r="G49" s="81" t="s">
        <v>353</v>
      </c>
      <c r="H49" s="82"/>
      <c r="I49" s="83"/>
      <c r="J49" s="84"/>
      <c r="K49" s="85"/>
      <c r="R49" s="72"/>
    </row>
    <row r="50" spans="1:20" s="72" customFormat="1" ht="18.75" customHeight="1" x14ac:dyDescent="0.2">
      <c r="A50" s="70">
        <v>34497</v>
      </c>
      <c r="B50" s="70">
        <v>34511</v>
      </c>
      <c r="C50" s="71">
        <v>33801</v>
      </c>
      <c r="D50" s="72" t="s">
        <v>412</v>
      </c>
      <c r="E50" s="73" t="s">
        <v>413</v>
      </c>
      <c r="F50" s="73" t="s">
        <v>413</v>
      </c>
      <c r="G50" s="73" t="s">
        <v>414</v>
      </c>
      <c r="H50" s="74" t="s">
        <v>349</v>
      </c>
      <c r="I50" s="75">
        <v>46.23</v>
      </c>
      <c r="J50" s="88">
        <v>56.79</v>
      </c>
      <c r="K50" s="77">
        <v>79.599999999999994</v>
      </c>
      <c r="L50" s="77">
        <v>55.6</v>
      </c>
      <c r="M50" s="70">
        <v>34731</v>
      </c>
      <c r="N50" s="89">
        <v>37560</v>
      </c>
    </row>
    <row r="51" spans="1:20" s="66" customFormat="1" ht="18.75" customHeight="1" x14ac:dyDescent="0.2">
      <c r="A51" s="79"/>
      <c r="B51" s="79"/>
      <c r="C51" s="80"/>
      <c r="E51" s="81" t="s">
        <v>21</v>
      </c>
      <c r="F51" s="81" t="s">
        <v>415</v>
      </c>
      <c r="G51" s="81" t="s">
        <v>416</v>
      </c>
      <c r="H51" s="82" t="s">
        <v>349</v>
      </c>
      <c r="I51" s="83">
        <v>34.479999999999997</v>
      </c>
      <c r="J51" s="90">
        <v>43.21</v>
      </c>
      <c r="K51" s="91"/>
      <c r="R51" s="72"/>
    </row>
    <row r="52" spans="1:20" s="66" customFormat="1" ht="18.75" customHeight="1" x14ac:dyDescent="0.2">
      <c r="A52" s="79"/>
      <c r="B52" s="79"/>
      <c r="C52" s="80"/>
      <c r="E52" s="81" t="s">
        <v>38</v>
      </c>
      <c r="F52" s="81" t="s">
        <v>417</v>
      </c>
      <c r="G52" s="81" t="s">
        <v>418</v>
      </c>
      <c r="H52" s="82" t="s">
        <v>419</v>
      </c>
      <c r="I52" s="83">
        <v>14.09</v>
      </c>
      <c r="J52" s="84"/>
      <c r="K52" s="91"/>
      <c r="R52" s="72"/>
    </row>
    <row r="53" spans="1:20" s="66" customFormat="1" ht="18.75" customHeight="1" x14ac:dyDescent="0.2">
      <c r="A53" s="79"/>
      <c r="B53" s="79"/>
      <c r="C53" s="80"/>
      <c r="E53" s="81" t="s">
        <v>420</v>
      </c>
      <c r="F53" s="81" t="s">
        <v>420</v>
      </c>
      <c r="G53" s="81" t="s">
        <v>374</v>
      </c>
      <c r="H53" s="82" t="s">
        <v>349</v>
      </c>
      <c r="I53" s="83">
        <v>5.21</v>
      </c>
      <c r="J53" s="84"/>
      <c r="K53" s="91"/>
      <c r="R53" s="72"/>
      <c r="T53" s="72"/>
    </row>
    <row r="54" spans="1:20" s="66" customFormat="1" ht="18.75" customHeight="1" x14ac:dyDescent="0.2">
      <c r="A54" s="79"/>
      <c r="B54" s="79"/>
      <c r="C54" s="80"/>
      <c r="E54" s="81"/>
      <c r="F54" s="81"/>
      <c r="G54" s="81" t="s">
        <v>353</v>
      </c>
      <c r="H54" s="82"/>
      <c r="I54" s="83"/>
      <c r="J54" s="84"/>
      <c r="K54" s="91"/>
      <c r="R54" s="72"/>
    </row>
    <row r="55" spans="1:20" s="72" customFormat="1" ht="18.75" customHeight="1" x14ac:dyDescent="0.2">
      <c r="A55" s="70">
        <v>34497</v>
      </c>
      <c r="B55" s="70">
        <v>34511</v>
      </c>
      <c r="C55" s="71">
        <v>33902</v>
      </c>
      <c r="D55" s="72" t="s">
        <v>421</v>
      </c>
      <c r="E55" s="73" t="s">
        <v>19</v>
      </c>
      <c r="F55" s="73" t="s">
        <v>422</v>
      </c>
      <c r="G55" s="73" t="s">
        <v>423</v>
      </c>
      <c r="H55" s="74" t="s">
        <v>349</v>
      </c>
      <c r="I55" s="75">
        <v>57.39</v>
      </c>
      <c r="J55" s="76"/>
      <c r="K55" s="77">
        <v>80.3</v>
      </c>
      <c r="L55" s="77"/>
      <c r="M55" s="70">
        <v>34610</v>
      </c>
      <c r="N55" s="78">
        <v>37531</v>
      </c>
    </row>
    <row r="56" spans="1:20" s="66" customFormat="1" ht="18.75" customHeight="1" x14ac:dyDescent="0.2">
      <c r="A56" s="79"/>
      <c r="B56" s="79"/>
      <c r="C56" s="80"/>
      <c r="E56" s="81" t="s">
        <v>21</v>
      </c>
      <c r="F56" s="81" t="s">
        <v>424</v>
      </c>
      <c r="G56" s="81" t="s">
        <v>353</v>
      </c>
      <c r="H56" s="82"/>
      <c r="I56" s="83">
        <v>42.61</v>
      </c>
      <c r="J56" s="84"/>
      <c r="K56" s="85"/>
      <c r="R56" s="72"/>
    </row>
    <row r="57" spans="1:20" s="66" customFormat="1" ht="18.75" customHeight="1" x14ac:dyDescent="0.2">
      <c r="A57" s="79"/>
      <c r="B57" s="79"/>
      <c r="C57" s="80"/>
      <c r="E57" s="86"/>
      <c r="G57" s="66" t="s">
        <v>353</v>
      </c>
      <c r="H57" s="82"/>
      <c r="I57" s="87"/>
      <c r="J57" s="84"/>
      <c r="K57" s="85"/>
      <c r="R57" s="72"/>
    </row>
    <row r="58" spans="1:20" s="72" customFormat="1" ht="18.75" customHeight="1" x14ac:dyDescent="0.2">
      <c r="A58" s="70">
        <v>34497</v>
      </c>
      <c r="B58" s="70">
        <v>34511</v>
      </c>
      <c r="C58" s="71">
        <v>33906</v>
      </c>
      <c r="D58" s="72" t="s">
        <v>425</v>
      </c>
      <c r="E58" s="73" t="s">
        <v>21</v>
      </c>
      <c r="F58" s="73" t="s">
        <v>426</v>
      </c>
      <c r="G58" s="73" t="s">
        <v>427</v>
      </c>
      <c r="H58" s="74" t="s">
        <v>349</v>
      </c>
      <c r="I58" s="75">
        <v>41.12</v>
      </c>
      <c r="J58" s="88">
        <v>53.84</v>
      </c>
      <c r="K58" s="77">
        <v>78.2</v>
      </c>
      <c r="L58" s="77">
        <v>55.1</v>
      </c>
      <c r="M58" s="70">
        <v>34557</v>
      </c>
      <c r="N58" s="78">
        <v>37478</v>
      </c>
    </row>
    <row r="59" spans="1:20" s="66" customFormat="1" ht="18.75" customHeight="1" x14ac:dyDescent="0.2">
      <c r="A59" s="79"/>
      <c r="B59" s="79"/>
      <c r="C59" s="80"/>
      <c r="E59" s="81" t="s">
        <v>19</v>
      </c>
      <c r="F59" s="81" t="s">
        <v>428</v>
      </c>
      <c r="G59" s="81" t="s">
        <v>353</v>
      </c>
      <c r="H59" s="82"/>
      <c r="I59" s="83">
        <v>38.75</v>
      </c>
      <c r="J59" s="90">
        <v>46.16</v>
      </c>
      <c r="K59" s="85"/>
      <c r="R59" s="72"/>
    </row>
    <row r="60" spans="1:20" s="66" customFormat="1" ht="18.75" customHeight="1" x14ac:dyDescent="0.2">
      <c r="A60" s="79"/>
      <c r="B60" s="79"/>
      <c r="C60" s="80"/>
      <c r="E60" s="81" t="s">
        <v>55</v>
      </c>
      <c r="F60" s="81" t="s">
        <v>429</v>
      </c>
      <c r="G60" s="81" t="s">
        <v>353</v>
      </c>
      <c r="H60" s="82"/>
      <c r="I60" s="83">
        <v>17.25</v>
      </c>
      <c r="J60" s="84"/>
      <c r="K60" s="85"/>
      <c r="R60" s="72"/>
    </row>
    <row r="61" spans="1:20" s="66" customFormat="1" ht="18.75" customHeight="1" x14ac:dyDescent="0.2">
      <c r="A61" s="79"/>
      <c r="B61" s="79"/>
      <c r="C61" s="80"/>
      <c r="E61" s="81" t="s">
        <v>38</v>
      </c>
      <c r="F61" s="81" t="s">
        <v>430</v>
      </c>
      <c r="G61" s="81" t="s">
        <v>353</v>
      </c>
      <c r="H61" s="82"/>
      <c r="I61" s="83">
        <v>2.88</v>
      </c>
      <c r="J61" s="84"/>
      <c r="K61" s="85"/>
      <c r="R61" s="72"/>
    </row>
    <row r="62" spans="1:20" s="66" customFormat="1" ht="18.75" customHeight="1" x14ac:dyDescent="0.2">
      <c r="A62" s="79"/>
      <c r="B62" s="79"/>
      <c r="C62" s="80"/>
      <c r="E62" s="81"/>
      <c r="F62" s="81"/>
      <c r="G62" s="81" t="s">
        <v>353</v>
      </c>
      <c r="H62" s="82"/>
      <c r="I62" s="83"/>
      <c r="J62" s="84"/>
      <c r="K62" s="85"/>
      <c r="R62" s="72"/>
    </row>
    <row r="63" spans="1:20" s="72" customFormat="1" ht="18.75" customHeight="1" x14ac:dyDescent="0.2">
      <c r="A63" s="70">
        <v>34497</v>
      </c>
      <c r="B63" s="70">
        <v>34511</v>
      </c>
      <c r="C63" s="71">
        <v>33907</v>
      </c>
      <c r="D63" s="72" t="s">
        <v>431</v>
      </c>
      <c r="E63" s="73" t="s">
        <v>21</v>
      </c>
      <c r="F63" s="73" t="s">
        <v>432</v>
      </c>
      <c r="G63" s="73" t="s">
        <v>358</v>
      </c>
      <c r="H63" s="74" t="s">
        <v>349</v>
      </c>
      <c r="I63" s="75">
        <v>52.21</v>
      </c>
      <c r="J63" s="76"/>
      <c r="K63" s="76">
        <v>79.900000000000006</v>
      </c>
      <c r="L63" s="76"/>
      <c r="M63" s="70">
        <v>34569</v>
      </c>
      <c r="N63" s="78">
        <v>37490</v>
      </c>
    </row>
    <row r="64" spans="1:20" s="66" customFormat="1" ht="18.75" customHeight="1" x14ac:dyDescent="0.2">
      <c r="A64" s="79"/>
      <c r="B64" s="79"/>
      <c r="C64" s="80"/>
      <c r="E64" s="81" t="s">
        <v>19</v>
      </c>
      <c r="F64" s="81" t="s">
        <v>291</v>
      </c>
      <c r="G64" s="81" t="s">
        <v>433</v>
      </c>
      <c r="H64" s="82" t="s">
        <v>349</v>
      </c>
      <c r="I64" s="83">
        <v>47.79</v>
      </c>
      <c r="J64" s="84"/>
      <c r="K64" s="85"/>
      <c r="R64" s="72"/>
    </row>
    <row r="65" spans="1:20" s="66" customFormat="1" ht="18.75" customHeight="1" x14ac:dyDescent="0.2">
      <c r="A65" s="79"/>
      <c r="B65" s="79"/>
      <c r="C65" s="80"/>
      <c r="E65" s="86"/>
      <c r="G65" s="66" t="s">
        <v>353</v>
      </c>
      <c r="H65" s="82"/>
      <c r="I65" s="87"/>
      <c r="J65" s="84"/>
      <c r="K65" s="85"/>
      <c r="R65" s="72"/>
    </row>
    <row r="66" spans="1:20" s="72" customFormat="1" ht="18.75" customHeight="1" x14ac:dyDescent="0.2">
      <c r="A66" s="70">
        <v>34497</v>
      </c>
      <c r="B66" s="70">
        <v>34511</v>
      </c>
      <c r="C66" s="71">
        <v>33908</v>
      </c>
      <c r="D66" s="72" t="s">
        <v>434</v>
      </c>
      <c r="E66" s="73" t="s">
        <v>21</v>
      </c>
      <c r="F66" s="73" t="s">
        <v>435</v>
      </c>
      <c r="G66" s="73" t="s">
        <v>436</v>
      </c>
      <c r="H66" s="74" t="s">
        <v>349</v>
      </c>
      <c r="I66" s="75">
        <v>75.28</v>
      </c>
      <c r="J66" s="76"/>
      <c r="K66" s="77">
        <v>79.599999999999994</v>
      </c>
      <c r="L66" s="77"/>
      <c r="M66" s="70">
        <v>34564</v>
      </c>
      <c r="N66" s="78">
        <v>37485</v>
      </c>
    </row>
    <row r="67" spans="1:20" s="66" customFormat="1" ht="18.75" customHeight="1" x14ac:dyDescent="0.2">
      <c r="A67" s="79"/>
      <c r="B67" s="79"/>
      <c r="C67" s="80"/>
      <c r="E67" s="81" t="s">
        <v>19</v>
      </c>
      <c r="F67" s="81" t="s">
        <v>437</v>
      </c>
      <c r="G67" s="81" t="s">
        <v>353</v>
      </c>
      <c r="H67" s="82"/>
      <c r="I67" s="83">
        <v>24.72</v>
      </c>
      <c r="J67" s="84"/>
      <c r="K67" s="85"/>
      <c r="R67" s="72"/>
    </row>
    <row r="68" spans="1:20" s="66" customFormat="1" ht="18.75" customHeight="1" x14ac:dyDescent="0.2">
      <c r="A68" s="79"/>
      <c r="B68" s="79"/>
      <c r="C68" s="80"/>
      <c r="E68" s="86"/>
      <c r="G68" s="66" t="s">
        <v>353</v>
      </c>
      <c r="H68" s="82"/>
      <c r="I68" s="87"/>
      <c r="J68" s="84"/>
      <c r="K68" s="85"/>
      <c r="R68" s="72"/>
    </row>
    <row r="69" spans="1:20" s="72" customFormat="1" ht="18.75" customHeight="1" x14ac:dyDescent="0.2">
      <c r="A69" s="70">
        <v>34497</v>
      </c>
      <c r="B69" s="70">
        <v>34511</v>
      </c>
      <c r="C69" s="71">
        <v>34003</v>
      </c>
      <c r="D69" s="72" t="s">
        <v>438</v>
      </c>
      <c r="E69" s="73" t="s">
        <v>19</v>
      </c>
      <c r="F69" s="73" t="s">
        <v>439</v>
      </c>
      <c r="G69" s="73" t="s">
        <v>440</v>
      </c>
      <c r="H69" s="74" t="s">
        <v>349</v>
      </c>
      <c r="I69" s="75">
        <v>41.85</v>
      </c>
      <c r="J69" s="88">
        <v>51.18</v>
      </c>
      <c r="K69" s="77">
        <v>80.8</v>
      </c>
      <c r="L69" s="77">
        <v>62.1</v>
      </c>
      <c r="M69" s="70">
        <v>34639</v>
      </c>
      <c r="N69" s="78">
        <v>36433</v>
      </c>
    </row>
    <row r="70" spans="1:20" s="66" customFormat="1" ht="18.75" customHeight="1" x14ac:dyDescent="0.2">
      <c r="A70" s="79"/>
      <c r="B70" s="79"/>
      <c r="C70" s="80"/>
      <c r="E70" s="81" t="s">
        <v>21</v>
      </c>
      <c r="F70" s="81" t="s">
        <v>441</v>
      </c>
      <c r="G70" s="81" t="s">
        <v>442</v>
      </c>
      <c r="H70" s="82" t="s">
        <v>349</v>
      </c>
      <c r="I70" s="83">
        <v>43.26</v>
      </c>
      <c r="J70" s="90">
        <v>48.82</v>
      </c>
      <c r="K70" s="85"/>
      <c r="R70" s="72"/>
    </row>
    <row r="71" spans="1:20" s="66" customFormat="1" ht="18.75" customHeight="1" x14ac:dyDescent="0.2">
      <c r="A71" s="79"/>
      <c r="B71" s="79"/>
      <c r="C71" s="80"/>
      <c r="E71" s="81" t="s">
        <v>55</v>
      </c>
      <c r="F71" s="81" t="s">
        <v>443</v>
      </c>
      <c r="G71" s="81" t="s">
        <v>444</v>
      </c>
      <c r="H71" s="82" t="s">
        <v>349</v>
      </c>
      <c r="I71" s="83">
        <v>14.89</v>
      </c>
      <c r="J71" s="84"/>
      <c r="K71" s="85"/>
      <c r="R71" s="72"/>
    </row>
    <row r="72" spans="1:20" s="66" customFormat="1" ht="18.75" customHeight="1" x14ac:dyDescent="0.2">
      <c r="A72" s="79"/>
      <c r="B72" s="79"/>
      <c r="C72" s="80"/>
      <c r="E72" s="81"/>
      <c r="F72" s="81"/>
      <c r="G72" s="81" t="s">
        <v>353</v>
      </c>
      <c r="H72" s="82"/>
      <c r="I72" s="83"/>
      <c r="J72" s="84"/>
      <c r="K72" s="85"/>
      <c r="R72" s="72"/>
    </row>
    <row r="73" spans="1:20" s="72" customFormat="1" ht="18.75" customHeight="1" x14ac:dyDescent="0.2">
      <c r="A73" s="70">
        <v>34623</v>
      </c>
      <c r="B73" s="70">
        <v>34644</v>
      </c>
      <c r="C73" s="71">
        <v>13701</v>
      </c>
      <c r="D73" s="72" t="s">
        <v>445</v>
      </c>
      <c r="E73" s="73" t="s">
        <v>21</v>
      </c>
      <c r="F73" s="73" t="s">
        <v>446</v>
      </c>
      <c r="G73" s="73" t="s">
        <v>447</v>
      </c>
      <c r="H73" s="74" t="s">
        <v>349</v>
      </c>
      <c r="I73" s="75">
        <v>53.17</v>
      </c>
      <c r="J73" s="76"/>
      <c r="K73" s="77">
        <v>79.7</v>
      </c>
      <c r="L73" s="77"/>
      <c r="M73" s="70">
        <v>34847</v>
      </c>
      <c r="N73" s="89">
        <v>37680</v>
      </c>
    </row>
    <row r="74" spans="1:20" s="66" customFormat="1" ht="18.75" customHeight="1" x14ac:dyDescent="0.2">
      <c r="A74" s="79"/>
      <c r="B74" s="79"/>
      <c r="C74" s="80"/>
      <c r="E74" s="81" t="s">
        <v>19</v>
      </c>
      <c r="F74" s="81" t="s">
        <v>448</v>
      </c>
      <c r="G74" s="81" t="s">
        <v>449</v>
      </c>
      <c r="H74" s="82" t="s">
        <v>419</v>
      </c>
      <c r="I74" s="83">
        <v>39.35</v>
      </c>
      <c r="J74" s="84"/>
      <c r="K74" s="91"/>
      <c r="R74" s="72"/>
    </row>
    <row r="75" spans="1:20" s="66" customFormat="1" ht="18.75" customHeight="1" x14ac:dyDescent="0.2">
      <c r="A75" s="79"/>
      <c r="B75" s="79"/>
      <c r="C75" s="80"/>
      <c r="E75" s="81" t="s">
        <v>450</v>
      </c>
      <c r="F75" s="81" t="s">
        <v>450</v>
      </c>
      <c r="G75" s="81" t="s">
        <v>451</v>
      </c>
      <c r="H75" s="82" t="s">
        <v>349</v>
      </c>
      <c r="I75" s="83">
        <v>7.48</v>
      </c>
      <c r="J75" s="84"/>
      <c r="K75" s="91"/>
      <c r="R75" s="72"/>
      <c r="T75" s="72"/>
    </row>
    <row r="76" spans="1:20" s="66" customFormat="1" ht="18.75" customHeight="1" x14ac:dyDescent="0.2">
      <c r="A76" s="79"/>
      <c r="B76" s="79"/>
      <c r="C76" s="80"/>
      <c r="E76" s="81"/>
      <c r="F76" s="81"/>
      <c r="G76" s="81" t="s">
        <v>353</v>
      </c>
      <c r="H76" s="82"/>
      <c r="I76" s="83"/>
      <c r="J76" s="84"/>
      <c r="K76" s="91"/>
      <c r="R76" s="72"/>
    </row>
    <row r="77" spans="1:20" s="72" customFormat="1" ht="18.75" customHeight="1" x14ac:dyDescent="0.2">
      <c r="A77" s="70">
        <v>34623</v>
      </c>
      <c r="B77" s="70">
        <v>34644</v>
      </c>
      <c r="C77" s="71">
        <v>14005</v>
      </c>
      <c r="D77" s="72" t="s">
        <v>452</v>
      </c>
      <c r="E77" s="73" t="s">
        <v>19</v>
      </c>
      <c r="F77" s="73" t="s">
        <v>453</v>
      </c>
      <c r="G77" s="73" t="s">
        <v>376</v>
      </c>
      <c r="H77" s="74" t="s">
        <v>349</v>
      </c>
      <c r="I77" s="75">
        <v>59</v>
      </c>
      <c r="J77" s="76"/>
      <c r="K77" s="77">
        <v>85.9</v>
      </c>
      <c r="L77" s="77"/>
      <c r="M77" s="70">
        <v>34826</v>
      </c>
      <c r="N77" s="89">
        <v>37747</v>
      </c>
    </row>
    <row r="78" spans="1:20" s="66" customFormat="1" ht="18.75" customHeight="1" x14ac:dyDescent="0.2">
      <c r="A78" s="79"/>
      <c r="B78" s="79"/>
      <c r="C78" s="80"/>
      <c r="E78" s="81" t="s">
        <v>21</v>
      </c>
      <c r="F78" s="81" t="s">
        <v>454</v>
      </c>
      <c r="G78" s="81" t="s">
        <v>455</v>
      </c>
      <c r="H78" s="82" t="s">
        <v>349</v>
      </c>
      <c r="I78" s="83">
        <v>41</v>
      </c>
      <c r="J78" s="84"/>
      <c r="K78" s="91"/>
      <c r="R78" s="72"/>
    </row>
    <row r="79" spans="1:20" s="66" customFormat="1" ht="18.75" customHeight="1" x14ac:dyDescent="0.2">
      <c r="A79" s="79"/>
      <c r="B79" s="79"/>
      <c r="C79" s="80"/>
      <c r="G79" s="66" t="s">
        <v>353</v>
      </c>
      <c r="H79" s="82"/>
      <c r="I79" s="87"/>
      <c r="J79" s="84"/>
      <c r="K79" s="91"/>
      <c r="R79" s="72"/>
    </row>
    <row r="80" spans="1:20" s="72" customFormat="1" ht="18.75" customHeight="1" x14ac:dyDescent="0.2">
      <c r="A80" s="70">
        <v>34763</v>
      </c>
      <c r="B80" s="70">
        <v>34777</v>
      </c>
      <c r="C80" s="71">
        <v>13305</v>
      </c>
      <c r="D80" s="72" t="s">
        <v>356</v>
      </c>
      <c r="E80" s="73" t="s">
        <v>347</v>
      </c>
      <c r="F80" s="73" t="s">
        <v>347</v>
      </c>
      <c r="G80" s="73" t="s">
        <v>361</v>
      </c>
      <c r="H80" s="74" t="s">
        <v>349</v>
      </c>
      <c r="I80" s="75">
        <v>58.6</v>
      </c>
      <c r="J80" s="76"/>
      <c r="K80" s="77">
        <v>63.2</v>
      </c>
      <c r="L80" s="77"/>
      <c r="M80" s="70">
        <v>34773</v>
      </c>
      <c r="N80" s="89">
        <v>37694</v>
      </c>
      <c r="O80" s="73" t="s">
        <v>357</v>
      </c>
      <c r="P80" s="73" t="s">
        <v>357</v>
      </c>
      <c r="Q80" s="73" t="s">
        <v>358</v>
      </c>
      <c r="R80" s="72" t="s">
        <v>349</v>
      </c>
    </row>
    <row r="81" spans="1:18" s="66" customFormat="1" ht="18.75" customHeight="1" x14ac:dyDescent="0.2">
      <c r="A81" s="79"/>
      <c r="B81" s="79"/>
      <c r="C81" s="80"/>
      <c r="E81" s="81" t="s">
        <v>21</v>
      </c>
      <c r="F81" s="81" t="s">
        <v>456</v>
      </c>
      <c r="G81" s="81" t="s">
        <v>457</v>
      </c>
      <c r="H81" s="82" t="s">
        <v>349</v>
      </c>
      <c r="I81" s="83">
        <v>41.4</v>
      </c>
      <c r="J81" s="84"/>
      <c r="K81" s="91"/>
      <c r="R81" s="72"/>
    </row>
    <row r="82" spans="1:18" s="66" customFormat="1" ht="18.75" customHeight="1" x14ac:dyDescent="0.2">
      <c r="A82" s="79"/>
      <c r="B82" s="79"/>
      <c r="C82" s="80"/>
      <c r="E82" s="81"/>
      <c r="F82" s="81"/>
      <c r="G82" s="81" t="s">
        <v>353</v>
      </c>
      <c r="H82" s="82"/>
      <c r="I82" s="83"/>
      <c r="J82" s="84"/>
      <c r="K82" s="91"/>
      <c r="R82" s="72"/>
    </row>
    <row r="83" spans="1:18" s="72" customFormat="1" ht="18.75" customHeight="1" x14ac:dyDescent="0.2">
      <c r="A83" s="70">
        <v>34763</v>
      </c>
      <c r="B83" s="70">
        <v>34777</v>
      </c>
      <c r="C83" s="71">
        <v>33106</v>
      </c>
      <c r="D83" s="72" t="s">
        <v>458</v>
      </c>
      <c r="E83" s="73" t="s">
        <v>21</v>
      </c>
      <c r="F83" s="73" t="s">
        <v>459</v>
      </c>
      <c r="G83" s="73" t="s">
        <v>423</v>
      </c>
      <c r="H83" s="74" t="s">
        <v>349</v>
      </c>
      <c r="I83" s="75">
        <v>53.12</v>
      </c>
      <c r="J83" s="76"/>
      <c r="K83" s="77">
        <v>51.9</v>
      </c>
      <c r="L83" s="77"/>
      <c r="M83" s="70">
        <v>34881</v>
      </c>
      <c r="N83" s="89">
        <v>37802</v>
      </c>
    </row>
    <row r="84" spans="1:18" s="66" customFormat="1" ht="18.75" customHeight="1" x14ac:dyDescent="0.2">
      <c r="A84" s="79"/>
      <c r="B84" s="79"/>
      <c r="C84" s="80"/>
      <c r="E84" s="81" t="s">
        <v>19</v>
      </c>
      <c r="F84" s="81" t="s">
        <v>460</v>
      </c>
      <c r="G84" s="81" t="s">
        <v>461</v>
      </c>
      <c r="H84" s="82" t="s">
        <v>349</v>
      </c>
      <c r="I84" s="83">
        <v>46.88</v>
      </c>
      <c r="J84" s="84"/>
      <c r="K84" s="91"/>
      <c r="R84" s="72"/>
    </row>
    <row r="85" spans="1:18" s="66" customFormat="1" ht="18.75" customHeight="1" x14ac:dyDescent="0.2">
      <c r="A85" s="79"/>
      <c r="B85" s="79"/>
      <c r="C85" s="80"/>
      <c r="G85" s="66" t="s">
        <v>353</v>
      </c>
      <c r="H85" s="82"/>
      <c r="I85" s="87"/>
      <c r="J85" s="84"/>
      <c r="K85" s="91"/>
      <c r="R85" s="72"/>
    </row>
    <row r="86" spans="1:18" s="72" customFormat="1" ht="18.75" customHeight="1" x14ac:dyDescent="0.2">
      <c r="A86" s="70">
        <v>34770</v>
      </c>
      <c r="B86" s="70">
        <v>34784</v>
      </c>
      <c r="C86" s="71">
        <v>13102</v>
      </c>
      <c r="D86" s="72" t="s">
        <v>462</v>
      </c>
      <c r="E86" s="73" t="s">
        <v>19</v>
      </c>
      <c r="F86" s="73" t="s">
        <v>463</v>
      </c>
      <c r="G86" s="73" t="s">
        <v>464</v>
      </c>
      <c r="H86" s="74" t="s">
        <v>349</v>
      </c>
      <c r="I86" s="75">
        <v>49.11</v>
      </c>
      <c r="J86" s="88">
        <v>63.97</v>
      </c>
      <c r="K86" s="77">
        <v>60.3</v>
      </c>
      <c r="L86" s="77">
        <v>57.1</v>
      </c>
      <c r="M86" s="70">
        <v>34881</v>
      </c>
      <c r="N86" s="89">
        <v>37802</v>
      </c>
    </row>
    <row r="87" spans="1:18" s="66" customFormat="1" ht="18.75" customHeight="1" x14ac:dyDescent="0.2">
      <c r="A87" s="79"/>
      <c r="B87" s="79"/>
      <c r="C87" s="80"/>
      <c r="E87" s="81" t="s">
        <v>21</v>
      </c>
      <c r="F87" s="81" t="s">
        <v>465</v>
      </c>
      <c r="G87" s="81" t="s">
        <v>466</v>
      </c>
      <c r="H87" s="82" t="s">
        <v>349</v>
      </c>
      <c r="I87" s="83">
        <v>27.33</v>
      </c>
      <c r="J87" s="90">
        <v>36.03</v>
      </c>
      <c r="K87" s="91"/>
      <c r="R87" s="72"/>
    </row>
    <row r="88" spans="1:18" s="66" customFormat="1" ht="18.75" customHeight="1" x14ac:dyDescent="0.2">
      <c r="A88" s="79"/>
      <c r="B88" s="79"/>
      <c r="C88" s="80"/>
      <c r="E88" s="81" t="s">
        <v>467</v>
      </c>
      <c r="F88" s="81" t="s">
        <v>468</v>
      </c>
      <c r="G88" s="81" t="s">
        <v>469</v>
      </c>
      <c r="H88" s="82" t="s">
        <v>349</v>
      </c>
      <c r="I88" s="83">
        <v>23.56</v>
      </c>
      <c r="J88" s="84"/>
      <c r="K88" s="91"/>
      <c r="R88" s="72"/>
    </row>
    <row r="89" spans="1:18" s="66" customFormat="1" ht="18.75" customHeight="1" x14ac:dyDescent="0.2">
      <c r="A89" s="79"/>
      <c r="B89" s="79"/>
      <c r="C89" s="80"/>
      <c r="E89" s="81"/>
      <c r="F89" s="81"/>
      <c r="G89" s="81" t="s">
        <v>353</v>
      </c>
      <c r="H89" s="82"/>
      <c r="I89" s="83"/>
      <c r="J89" s="84"/>
      <c r="K89" s="91"/>
      <c r="R89" s="72"/>
    </row>
    <row r="90" spans="1:18" s="72" customFormat="1" ht="18.75" customHeight="1" x14ac:dyDescent="0.2">
      <c r="A90" s="70">
        <v>34826</v>
      </c>
      <c r="B90" s="70">
        <v>34840</v>
      </c>
      <c r="C90" s="71">
        <v>13403</v>
      </c>
      <c r="D90" s="72" t="s">
        <v>470</v>
      </c>
      <c r="E90" s="73" t="s">
        <v>21</v>
      </c>
      <c r="F90" s="73" t="s">
        <v>471</v>
      </c>
      <c r="G90" s="73" t="s">
        <v>358</v>
      </c>
      <c r="H90" s="74" t="s">
        <v>349</v>
      </c>
      <c r="I90" s="75">
        <v>62.7</v>
      </c>
      <c r="J90" s="76"/>
      <c r="K90" s="77">
        <v>44.3</v>
      </c>
      <c r="L90" s="77"/>
      <c r="M90" s="70">
        <v>34850</v>
      </c>
      <c r="N90" s="89">
        <v>37771</v>
      </c>
    </row>
    <row r="91" spans="1:18" s="66" customFormat="1" ht="18.75" customHeight="1" x14ac:dyDescent="0.2">
      <c r="A91" s="79"/>
      <c r="B91" s="79"/>
      <c r="C91" s="80"/>
      <c r="E91" s="81" t="s">
        <v>19</v>
      </c>
      <c r="F91" s="81" t="s">
        <v>347</v>
      </c>
      <c r="G91" s="81" t="s">
        <v>416</v>
      </c>
      <c r="H91" s="82" t="s">
        <v>349</v>
      </c>
      <c r="I91" s="83">
        <v>37.299999999999997</v>
      </c>
      <c r="J91" s="84"/>
      <c r="K91" s="91"/>
      <c r="R91" s="72"/>
    </row>
    <row r="92" spans="1:18" s="66" customFormat="1" ht="18.75" customHeight="1" x14ac:dyDescent="0.2">
      <c r="A92" s="79"/>
      <c r="B92" s="79"/>
      <c r="C92" s="80"/>
      <c r="G92" s="66" t="s">
        <v>353</v>
      </c>
      <c r="H92" s="82"/>
      <c r="I92" s="87"/>
      <c r="J92" s="84"/>
      <c r="K92" s="91"/>
      <c r="R92" s="72"/>
    </row>
    <row r="93" spans="1:18" s="72" customFormat="1" ht="18.75" customHeight="1" x14ac:dyDescent="0.2">
      <c r="A93" s="70">
        <v>34861</v>
      </c>
      <c r="B93" s="70">
        <v>34875</v>
      </c>
      <c r="C93" s="71">
        <v>23303</v>
      </c>
      <c r="D93" s="72" t="s">
        <v>472</v>
      </c>
      <c r="E93" s="92" t="s">
        <v>473</v>
      </c>
      <c r="F93" s="92" t="s">
        <v>473</v>
      </c>
      <c r="G93" s="92" t="s">
        <v>474</v>
      </c>
      <c r="H93" s="74" t="s">
        <v>349</v>
      </c>
      <c r="I93" s="93">
        <v>90.42</v>
      </c>
      <c r="J93" s="76"/>
      <c r="K93" s="77">
        <v>43.3</v>
      </c>
      <c r="L93" s="77"/>
      <c r="M93" s="70">
        <v>35065</v>
      </c>
      <c r="N93" s="89">
        <v>37986</v>
      </c>
    </row>
    <row r="94" spans="1:18" s="66" customFormat="1" ht="18.75" customHeight="1" x14ac:dyDescent="0.2">
      <c r="A94" s="79"/>
      <c r="B94" s="79"/>
      <c r="C94" s="80"/>
      <c r="E94" s="86"/>
      <c r="G94" s="66" t="s">
        <v>353</v>
      </c>
      <c r="H94" s="82"/>
      <c r="I94" s="87"/>
      <c r="J94" s="84"/>
      <c r="K94" s="91"/>
      <c r="R94" s="72"/>
    </row>
    <row r="95" spans="1:18" s="72" customFormat="1" ht="18.75" customHeight="1" x14ac:dyDescent="0.2">
      <c r="A95" s="70">
        <v>34861</v>
      </c>
      <c r="B95" s="70">
        <v>34882</v>
      </c>
      <c r="C95" s="71">
        <v>33405</v>
      </c>
      <c r="D95" s="72" t="s">
        <v>475</v>
      </c>
      <c r="E95" s="73" t="s">
        <v>313</v>
      </c>
      <c r="F95" s="73" t="s">
        <v>476</v>
      </c>
      <c r="G95" s="73" t="s">
        <v>477</v>
      </c>
      <c r="H95" s="74" t="s">
        <v>349</v>
      </c>
      <c r="I95" s="75">
        <v>58.34</v>
      </c>
      <c r="J95" s="76"/>
      <c r="K95" s="77">
        <v>60.8</v>
      </c>
      <c r="L95" s="77"/>
      <c r="M95" s="70">
        <v>34974</v>
      </c>
      <c r="N95" s="89">
        <v>37895</v>
      </c>
    </row>
    <row r="96" spans="1:18" s="66" customFormat="1" ht="18.75" customHeight="1" x14ac:dyDescent="0.2">
      <c r="A96" s="79"/>
      <c r="B96" s="79"/>
      <c r="C96" s="80"/>
      <c r="E96" s="81" t="s">
        <v>21</v>
      </c>
      <c r="F96" s="81" t="s">
        <v>478</v>
      </c>
      <c r="G96" s="81" t="s">
        <v>381</v>
      </c>
      <c r="H96" s="82" t="s">
        <v>349</v>
      </c>
      <c r="I96" s="83">
        <v>41.66</v>
      </c>
      <c r="J96" s="84"/>
      <c r="K96" s="91"/>
      <c r="R96" s="72"/>
    </row>
    <row r="97" spans="1:20" s="66" customFormat="1" ht="18.75" customHeight="1" x14ac:dyDescent="0.2">
      <c r="A97" s="79"/>
      <c r="B97" s="79"/>
      <c r="C97" s="80"/>
      <c r="G97" s="66" t="s">
        <v>353</v>
      </c>
      <c r="H97" s="82"/>
      <c r="I97" s="87"/>
      <c r="J97" s="84"/>
      <c r="K97" s="91"/>
      <c r="R97" s="72"/>
    </row>
    <row r="98" spans="1:20" s="72" customFormat="1" ht="18.75" customHeight="1" x14ac:dyDescent="0.2">
      <c r="A98" s="70">
        <v>34882</v>
      </c>
      <c r="B98" s="70">
        <v>34896</v>
      </c>
      <c r="C98" s="71">
        <v>13501</v>
      </c>
      <c r="D98" s="72" t="s">
        <v>479</v>
      </c>
      <c r="E98" s="92" t="s">
        <v>19</v>
      </c>
      <c r="F98" s="92" t="s">
        <v>480</v>
      </c>
      <c r="G98" s="92" t="s">
        <v>481</v>
      </c>
      <c r="H98" s="74" t="s">
        <v>349</v>
      </c>
      <c r="I98" s="93">
        <v>74.209999999999994</v>
      </c>
      <c r="J98" s="76"/>
      <c r="K98" s="76">
        <v>44</v>
      </c>
      <c r="L98" s="76"/>
      <c r="M98" s="70">
        <v>35004</v>
      </c>
      <c r="N98" s="78">
        <v>37315</v>
      </c>
    </row>
    <row r="99" spans="1:20" s="66" customFormat="1" ht="18.75" customHeight="1" x14ac:dyDescent="0.2">
      <c r="A99" s="79"/>
      <c r="B99" s="79"/>
      <c r="C99" s="80"/>
      <c r="G99" s="66" t="s">
        <v>353</v>
      </c>
      <c r="H99" s="82"/>
      <c r="I99" s="87"/>
      <c r="J99" s="84"/>
      <c r="K99" s="85"/>
      <c r="R99" s="72"/>
    </row>
    <row r="100" spans="1:20" s="72" customFormat="1" ht="18.75" customHeight="1" x14ac:dyDescent="0.2">
      <c r="A100" s="70">
        <v>34882</v>
      </c>
      <c r="B100" s="70">
        <v>34896</v>
      </c>
      <c r="C100" s="71">
        <v>13502</v>
      </c>
      <c r="D100" s="72" t="s">
        <v>482</v>
      </c>
      <c r="E100" s="73" t="s">
        <v>483</v>
      </c>
      <c r="F100" s="73" t="s">
        <v>484</v>
      </c>
      <c r="G100" s="73" t="s">
        <v>485</v>
      </c>
      <c r="H100" s="74" t="s">
        <v>349</v>
      </c>
      <c r="I100" s="75">
        <v>31.55</v>
      </c>
      <c r="J100" s="88">
        <v>52.13</v>
      </c>
      <c r="K100" s="77">
        <v>55.9</v>
      </c>
      <c r="L100" s="77">
        <v>51.6</v>
      </c>
      <c r="M100" s="70">
        <v>35157</v>
      </c>
      <c r="N100" s="89">
        <v>38078</v>
      </c>
    </row>
    <row r="101" spans="1:20" s="66" customFormat="1" ht="18.75" customHeight="1" x14ac:dyDescent="0.2">
      <c r="A101" s="79"/>
      <c r="B101" s="79"/>
      <c r="C101" s="80"/>
      <c r="E101" s="81" t="s">
        <v>21</v>
      </c>
      <c r="F101" s="81" t="s">
        <v>486</v>
      </c>
      <c r="G101" s="81" t="s">
        <v>487</v>
      </c>
      <c r="H101" s="82" t="s">
        <v>349</v>
      </c>
      <c r="I101" s="83">
        <v>33.229999999999997</v>
      </c>
      <c r="J101" s="90">
        <v>47.87</v>
      </c>
      <c r="K101" s="91"/>
      <c r="R101" s="72"/>
    </row>
    <row r="102" spans="1:20" s="66" customFormat="1" ht="18.75" customHeight="1" x14ac:dyDescent="0.2">
      <c r="A102" s="79"/>
      <c r="B102" s="79"/>
      <c r="C102" s="80"/>
      <c r="E102" s="81" t="s">
        <v>19</v>
      </c>
      <c r="F102" s="81" t="s">
        <v>488</v>
      </c>
      <c r="G102" s="81" t="s">
        <v>348</v>
      </c>
      <c r="H102" s="82" t="s">
        <v>349</v>
      </c>
      <c r="I102" s="83">
        <v>27.91</v>
      </c>
      <c r="J102" s="84"/>
      <c r="K102" s="91"/>
      <c r="R102" s="72"/>
    </row>
    <row r="103" spans="1:20" s="66" customFormat="1" ht="18.75" customHeight="1" x14ac:dyDescent="0.2">
      <c r="A103" s="79"/>
      <c r="B103" s="79"/>
      <c r="C103" s="80"/>
      <c r="E103" s="81" t="s">
        <v>489</v>
      </c>
      <c r="F103" s="81" t="s">
        <v>489</v>
      </c>
      <c r="G103" s="81" t="s">
        <v>490</v>
      </c>
      <c r="H103" s="82" t="s">
        <v>349</v>
      </c>
      <c r="I103" s="83">
        <v>7.31</v>
      </c>
      <c r="J103" s="84"/>
      <c r="K103" s="91"/>
      <c r="R103" s="72"/>
      <c r="T103" s="72"/>
    </row>
    <row r="104" spans="1:20" s="66" customFormat="1" ht="18.75" customHeight="1" x14ac:dyDescent="0.2">
      <c r="A104" s="79"/>
      <c r="B104" s="79"/>
      <c r="C104" s="80"/>
      <c r="E104" s="81"/>
      <c r="F104" s="81"/>
      <c r="G104" s="81" t="s">
        <v>353</v>
      </c>
      <c r="H104" s="82"/>
      <c r="I104" s="83"/>
      <c r="J104" s="84"/>
      <c r="K104" s="91"/>
      <c r="R104" s="72"/>
    </row>
    <row r="105" spans="1:20" s="72" customFormat="1" ht="18.75" customHeight="1" x14ac:dyDescent="0.2">
      <c r="A105" s="70">
        <v>34882</v>
      </c>
      <c r="B105" s="70">
        <v>34896</v>
      </c>
      <c r="C105" s="71">
        <v>13504</v>
      </c>
      <c r="D105" s="72" t="s">
        <v>491</v>
      </c>
      <c r="E105" s="73" t="s">
        <v>19</v>
      </c>
      <c r="F105" s="73" t="s">
        <v>492</v>
      </c>
      <c r="G105" s="73" t="s">
        <v>360</v>
      </c>
      <c r="H105" s="74" t="s">
        <v>349</v>
      </c>
      <c r="I105" s="75">
        <v>71.209999999999994</v>
      </c>
      <c r="J105" s="76"/>
      <c r="K105" s="77">
        <v>55.8</v>
      </c>
      <c r="L105" s="77"/>
      <c r="M105" s="70">
        <v>35065</v>
      </c>
      <c r="N105" s="89">
        <v>37986</v>
      </c>
    </row>
    <row r="106" spans="1:20" s="66" customFormat="1" ht="18.75" customHeight="1" x14ac:dyDescent="0.2">
      <c r="A106" s="79"/>
      <c r="B106" s="79"/>
      <c r="C106" s="80"/>
      <c r="E106" s="81" t="s">
        <v>21</v>
      </c>
      <c r="F106" s="81" t="s">
        <v>493</v>
      </c>
      <c r="G106" s="81" t="s">
        <v>368</v>
      </c>
      <c r="H106" s="82" t="s">
        <v>349</v>
      </c>
      <c r="I106" s="83">
        <v>23.66</v>
      </c>
      <c r="J106" s="84"/>
      <c r="K106" s="91"/>
      <c r="R106" s="72"/>
    </row>
    <row r="107" spans="1:20" s="66" customFormat="1" ht="18.75" customHeight="1" x14ac:dyDescent="0.2">
      <c r="A107" s="79"/>
      <c r="B107" s="79"/>
      <c r="C107" s="80"/>
      <c r="E107" s="81" t="s">
        <v>38</v>
      </c>
      <c r="F107" s="81" t="s">
        <v>494</v>
      </c>
      <c r="G107" s="81" t="s">
        <v>495</v>
      </c>
      <c r="H107" s="82" t="s">
        <v>349</v>
      </c>
      <c r="I107" s="83">
        <v>5.13</v>
      </c>
      <c r="J107" s="84"/>
      <c r="K107" s="91"/>
      <c r="R107" s="72"/>
    </row>
    <row r="108" spans="1:20" s="66" customFormat="1" ht="18.75" customHeight="1" x14ac:dyDescent="0.2">
      <c r="A108" s="79"/>
      <c r="B108" s="79"/>
      <c r="C108" s="80"/>
      <c r="G108" s="66" t="s">
        <v>353</v>
      </c>
      <c r="H108" s="82"/>
      <c r="I108" s="87"/>
      <c r="J108" s="84"/>
      <c r="K108" s="91"/>
      <c r="R108" s="72"/>
    </row>
    <row r="109" spans="1:20" s="72" customFormat="1" ht="18.75" customHeight="1" x14ac:dyDescent="0.2">
      <c r="A109" s="70">
        <v>34945</v>
      </c>
      <c r="B109" s="70">
        <v>34959</v>
      </c>
      <c r="C109" s="71">
        <v>13101</v>
      </c>
      <c r="D109" s="72" t="s">
        <v>496</v>
      </c>
      <c r="E109" s="92" t="s">
        <v>19</v>
      </c>
      <c r="F109" s="92" t="s">
        <v>497</v>
      </c>
      <c r="G109" s="92" t="s">
        <v>389</v>
      </c>
      <c r="H109" s="74" t="s">
        <v>349</v>
      </c>
      <c r="I109" s="93">
        <v>90.21</v>
      </c>
      <c r="J109" s="76"/>
      <c r="K109" s="77">
        <v>42.3</v>
      </c>
      <c r="L109" s="77"/>
      <c r="M109" s="70">
        <v>35156</v>
      </c>
      <c r="N109" s="78">
        <v>35810</v>
      </c>
    </row>
    <row r="110" spans="1:20" s="66" customFormat="1" ht="18.75" customHeight="1" x14ac:dyDescent="0.2">
      <c r="A110" s="79"/>
      <c r="B110" s="79"/>
      <c r="C110" s="80"/>
      <c r="G110" s="66" t="s">
        <v>353</v>
      </c>
      <c r="H110" s="82"/>
      <c r="I110" s="87"/>
      <c r="J110" s="84"/>
      <c r="K110" s="85"/>
      <c r="R110" s="72"/>
    </row>
    <row r="111" spans="1:20" s="72" customFormat="1" ht="18.75" customHeight="1" x14ac:dyDescent="0.2">
      <c r="A111" s="70">
        <v>34945</v>
      </c>
      <c r="B111" s="70">
        <v>34959</v>
      </c>
      <c r="C111" s="71">
        <v>33901</v>
      </c>
      <c r="D111" s="72" t="s">
        <v>498</v>
      </c>
      <c r="E111" s="73" t="s">
        <v>19</v>
      </c>
      <c r="F111" s="73" t="s">
        <v>499</v>
      </c>
      <c r="G111" s="73" t="s">
        <v>500</v>
      </c>
      <c r="H111" s="74" t="s">
        <v>349</v>
      </c>
      <c r="I111" s="75">
        <v>57.2</v>
      </c>
      <c r="J111" s="76"/>
      <c r="K111" s="77">
        <v>61.2</v>
      </c>
      <c r="L111" s="77"/>
      <c r="M111" s="70">
        <v>35191</v>
      </c>
      <c r="N111" s="78">
        <v>36250</v>
      </c>
    </row>
    <row r="112" spans="1:20" s="66" customFormat="1" ht="18.75" customHeight="1" x14ac:dyDescent="0.2">
      <c r="A112" s="79"/>
      <c r="B112" s="79"/>
      <c r="C112" s="80"/>
      <c r="E112" s="81" t="s">
        <v>21</v>
      </c>
      <c r="F112" s="81" t="s">
        <v>501</v>
      </c>
      <c r="G112" s="81" t="s">
        <v>502</v>
      </c>
      <c r="H112" s="82" t="s">
        <v>349</v>
      </c>
      <c r="I112" s="83">
        <v>42.8</v>
      </c>
      <c r="J112" s="84"/>
      <c r="K112" s="85"/>
      <c r="R112" s="72"/>
    </row>
    <row r="113" spans="1:20" s="66" customFormat="1" ht="18.75" customHeight="1" x14ac:dyDescent="0.2">
      <c r="A113" s="79"/>
      <c r="B113" s="79"/>
      <c r="C113" s="80"/>
      <c r="E113" s="81"/>
      <c r="F113" s="81"/>
      <c r="G113" s="81" t="s">
        <v>353</v>
      </c>
      <c r="H113" s="82"/>
      <c r="I113" s="83"/>
      <c r="J113" s="84"/>
      <c r="K113" s="85"/>
      <c r="R113" s="72"/>
    </row>
    <row r="114" spans="1:20" s="72" customFormat="1" ht="18.75" customHeight="1" x14ac:dyDescent="0.2">
      <c r="A114" s="70">
        <v>34966</v>
      </c>
      <c r="B114" s="70">
        <v>34980</v>
      </c>
      <c r="C114" s="71">
        <v>23506</v>
      </c>
      <c r="D114" s="72" t="s">
        <v>503</v>
      </c>
      <c r="E114" s="73" t="s">
        <v>19</v>
      </c>
      <c r="F114" s="73" t="s">
        <v>504</v>
      </c>
      <c r="G114" s="73" t="s">
        <v>505</v>
      </c>
      <c r="H114" s="74" t="s">
        <v>349</v>
      </c>
      <c r="I114" s="75">
        <v>45.56</v>
      </c>
      <c r="J114" s="88">
        <v>60.88</v>
      </c>
      <c r="K114" s="77">
        <v>57.2</v>
      </c>
      <c r="L114" s="77">
        <v>50.7</v>
      </c>
      <c r="M114" s="70">
        <v>35074</v>
      </c>
      <c r="N114" s="89">
        <v>37995</v>
      </c>
    </row>
    <row r="115" spans="1:20" s="66" customFormat="1" ht="18.75" customHeight="1" x14ac:dyDescent="0.2">
      <c r="A115" s="79"/>
      <c r="B115" s="79"/>
      <c r="C115" s="80"/>
      <c r="E115" s="81" t="s">
        <v>21</v>
      </c>
      <c r="F115" s="81" t="s">
        <v>506</v>
      </c>
      <c r="G115" s="81" t="s">
        <v>477</v>
      </c>
      <c r="H115" s="82" t="s">
        <v>349</v>
      </c>
      <c r="I115" s="83">
        <v>30.58</v>
      </c>
      <c r="J115" s="90">
        <v>39.119999999999997</v>
      </c>
      <c r="K115" s="91"/>
      <c r="R115" s="72"/>
    </row>
    <row r="116" spans="1:20" s="66" customFormat="1" ht="18.75" customHeight="1" x14ac:dyDescent="0.2">
      <c r="A116" s="79"/>
      <c r="B116" s="79"/>
      <c r="C116" s="80"/>
      <c r="E116" s="81" t="s">
        <v>55</v>
      </c>
      <c r="F116" s="81" t="s">
        <v>507</v>
      </c>
      <c r="G116" s="81" t="s">
        <v>389</v>
      </c>
      <c r="H116" s="82" t="s">
        <v>349</v>
      </c>
      <c r="I116" s="83">
        <v>23.86</v>
      </c>
      <c r="J116" s="84"/>
      <c r="K116" s="91"/>
      <c r="R116" s="72"/>
    </row>
    <row r="117" spans="1:20" s="66" customFormat="1" ht="18.75" customHeight="1" x14ac:dyDescent="0.2">
      <c r="A117" s="79"/>
      <c r="B117" s="79"/>
      <c r="C117" s="80"/>
      <c r="E117" s="81"/>
      <c r="F117" s="81"/>
      <c r="G117" s="81" t="s">
        <v>353</v>
      </c>
      <c r="H117" s="82"/>
      <c r="I117" s="83"/>
      <c r="J117" s="84"/>
      <c r="K117" s="91"/>
      <c r="R117" s="72"/>
    </row>
    <row r="118" spans="1:20" s="72" customFormat="1" ht="18.75" customHeight="1" x14ac:dyDescent="0.2">
      <c r="A118" s="70">
        <v>34994</v>
      </c>
      <c r="B118" s="70">
        <v>35008</v>
      </c>
      <c r="C118" s="71">
        <v>23504</v>
      </c>
      <c r="D118" s="72" t="s">
        <v>508</v>
      </c>
      <c r="E118" s="73" t="s">
        <v>55</v>
      </c>
      <c r="F118" s="73" t="s">
        <v>509</v>
      </c>
      <c r="G118" s="73" t="s">
        <v>440</v>
      </c>
      <c r="H118" s="74" t="s">
        <v>349</v>
      </c>
      <c r="I118" s="75">
        <v>42.86</v>
      </c>
      <c r="J118" s="88">
        <v>68.33</v>
      </c>
      <c r="K118" s="77">
        <v>60.6</v>
      </c>
      <c r="L118" s="77">
        <v>65.099999999999994</v>
      </c>
      <c r="M118" s="70">
        <v>35125</v>
      </c>
      <c r="N118" s="89">
        <v>38046</v>
      </c>
    </row>
    <row r="119" spans="1:20" s="66" customFormat="1" ht="18.75" customHeight="1" x14ac:dyDescent="0.2">
      <c r="A119" s="79"/>
      <c r="B119" s="79"/>
      <c r="C119" s="80"/>
      <c r="E119" s="81" t="s">
        <v>19</v>
      </c>
      <c r="F119" s="81" t="s">
        <v>510</v>
      </c>
      <c r="G119" s="81" t="s">
        <v>358</v>
      </c>
      <c r="H119" s="82" t="s">
        <v>349</v>
      </c>
      <c r="I119" s="83">
        <v>42.85</v>
      </c>
      <c r="J119" s="90">
        <v>31.67</v>
      </c>
      <c r="K119" s="91"/>
      <c r="R119" s="72"/>
    </row>
    <row r="120" spans="1:20" s="66" customFormat="1" ht="18.75" customHeight="1" x14ac:dyDescent="0.2">
      <c r="A120" s="79"/>
      <c r="B120" s="79"/>
      <c r="C120" s="80"/>
      <c r="E120" s="81" t="s">
        <v>21</v>
      </c>
      <c r="F120" s="81" t="s">
        <v>511</v>
      </c>
      <c r="G120" s="81" t="s">
        <v>512</v>
      </c>
      <c r="H120" s="82" t="s">
        <v>349</v>
      </c>
      <c r="I120" s="83">
        <v>14.29</v>
      </c>
      <c r="J120" s="84"/>
      <c r="K120" s="91"/>
      <c r="R120" s="72"/>
    </row>
    <row r="121" spans="1:20" s="66" customFormat="1" ht="18.75" customHeight="1" x14ac:dyDescent="0.2">
      <c r="A121" s="79"/>
      <c r="B121" s="79"/>
      <c r="C121" s="80"/>
      <c r="E121" s="81"/>
      <c r="F121" s="81"/>
      <c r="G121" s="81" t="s">
        <v>353</v>
      </c>
      <c r="H121" s="82"/>
      <c r="I121" s="83"/>
      <c r="J121" s="84"/>
      <c r="K121" s="91"/>
      <c r="R121" s="72"/>
    </row>
    <row r="122" spans="1:20" s="72" customFormat="1" ht="18.75" customHeight="1" x14ac:dyDescent="0.2">
      <c r="A122" s="70">
        <v>35001</v>
      </c>
      <c r="B122" s="70">
        <v>35015</v>
      </c>
      <c r="C122" s="71">
        <v>13807</v>
      </c>
      <c r="D122" s="72" t="s">
        <v>507</v>
      </c>
      <c r="E122" s="73" t="s">
        <v>19</v>
      </c>
      <c r="F122" s="73" t="s">
        <v>513</v>
      </c>
      <c r="G122" s="73" t="s">
        <v>514</v>
      </c>
      <c r="H122" s="74" t="s">
        <v>349</v>
      </c>
      <c r="I122" s="75">
        <v>61.01</v>
      </c>
      <c r="J122" s="76"/>
      <c r="K122" s="77">
        <v>48.2</v>
      </c>
      <c r="L122" s="77"/>
      <c r="M122" s="70">
        <v>35156</v>
      </c>
      <c r="N122" s="89">
        <v>38077</v>
      </c>
    </row>
    <row r="123" spans="1:20" s="66" customFormat="1" ht="18.75" customHeight="1" x14ac:dyDescent="0.2">
      <c r="A123" s="79"/>
      <c r="B123" s="79"/>
      <c r="C123" s="80"/>
      <c r="E123" s="81" t="s">
        <v>21</v>
      </c>
      <c r="F123" s="81" t="s">
        <v>515</v>
      </c>
      <c r="G123" s="81" t="s">
        <v>516</v>
      </c>
      <c r="H123" s="82" t="s">
        <v>349</v>
      </c>
      <c r="I123" s="83">
        <v>38.99</v>
      </c>
      <c r="J123" s="84"/>
      <c r="K123" s="91"/>
      <c r="R123" s="72"/>
    </row>
    <row r="124" spans="1:20" s="66" customFormat="1" ht="18.75" customHeight="1" x14ac:dyDescent="0.2">
      <c r="A124" s="79"/>
      <c r="B124" s="79"/>
      <c r="C124" s="80"/>
      <c r="G124" s="66" t="s">
        <v>353</v>
      </c>
      <c r="H124" s="82"/>
      <c r="I124" s="87"/>
      <c r="J124" s="84"/>
      <c r="K124" s="91"/>
      <c r="R124" s="72"/>
    </row>
    <row r="125" spans="1:20" s="72" customFormat="1" ht="18.75" customHeight="1" x14ac:dyDescent="0.2">
      <c r="A125" s="70">
        <v>35001</v>
      </c>
      <c r="B125" s="70">
        <v>35022</v>
      </c>
      <c r="C125" s="71">
        <v>23204</v>
      </c>
      <c r="D125" s="72" t="s">
        <v>517</v>
      </c>
      <c r="E125" s="73" t="s">
        <v>21</v>
      </c>
      <c r="F125" s="73" t="s">
        <v>518</v>
      </c>
      <c r="G125" s="73" t="s">
        <v>444</v>
      </c>
      <c r="H125" s="74" t="s">
        <v>349</v>
      </c>
      <c r="I125" s="75">
        <v>37.33</v>
      </c>
      <c r="J125" s="88">
        <v>57.14</v>
      </c>
      <c r="K125" s="77">
        <v>59.8</v>
      </c>
      <c r="L125" s="77">
        <v>57.6</v>
      </c>
      <c r="M125" s="70">
        <v>35186</v>
      </c>
      <c r="N125" s="89">
        <v>38107</v>
      </c>
    </row>
    <row r="126" spans="1:20" s="66" customFormat="1" ht="18.75" customHeight="1" x14ac:dyDescent="0.2">
      <c r="A126" s="79"/>
      <c r="B126" s="79"/>
      <c r="C126" s="80"/>
      <c r="E126" s="81" t="s">
        <v>19</v>
      </c>
      <c r="F126" s="81" t="s">
        <v>519</v>
      </c>
      <c r="G126" s="81" t="s">
        <v>512</v>
      </c>
      <c r="H126" s="82" t="s">
        <v>349</v>
      </c>
      <c r="I126" s="83">
        <v>44.62</v>
      </c>
      <c r="J126" s="90">
        <v>42.86</v>
      </c>
      <c r="K126" s="91"/>
      <c r="R126" s="72"/>
    </row>
    <row r="127" spans="1:20" s="66" customFormat="1" ht="18.75" customHeight="1" x14ac:dyDescent="0.2">
      <c r="A127" s="79"/>
      <c r="B127" s="79"/>
      <c r="C127" s="80"/>
      <c r="E127" s="81" t="s">
        <v>520</v>
      </c>
      <c r="F127" s="81" t="s">
        <v>520</v>
      </c>
      <c r="G127" s="81" t="s">
        <v>360</v>
      </c>
      <c r="H127" s="82" t="s">
        <v>349</v>
      </c>
      <c r="I127" s="83">
        <v>18.05</v>
      </c>
      <c r="J127" s="84"/>
      <c r="K127" s="91"/>
      <c r="R127" s="72"/>
      <c r="T127" s="72"/>
    </row>
    <row r="128" spans="1:20" s="66" customFormat="1" ht="18.75" customHeight="1" x14ac:dyDescent="0.2">
      <c r="A128" s="79"/>
      <c r="B128" s="79"/>
      <c r="C128" s="80"/>
      <c r="E128" s="81"/>
      <c r="F128" s="81"/>
      <c r="G128" s="81" t="s">
        <v>353</v>
      </c>
      <c r="H128" s="82"/>
      <c r="I128" s="83"/>
      <c r="J128" s="84"/>
      <c r="K128" s="91"/>
      <c r="R128" s="72"/>
    </row>
    <row r="129" spans="1:18" s="72" customFormat="1" ht="18.75" customHeight="1" x14ac:dyDescent="0.2">
      <c r="A129" s="70">
        <v>35015</v>
      </c>
      <c r="B129" s="70">
        <v>35029</v>
      </c>
      <c r="C129" s="71">
        <v>34007</v>
      </c>
      <c r="D129" s="72" t="s">
        <v>521</v>
      </c>
      <c r="E129" s="73" t="s">
        <v>19</v>
      </c>
      <c r="F129" s="73" t="s">
        <v>522</v>
      </c>
      <c r="G129" s="73" t="s">
        <v>371</v>
      </c>
      <c r="H129" s="74" t="s">
        <v>349</v>
      </c>
      <c r="I129" s="75">
        <v>73.09</v>
      </c>
      <c r="J129" s="76"/>
      <c r="K129" s="77">
        <v>56.1</v>
      </c>
      <c r="L129" s="77"/>
      <c r="M129" s="70">
        <v>35225</v>
      </c>
      <c r="N129" s="89">
        <v>38146</v>
      </c>
    </row>
    <row r="130" spans="1:18" s="66" customFormat="1" ht="18.75" customHeight="1" x14ac:dyDescent="0.2">
      <c r="A130" s="79"/>
      <c r="B130" s="79"/>
      <c r="C130" s="80"/>
      <c r="E130" s="81" t="s">
        <v>21</v>
      </c>
      <c r="F130" s="81" t="s">
        <v>523</v>
      </c>
      <c r="G130" s="81" t="s">
        <v>348</v>
      </c>
      <c r="H130" s="82" t="s">
        <v>349</v>
      </c>
      <c r="I130" s="83">
        <v>26.91</v>
      </c>
      <c r="J130" s="84"/>
      <c r="K130" s="91"/>
      <c r="R130" s="72"/>
    </row>
    <row r="131" spans="1:18" s="66" customFormat="1" ht="18.75" customHeight="1" x14ac:dyDescent="0.2">
      <c r="A131" s="79"/>
      <c r="B131" s="79"/>
      <c r="C131" s="80"/>
      <c r="G131" s="66" t="s">
        <v>353</v>
      </c>
      <c r="H131" s="82"/>
      <c r="I131" s="87"/>
      <c r="J131" s="84"/>
      <c r="K131" s="91"/>
      <c r="R131" s="72"/>
    </row>
    <row r="132" spans="1:18" s="72" customFormat="1" ht="18.75" customHeight="1" x14ac:dyDescent="0.2">
      <c r="A132" s="70">
        <v>35148</v>
      </c>
      <c r="B132" s="70">
        <v>35169</v>
      </c>
      <c r="C132" s="71">
        <v>13103</v>
      </c>
      <c r="D132" s="72" t="s">
        <v>524</v>
      </c>
      <c r="E132" s="73" t="s">
        <v>19</v>
      </c>
      <c r="F132" s="73" t="s">
        <v>509</v>
      </c>
      <c r="G132" s="73" t="s">
        <v>525</v>
      </c>
      <c r="H132" s="74" t="s">
        <v>349</v>
      </c>
      <c r="I132" s="75">
        <v>51.53</v>
      </c>
      <c r="J132" s="76"/>
      <c r="K132" s="77">
        <v>69.2</v>
      </c>
      <c r="L132" s="77"/>
      <c r="M132" s="70">
        <v>35346</v>
      </c>
      <c r="N132" s="89">
        <v>38267</v>
      </c>
    </row>
    <row r="133" spans="1:18" s="66" customFormat="1" ht="18.75" customHeight="1" x14ac:dyDescent="0.2">
      <c r="A133" s="79"/>
      <c r="B133" s="79"/>
      <c r="C133" s="80"/>
      <c r="E133" s="81" t="s">
        <v>21</v>
      </c>
      <c r="F133" s="81" t="s">
        <v>507</v>
      </c>
      <c r="G133" s="81" t="s">
        <v>389</v>
      </c>
      <c r="H133" s="82" t="s">
        <v>349</v>
      </c>
      <c r="I133" s="83">
        <v>35.020000000000003</v>
      </c>
      <c r="J133" s="84"/>
      <c r="K133" s="91"/>
      <c r="R133" s="72"/>
    </row>
    <row r="134" spans="1:18" s="66" customFormat="1" ht="18.75" customHeight="1" x14ac:dyDescent="0.2">
      <c r="A134" s="79"/>
      <c r="B134" s="79"/>
      <c r="C134" s="80"/>
      <c r="E134" s="81" t="s">
        <v>55</v>
      </c>
      <c r="F134" s="81" t="s">
        <v>526</v>
      </c>
      <c r="G134" s="81" t="s">
        <v>527</v>
      </c>
      <c r="H134" s="82" t="s">
        <v>349</v>
      </c>
      <c r="I134" s="83">
        <v>13.45</v>
      </c>
      <c r="J134" s="84"/>
      <c r="K134" s="91"/>
      <c r="R134" s="72"/>
    </row>
    <row r="135" spans="1:18" s="66" customFormat="1" ht="18.75" customHeight="1" x14ac:dyDescent="0.2">
      <c r="A135" s="79"/>
      <c r="B135" s="79"/>
      <c r="C135" s="80"/>
      <c r="G135" s="66" t="s">
        <v>353</v>
      </c>
      <c r="H135" s="82"/>
      <c r="I135" s="87"/>
      <c r="J135" s="84"/>
      <c r="K135" s="91"/>
      <c r="R135" s="72"/>
    </row>
    <row r="136" spans="1:18" s="72" customFormat="1" ht="18.75" customHeight="1" x14ac:dyDescent="0.2">
      <c r="A136" s="70">
        <v>35148</v>
      </c>
      <c r="B136" s="70">
        <v>35169</v>
      </c>
      <c r="C136" s="71">
        <v>13208</v>
      </c>
      <c r="D136" s="72" t="s">
        <v>528</v>
      </c>
      <c r="E136" s="73" t="s">
        <v>19</v>
      </c>
      <c r="F136" s="73" t="s">
        <v>529</v>
      </c>
      <c r="G136" s="73" t="s">
        <v>383</v>
      </c>
      <c r="H136" s="74" t="s">
        <v>349</v>
      </c>
      <c r="I136" s="75">
        <v>61.56</v>
      </c>
      <c r="J136" s="76"/>
      <c r="K136" s="77">
        <v>70.599999999999994</v>
      </c>
      <c r="L136" s="77"/>
      <c r="M136" s="70">
        <v>35247</v>
      </c>
      <c r="N136" s="89">
        <v>38168</v>
      </c>
    </row>
    <row r="137" spans="1:18" s="66" customFormat="1" ht="18.75" customHeight="1" x14ac:dyDescent="0.2">
      <c r="A137" s="79"/>
      <c r="B137" s="79"/>
      <c r="C137" s="80"/>
      <c r="E137" s="81" t="s">
        <v>21</v>
      </c>
      <c r="F137" s="81" t="s">
        <v>530</v>
      </c>
      <c r="G137" s="81" t="s">
        <v>389</v>
      </c>
      <c r="H137" s="82" t="s">
        <v>349</v>
      </c>
      <c r="I137" s="83">
        <v>38.44</v>
      </c>
      <c r="J137" s="84"/>
      <c r="K137" s="91"/>
      <c r="R137" s="72"/>
    </row>
    <row r="138" spans="1:18" s="66" customFormat="1" ht="18.75" customHeight="1" x14ac:dyDescent="0.2">
      <c r="A138" s="79"/>
      <c r="B138" s="79"/>
      <c r="C138" s="80"/>
      <c r="G138" s="66" t="s">
        <v>353</v>
      </c>
      <c r="H138" s="82"/>
      <c r="I138" s="87"/>
      <c r="J138" s="84"/>
      <c r="K138" s="91"/>
      <c r="R138" s="72"/>
    </row>
    <row r="139" spans="1:18" s="72" customFormat="1" ht="18.75" customHeight="1" x14ac:dyDescent="0.2">
      <c r="A139" s="70">
        <v>35148</v>
      </c>
      <c r="B139" s="70">
        <v>35169</v>
      </c>
      <c r="C139" s="71">
        <v>13404</v>
      </c>
      <c r="D139" s="72" t="s">
        <v>531</v>
      </c>
      <c r="E139" s="73" t="s">
        <v>532</v>
      </c>
      <c r="F139" s="73" t="s">
        <v>533</v>
      </c>
      <c r="G139" s="73" t="s">
        <v>348</v>
      </c>
      <c r="H139" s="74" t="s">
        <v>349</v>
      </c>
      <c r="I139" s="75">
        <v>73.41</v>
      </c>
      <c r="J139" s="76"/>
      <c r="K139" s="77">
        <v>66.900000000000006</v>
      </c>
      <c r="L139" s="77"/>
      <c r="M139" s="70">
        <v>35339</v>
      </c>
      <c r="N139" s="89">
        <v>38260</v>
      </c>
    </row>
    <row r="140" spans="1:18" s="66" customFormat="1" ht="18.75" customHeight="1" x14ac:dyDescent="0.2">
      <c r="A140" s="79"/>
      <c r="B140" s="79"/>
      <c r="C140" s="80"/>
      <c r="E140" s="81" t="s">
        <v>19</v>
      </c>
      <c r="F140" s="81" t="s">
        <v>534</v>
      </c>
      <c r="G140" s="81" t="s">
        <v>535</v>
      </c>
      <c r="H140" s="82" t="s">
        <v>349</v>
      </c>
      <c r="I140" s="83">
        <v>26.59</v>
      </c>
      <c r="J140" s="84"/>
      <c r="K140" s="91"/>
      <c r="R140" s="72"/>
    </row>
    <row r="141" spans="1:18" s="66" customFormat="1" ht="18.75" customHeight="1" x14ac:dyDescent="0.2">
      <c r="A141" s="79"/>
      <c r="B141" s="79"/>
      <c r="C141" s="80"/>
      <c r="E141" s="94"/>
      <c r="G141" s="66" t="s">
        <v>353</v>
      </c>
      <c r="H141" s="82"/>
      <c r="I141" s="87"/>
      <c r="J141" s="84"/>
      <c r="K141" s="91"/>
      <c r="R141" s="72"/>
    </row>
    <row r="142" spans="1:18" s="72" customFormat="1" ht="18.75" customHeight="1" x14ac:dyDescent="0.2">
      <c r="A142" s="70">
        <v>35148</v>
      </c>
      <c r="B142" s="70">
        <v>35169</v>
      </c>
      <c r="C142" s="71">
        <v>13803</v>
      </c>
      <c r="D142" s="72" t="s">
        <v>536</v>
      </c>
      <c r="E142" s="73" t="s">
        <v>21</v>
      </c>
      <c r="F142" s="73" t="s">
        <v>537</v>
      </c>
      <c r="G142" s="73" t="s">
        <v>444</v>
      </c>
      <c r="H142" s="74" t="s">
        <v>349</v>
      </c>
      <c r="I142" s="75">
        <v>63.15</v>
      </c>
      <c r="J142" s="76"/>
      <c r="K142" s="76">
        <v>70.599999999999994</v>
      </c>
      <c r="L142" s="76"/>
      <c r="M142" s="70">
        <v>35278</v>
      </c>
      <c r="N142" s="89">
        <v>38199</v>
      </c>
    </row>
    <row r="143" spans="1:18" s="66" customFormat="1" ht="18.75" customHeight="1" x14ac:dyDescent="0.2">
      <c r="A143" s="79"/>
      <c r="B143" s="79"/>
      <c r="C143" s="80"/>
      <c r="E143" s="81" t="s">
        <v>19</v>
      </c>
      <c r="F143" s="81" t="s">
        <v>538</v>
      </c>
      <c r="G143" s="81" t="s">
        <v>500</v>
      </c>
      <c r="H143" s="82" t="s">
        <v>349</v>
      </c>
      <c r="I143" s="83">
        <v>36.85</v>
      </c>
      <c r="J143" s="84"/>
      <c r="K143" s="91"/>
      <c r="R143" s="72"/>
    </row>
    <row r="144" spans="1:18" s="66" customFormat="1" ht="18.75" customHeight="1" x14ac:dyDescent="0.2">
      <c r="A144" s="79"/>
      <c r="B144" s="79"/>
      <c r="C144" s="80"/>
      <c r="G144" s="66" t="s">
        <v>353</v>
      </c>
      <c r="H144" s="82"/>
      <c r="I144" s="87"/>
      <c r="J144" s="84"/>
      <c r="K144" s="91"/>
      <c r="R144" s="72"/>
    </row>
    <row r="145" spans="1:20" s="72" customFormat="1" ht="18.75" customHeight="1" x14ac:dyDescent="0.2">
      <c r="A145" s="70">
        <v>35148</v>
      </c>
      <c r="B145" s="70">
        <v>35169</v>
      </c>
      <c r="C145" s="71">
        <v>13805</v>
      </c>
      <c r="D145" s="72" t="s">
        <v>539</v>
      </c>
      <c r="E145" s="73" t="s">
        <v>21</v>
      </c>
      <c r="F145" s="73" t="s">
        <v>540</v>
      </c>
      <c r="G145" s="73" t="s">
        <v>348</v>
      </c>
      <c r="H145" s="74" t="s">
        <v>349</v>
      </c>
      <c r="I145" s="75">
        <v>53.64</v>
      </c>
      <c r="J145" s="76"/>
      <c r="K145" s="77">
        <v>75.5</v>
      </c>
      <c r="L145" s="77"/>
      <c r="M145" s="70">
        <v>35247</v>
      </c>
      <c r="N145" s="89">
        <v>38168</v>
      </c>
    </row>
    <row r="146" spans="1:20" s="66" customFormat="1" ht="18.75" customHeight="1" x14ac:dyDescent="0.2">
      <c r="A146" s="79"/>
      <c r="B146" s="79"/>
      <c r="C146" s="80"/>
      <c r="E146" s="81" t="s">
        <v>541</v>
      </c>
      <c r="F146" s="81" t="s">
        <v>541</v>
      </c>
      <c r="G146" s="81" t="s">
        <v>516</v>
      </c>
      <c r="H146" s="82" t="s">
        <v>349</v>
      </c>
      <c r="I146" s="83">
        <v>46.36</v>
      </c>
      <c r="J146" s="84"/>
      <c r="K146" s="91"/>
      <c r="R146" s="72"/>
      <c r="T146" s="72"/>
    </row>
    <row r="147" spans="1:20" s="66" customFormat="1" ht="18.75" customHeight="1" x14ac:dyDescent="0.2">
      <c r="A147" s="79"/>
      <c r="B147" s="79"/>
      <c r="C147" s="80"/>
      <c r="G147" s="66" t="s">
        <v>353</v>
      </c>
      <c r="H147" s="82"/>
      <c r="I147" s="87"/>
      <c r="J147" s="84"/>
      <c r="K147" s="91"/>
      <c r="R147" s="72"/>
    </row>
    <row r="148" spans="1:20" s="72" customFormat="1" ht="18.75" customHeight="1" x14ac:dyDescent="0.2">
      <c r="A148" s="70">
        <v>35148</v>
      </c>
      <c r="B148" s="70">
        <v>35169</v>
      </c>
      <c r="C148" s="71">
        <v>33203</v>
      </c>
      <c r="D148" s="72" t="s">
        <v>542</v>
      </c>
      <c r="E148" s="73" t="s">
        <v>21</v>
      </c>
      <c r="F148" s="73" t="s">
        <v>543</v>
      </c>
      <c r="G148" s="73" t="s">
        <v>394</v>
      </c>
      <c r="H148" s="74" t="s">
        <v>349</v>
      </c>
      <c r="I148" s="75">
        <v>44.46</v>
      </c>
      <c r="J148" s="88">
        <v>52.87</v>
      </c>
      <c r="K148" s="77">
        <v>75.3</v>
      </c>
      <c r="L148" s="77">
        <v>57.8</v>
      </c>
      <c r="M148" s="70">
        <v>35195</v>
      </c>
      <c r="N148" s="89">
        <v>38116</v>
      </c>
      <c r="O148" s="95" t="s">
        <v>21</v>
      </c>
      <c r="P148" s="95" t="s">
        <v>543</v>
      </c>
      <c r="Q148" s="95" t="s">
        <v>394</v>
      </c>
      <c r="R148" s="72" t="s">
        <v>349</v>
      </c>
    </row>
    <row r="149" spans="1:20" s="66" customFormat="1" ht="18.75" customHeight="1" x14ac:dyDescent="0.2">
      <c r="A149" s="79"/>
      <c r="B149" s="79"/>
      <c r="C149" s="80"/>
      <c r="E149" s="81" t="s">
        <v>19</v>
      </c>
      <c r="F149" s="81" t="s">
        <v>544</v>
      </c>
      <c r="G149" s="81" t="s">
        <v>407</v>
      </c>
      <c r="H149" s="82" t="s">
        <v>349</v>
      </c>
      <c r="I149" s="83">
        <v>37.369999999999997</v>
      </c>
      <c r="J149" s="90">
        <v>47.13</v>
      </c>
      <c r="K149" s="91"/>
      <c r="R149" s="72"/>
    </row>
    <row r="150" spans="1:20" s="66" customFormat="1" ht="18.75" customHeight="1" x14ac:dyDescent="0.2">
      <c r="A150" s="79"/>
      <c r="B150" s="79"/>
      <c r="C150" s="80"/>
      <c r="E150" s="81" t="s">
        <v>55</v>
      </c>
      <c r="F150" s="81" t="s">
        <v>471</v>
      </c>
      <c r="G150" s="81" t="s">
        <v>545</v>
      </c>
      <c r="H150" s="82" t="s">
        <v>349</v>
      </c>
      <c r="I150" s="83">
        <v>11.64</v>
      </c>
      <c r="J150" s="84"/>
      <c r="K150" s="91"/>
      <c r="R150" s="72"/>
    </row>
    <row r="151" spans="1:20" s="66" customFormat="1" ht="18.75" customHeight="1" x14ac:dyDescent="0.2">
      <c r="A151" s="79"/>
      <c r="B151" s="79"/>
      <c r="C151" s="80"/>
      <c r="E151" s="81" t="s">
        <v>34</v>
      </c>
      <c r="F151" s="81" t="s">
        <v>546</v>
      </c>
      <c r="G151" s="81" t="s">
        <v>547</v>
      </c>
      <c r="H151" s="82" t="s">
        <v>349</v>
      </c>
      <c r="I151" s="83">
        <v>6.53</v>
      </c>
      <c r="J151" s="84"/>
      <c r="K151" s="91"/>
      <c r="R151" s="72"/>
    </row>
    <row r="152" spans="1:20" s="66" customFormat="1" ht="18.75" customHeight="1" x14ac:dyDescent="0.2">
      <c r="A152" s="79"/>
      <c r="B152" s="79"/>
      <c r="C152" s="80"/>
      <c r="E152" s="81"/>
      <c r="F152" s="81"/>
      <c r="G152" s="81" t="s">
        <v>353</v>
      </c>
      <c r="H152" s="82"/>
      <c r="I152" s="83"/>
      <c r="J152" s="84"/>
      <c r="K152" s="91"/>
      <c r="R152" s="72"/>
    </row>
    <row r="153" spans="1:20" s="72" customFormat="1" ht="18.75" customHeight="1" x14ac:dyDescent="0.2">
      <c r="A153" s="70">
        <v>35148</v>
      </c>
      <c r="B153" s="70">
        <v>35169</v>
      </c>
      <c r="C153" s="71">
        <v>33302</v>
      </c>
      <c r="D153" s="72" t="s">
        <v>548</v>
      </c>
      <c r="E153" s="73" t="s">
        <v>21</v>
      </c>
      <c r="F153" s="73" t="s">
        <v>549</v>
      </c>
      <c r="G153" s="73" t="s">
        <v>550</v>
      </c>
      <c r="H153" s="74" t="s">
        <v>349</v>
      </c>
      <c r="I153" s="75">
        <v>49.56</v>
      </c>
      <c r="J153" s="88">
        <v>54.95</v>
      </c>
      <c r="K153" s="77">
        <v>76.400000000000006</v>
      </c>
      <c r="L153" s="77">
        <v>63.4</v>
      </c>
      <c r="M153" s="70">
        <v>35310</v>
      </c>
      <c r="N153" s="68">
        <v>38227</v>
      </c>
    </row>
    <row r="154" spans="1:20" s="66" customFormat="1" ht="18.75" customHeight="1" x14ac:dyDescent="0.2">
      <c r="A154" s="79"/>
      <c r="B154" s="79"/>
      <c r="C154" s="80"/>
      <c r="E154" s="81" t="s">
        <v>428</v>
      </c>
      <c r="F154" s="81" t="s">
        <v>428</v>
      </c>
      <c r="G154" s="81" t="s">
        <v>368</v>
      </c>
      <c r="H154" s="82" t="s">
        <v>349</v>
      </c>
      <c r="I154" s="83">
        <v>27.05</v>
      </c>
      <c r="J154" s="90">
        <v>45.05</v>
      </c>
      <c r="K154" s="91"/>
      <c r="R154" s="72"/>
      <c r="T154" s="72"/>
    </row>
    <row r="155" spans="1:20" s="66" customFormat="1" ht="18.75" customHeight="1" x14ac:dyDescent="0.2">
      <c r="A155" s="79"/>
      <c r="B155" s="79"/>
      <c r="C155" s="80"/>
      <c r="E155" s="81" t="s">
        <v>19</v>
      </c>
      <c r="F155" s="81" t="s">
        <v>551</v>
      </c>
      <c r="G155" s="81" t="s">
        <v>353</v>
      </c>
      <c r="H155" s="82"/>
      <c r="I155" s="83">
        <v>23.39</v>
      </c>
      <c r="J155" s="84"/>
      <c r="K155" s="91"/>
      <c r="R155" s="72"/>
    </row>
    <row r="156" spans="1:20" s="66" customFormat="1" ht="18.75" customHeight="1" x14ac:dyDescent="0.2">
      <c r="A156" s="79"/>
      <c r="B156" s="79"/>
      <c r="C156" s="80"/>
      <c r="E156" s="81"/>
      <c r="F156" s="81"/>
      <c r="G156" s="81" t="s">
        <v>353</v>
      </c>
      <c r="H156" s="82"/>
      <c r="I156" s="83"/>
      <c r="J156" s="84"/>
      <c r="K156" s="91"/>
      <c r="R156" s="72"/>
    </row>
    <row r="157" spans="1:20" s="72" customFormat="1" ht="18.75" customHeight="1" x14ac:dyDescent="0.2">
      <c r="A157" s="70">
        <v>35176</v>
      </c>
      <c r="B157" s="70">
        <v>35190</v>
      </c>
      <c r="C157" s="71">
        <v>33601</v>
      </c>
      <c r="D157" s="72" t="s">
        <v>552</v>
      </c>
      <c r="E157" s="73" t="s">
        <v>21</v>
      </c>
      <c r="F157" s="73" t="s">
        <v>553</v>
      </c>
      <c r="G157" s="73" t="s">
        <v>550</v>
      </c>
      <c r="H157" s="74" t="s">
        <v>349</v>
      </c>
      <c r="I157" s="75">
        <v>85.28</v>
      </c>
      <c r="J157" s="76"/>
      <c r="K157" s="77">
        <v>34.1</v>
      </c>
      <c r="L157" s="77"/>
      <c r="M157" s="70">
        <v>35431</v>
      </c>
      <c r="N157" s="68">
        <v>37772</v>
      </c>
    </row>
    <row r="158" spans="1:20" s="66" customFormat="1" ht="18.75" customHeight="1" x14ac:dyDescent="0.2">
      <c r="A158" s="79"/>
      <c r="B158" s="79"/>
      <c r="C158" s="80"/>
      <c r="G158" s="66" t="s">
        <v>353</v>
      </c>
      <c r="H158" s="82"/>
      <c r="I158" s="87"/>
      <c r="J158" s="84"/>
      <c r="K158" s="91"/>
      <c r="R158" s="72"/>
    </row>
    <row r="159" spans="1:20" s="72" customFormat="1" ht="18.75" customHeight="1" x14ac:dyDescent="0.2">
      <c r="A159" s="70">
        <v>35232</v>
      </c>
      <c r="B159" s="70">
        <v>35246</v>
      </c>
      <c r="C159" s="71">
        <v>33205</v>
      </c>
      <c r="D159" s="72" t="s">
        <v>554</v>
      </c>
      <c r="E159" s="73" t="s">
        <v>19</v>
      </c>
      <c r="F159" s="73" t="s">
        <v>555</v>
      </c>
      <c r="G159" s="73" t="s">
        <v>556</v>
      </c>
      <c r="H159" s="74" t="s">
        <v>349</v>
      </c>
      <c r="I159" s="75">
        <v>56.63</v>
      </c>
      <c r="J159" s="76"/>
      <c r="K159" s="77">
        <v>54.2</v>
      </c>
      <c r="L159" s="77"/>
      <c r="M159" s="70">
        <v>35431</v>
      </c>
      <c r="N159" s="89">
        <v>38352</v>
      </c>
    </row>
    <row r="160" spans="1:20" s="66" customFormat="1" ht="18.75" customHeight="1" x14ac:dyDescent="0.2">
      <c r="A160" s="79"/>
      <c r="B160" s="79"/>
      <c r="C160" s="80"/>
      <c r="E160" s="81" t="s">
        <v>21</v>
      </c>
      <c r="F160" s="81" t="s">
        <v>557</v>
      </c>
      <c r="G160" s="81" t="s">
        <v>381</v>
      </c>
      <c r="H160" s="82" t="s">
        <v>349</v>
      </c>
      <c r="I160" s="83">
        <v>34.24</v>
      </c>
      <c r="J160" s="84"/>
      <c r="K160" s="91"/>
      <c r="R160" s="72"/>
    </row>
    <row r="161" spans="1:18" s="66" customFormat="1" ht="18.75" customHeight="1" x14ac:dyDescent="0.2">
      <c r="A161" s="79"/>
      <c r="B161" s="79"/>
      <c r="C161" s="80"/>
      <c r="E161" s="81" t="s">
        <v>55</v>
      </c>
      <c r="F161" s="81" t="s">
        <v>558</v>
      </c>
      <c r="G161" s="81" t="s">
        <v>407</v>
      </c>
      <c r="H161" s="82" t="s">
        <v>349</v>
      </c>
      <c r="I161" s="83">
        <v>9.1300000000000008</v>
      </c>
      <c r="J161" s="84"/>
      <c r="K161" s="91"/>
      <c r="R161" s="72"/>
    </row>
    <row r="162" spans="1:18" s="66" customFormat="1" ht="18.75" customHeight="1" x14ac:dyDescent="0.2">
      <c r="A162" s="79"/>
      <c r="B162" s="79"/>
      <c r="C162" s="80"/>
      <c r="E162" s="81"/>
      <c r="F162" s="81"/>
      <c r="G162" s="81" t="s">
        <v>353</v>
      </c>
      <c r="H162" s="82"/>
      <c r="I162" s="83"/>
      <c r="J162" s="84"/>
      <c r="K162" s="91"/>
      <c r="R162" s="72"/>
    </row>
    <row r="163" spans="1:18" s="72" customFormat="1" ht="18.75" customHeight="1" x14ac:dyDescent="0.2">
      <c r="A163" s="70">
        <v>35260</v>
      </c>
      <c r="B163" s="70">
        <v>35274</v>
      </c>
      <c r="C163" s="71">
        <v>13703</v>
      </c>
      <c r="D163" s="72" t="s">
        <v>559</v>
      </c>
      <c r="E163" s="73" t="s">
        <v>19</v>
      </c>
      <c r="F163" s="73" t="s">
        <v>560</v>
      </c>
      <c r="G163" s="73" t="s">
        <v>561</v>
      </c>
      <c r="H163" s="74" t="s">
        <v>349</v>
      </c>
      <c r="I163" s="75">
        <v>69.540000000000006</v>
      </c>
      <c r="J163" s="76"/>
      <c r="K163" s="77">
        <v>48.6</v>
      </c>
      <c r="L163" s="77"/>
      <c r="M163" s="70">
        <v>35491</v>
      </c>
      <c r="N163" s="89">
        <v>38412</v>
      </c>
    </row>
    <row r="164" spans="1:18" s="66" customFormat="1" ht="18.75" customHeight="1" x14ac:dyDescent="0.2">
      <c r="A164" s="79"/>
      <c r="B164" s="79"/>
      <c r="C164" s="80"/>
      <c r="E164" s="81" t="s">
        <v>21</v>
      </c>
      <c r="F164" s="81" t="s">
        <v>428</v>
      </c>
      <c r="G164" s="81" t="s">
        <v>562</v>
      </c>
      <c r="H164" s="82" t="s">
        <v>349</v>
      </c>
      <c r="I164" s="83">
        <v>30.46</v>
      </c>
      <c r="J164" s="84"/>
      <c r="K164" s="91"/>
      <c r="R164" s="72"/>
    </row>
    <row r="165" spans="1:18" s="66" customFormat="1" ht="18.75" customHeight="1" x14ac:dyDescent="0.2">
      <c r="A165" s="79"/>
      <c r="B165" s="79"/>
      <c r="C165" s="80"/>
      <c r="E165" s="86"/>
      <c r="G165" s="66" t="s">
        <v>353</v>
      </c>
      <c r="H165" s="82"/>
      <c r="I165" s="87"/>
      <c r="J165" s="84"/>
      <c r="K165" s="91"/>
      <c r="R165" s="72"/>
    </row>
    <row r="166" spans="1:18" s="72" customFormat="1" ht="18.75" customHeight="1" x14ac:dyDescent="0.2">
      <c r="A166" s="70">
        <v>35330</v>
      </c>
      <c r="B166" s="70">
        <v>35344</v>
      </c>
      <c r="C166" s="71">
        <v>33402</v>
      </c>
      <c r="D166" s="72" t="s">
        <v>563</v>
      </c>
      <c r="E166" s="73" t="s">
        <v>19</v>
      </c>
      <c r="F166" s="73" t="s">
        <v>564</v>
      </c>
      <c r="G166" s="73" t="s">
        <v>565</v>
      </c>
      <c r="H166" s="74" t="s">
        <v>349</v>
      </c>
      <c r="I166" s="75">
        <v>86.2</v>
      </c>
      <c r="J166" s="76"/>
      <c r="K166" s="77">
        <v>38.9</v>
      </c>
      <c r="L166" s="77"/>
      <c r="M166" s="70">
        <v>35521</v>
      </c>
      <c r="N166" s="89">
        <v>38442</v>
      </c>
    </row>
    <row r="167" spans="1:18" s="66" customFormat="1" ht="18.75" customHeight="1" x14ac:dyDescent="0.2">
      <c r="A167" s="79"/>
      <c r="B167" s="79"/>
      <c r="C167" s="80"/>
      <c r="E167" s="86"/>
      <c r="G167" s="66" t="s">
        <v>353</v>
      </c>
      <c r="H167" s="82"/>
      <c r="I167" s="87"/>
      <c r="J167" s="84"/>
      <c r="K167" s="91"/>
      <c r="R167" s="72"/>
    </row>
    <row r="168" spans="1:18" s="72" customFormat="1" ht="18.75" customHeight="1" x14ac:dyDescent="0.2">
      <c r="A168" s="70">
        <v>35344</v>
      </c>
      <c r="B168" s="70">
        <v>35358</v>
      </c>
      <c r="C168" s="71">
        <v>33804</v>
      </c>
      <c r="D168" s="72" t="s">
        <v>566</v>
      </c>
      <c r="E168" s="73" t="s">
        <v>21</v>
      </c>
      <c r="F168" s="73" t="s">
        <v>567</v>
      </c>
      <c r="G168" s="73" t="s">
        <v>568</v>
      </c>
      <c r="H168" s="74" t="s">
        <v>349</v>
      </c>
      <c r="I168" s="75">
        <v>62.7</v>
      </c>
      <c r="J168" s="76"/>
      <c r="K168" s="77">
        <v>50.1</v>
      </c>
      <c r="L168" s="77"/>
      <c r="M168" s="70">
        <v>35606</v>
      </c>
      <c r="N168" s="89">
        <v>38527</v>
      </c>
    </row>
    <row r="169" spans="1:18" s="66" customFormat="1" ht="18.75" customHeight="1" x14ac:dyDescent="0.2">
      <c r="A169" s="79"/>
      <c r="B169" s="79"/>
      <c r="C169" s="80"/>
      <c r="E169" s="81" t="s">
        <v>19</v>
      </c>
      <c r="F169" s="81" t="s">
        <v>569</v>
      </c>
      <c r="G169" s="81" t="s">
        <v>570</v>
      </c>
      <c r="H169" s="82" t="s">
        <v>349</v>
      </c>
      <c r="I169" s="83">
        <v>24.78</v>
      </c>
      <c r="J169" s="84"/>
      <c r="K169" s="91"/>
      <c r="R169" s="72"/>
    </row>
    <row r="170" spans="1:18" s="66" customFormat="1" ht="18.75" customHeight="1" x14ac:dyDescent="0.2">
      <c r="A170" s="79"/>
      <c r="B170" s="79"/>
      <c r="C170" s="80"/>
      <c r="E170" s="81" t="s">
        <v>38</v>
      </c>
      <c r="F170" s="81" t="s">
        <v>571</v>
      </c>
      <c r="G170" s="81" t="s">
        <v>348</v>
      </c>
      <c r="H170" s="82" t="s">
        <v>349</v>
      </c>
      <c r="I170" s="83">
        <v>12.52</v>
      </c>
      <c r="J170" s="84"/>
      <c r="K170" s="91"/>
      <c r="R170" s="72"/>
    </row>
    <row r="171" spans="1:18" s="66" customFormat="1" ht="18.75" customHeight="1" x14ac:dyDescent="0.2">
      <c r="A171" s="79"/>
      <c r="B171" s="79"/>
      <c r="C171" s="80"/>
      <c r="E171" s="81"/>
      <c r="F171" s="81"/>
      <c r="G171" s="81" t="s">
        <v>353</v>
      </c>
      <c r="H171" s="82"/>
      <c r="I171" s="83"/>
      <c r="J171" s="84"/>
      <c r="K171" s="91"/>
      <c r="R171" s="72"/>
    </row>
    <row r="172" spans="1:18" s="72" customFormat="1" ht="18.75" customHeight="1" x14ac:dyDescent="0.2">
      <c r="A172" s="70">
        <v>35372</v>
      </c>
      <c r="B172" s="70">
        <v>35386</v>
      </c>
      <c r="C172" s="71">
        <v>14002</v>
      </c>
      <c r="D172" s="72" t="s">
        <v>572</v>
      </c>
      <c r="E172" s="73" t="s">
        <v>21</v>
      </c>
      <c r="F172" s="73" t="s">
        <v>507</v>
      </c>
      <c r="G172" s="73" t="s">
        <v>389</v>
      </c>
      <c r="H172" s="74" t="s">
        <v>349</v>
      </c>
      <c r="I172" s="75">
        <v>54.93</v>
      </c>
      <c r="J172" s="76"/>
      <c r="K172" s="77">
        <v>59.4</v>
      </c>
      <c r="L172" s="77"/>
      <c r="M172" s="70">
        <v>35490</v>
      </c>
      <c r="N172" s="89">
        <v>38411</v>
      </c>
    </row>
    <row r="173" spans="1:18" s="66" customFormat="1" ht="18.75" customHeight="1" x14ac:dyDescent="0.2">
      <c r="A173" s="79"/>
      <c r="B173" s="79"/>
      <c r="C173" s="80"/>
      <c r="E173" s="81" t="s">
        <v>19</v>
      </c>
      <c r="F173" s="81" t="s">
        <v>573</v>
      </c>
      <c r="G173" s="81" t="s">
        <v>451</v>
      </c>
      <c r="H173" s="82" t="s">
        <v>349</v>
      </c>
      <c r="I173" s="83">
        <v>45.07</v>
      </c>
      <c r="J173" s="84"/>
      <c r="K173" s="91"/>
      <c r="R173" s="72"/>
    </row>
    <row r="174" spans="1:18" s="66" customFormat="1" ht="18.75" customHeight="1" x14ac:dyDescent="0.2">
      <c r="A174" s="79"/>
      <c r="B174" s="79"/>
      <c r="C174" s="80"/>
      <c r="E174" s="81"/>
      <c r="F174" s="81"/>
      <c r="G174" s="81" t="s">
        <v>353</v>
      </c>
      <c r="H174" s="82"/>
      <c r="I174" s="83"/>
      <c r="J174" s="84"/>
      <c r="K174" s="91"/>
      <c r="R174" s="72"/>
    </row>
    <row r="175" spans="1:18" s="72" customFormat="1" ht="18.75" customHeight="1" x14ac:dyDescent="0.2">
      <c r="A175" s="70">
        <v>35379</v>
      </c>
      <c r="B175" s="70">
        <v>35393</v>
      </c>
      <c r="C175" s="71">
        <v>13303</v>
      </c>
      <c r="D175" s="72" t="s">
        <v>574</v>
      </c>
      <c r="E175" s="73" t="s">
        <v>21</v>
      </c>
      <c r="F175" s="73" t="s">
        <v>575</v>
      </c>
      <c r="G175" s="73" t="s">
        <v>355</v>
      </c>
      <c r="H175" s="74" t="s">
        <v>349</v>
      </c>
      <c r="I175" s="75">
        <v>68.66</v>
      </c>
      <c r="J175" s="76"/>
      <c r="K175" s="77">
        <v>55.7</v>
      </c>
      <c r="L175" s="77"/>
      <c r="M175" s="70">
        <v>35492</v>
      </c>
      <c r="N175" s="89">
        <v>38413</v>
      </c>
    </row>
    <row r="176" spans="1:18" s="66" customFormat="1" ht="18.75" customHeight="1" x14ac:dyDescent="0.2">
      <c r="A176" s="79"/>
      <c r="B176" s="79"/>
      <c r="C176" s="80"/>
      <c r="E176" s="81" t="s">
        <v>19</v>
      </c>
      <c r="F176" s="81" t="s">
        <v>576</v>
      </c>
      <c r="G176" s="81" t="s">
        <v>577</v>
      </c>
      <c r="H176" s="82" t="s">
        <v>419</v>
      </c>
      <c r="I176" s="83">
        <v>10.01</v>
      </c>
      <c r="J176" s="84"/>
      <c r="K176" s="91"/>
      <c r="R176" s="72"/>
    </row>
    <row r="177" spans="1:20" s="66" customFormat="1" ht="18.75" customHeight="1" x14ac:dyDescent="0.2">
      <c r="A177" s="79"/>
      <c r="B177" s="79"/>
      <c r="C177" s="80"/>
      <c r="E177" s="81" t="s">
        <v>34</v>
      </c>
      <c r="F177" s="81" t="s">
        <v>578</v>
      </c>
      <c r="G177" s="81" t="s">
        <v>570</v>
      </c>
      <c r="H177" s="82" t="s">
        <v>349</v>
      </c>
      <c r="I177" s="83">
        <v>7.67</v>
      </c>
      <c r="J177" s="84"/>
      <c r="K177" s="91"/>
      <c r="R177" s="72"/>
    </row>
    <row r="178" spans="1:20" s="66" customFormat="1" ht="18.75" customHeight="1" x14ac:dyDescent="0.2">
      <c r="A178" s="79"/>
      <c r="B178" s="79"/>
      <c r="C178" s="80"/>
      <c r="E178" s="81" t="s">
        <v>109</v>
      </c>
      <c r="F178" s="81" t="s">
        <v>109</v>
      </c>
      <c r="G178" s="81" t="s">
        <v>579</v>
      </c>
      <c r="H178" s="82" t="s">
        <v>349</v>
      </c>
      <c r="I178" s="83">
        <v>7.18</v>
      </c>
      <c r="J178" s="84"/>
      <c r="K178" s="91"/>
      <c r="R178" s="72"/>
      <c r="T178" s="72"/>
    </row>
    <row r="179" spans="1:20" s="66" customFormat="1" ht="18.75" customHeight="1" x14ac:dyDescent="0.2">
      <c r="A179" s="79"/>
      <c r="B179" s="79"/>
      <c r="C179" s="80"/>
      <c r="E179" s="81" t="s">
        <v>580</v>
      </c>
      <c r="F179" s="81" t="s">
        <v>580</v>
      </c>
      <c r="G179" s="81" t="s">
        <v>581</v>
      </c>
      <c r="H179" s="82" t="s">
        <v>349</v>
      </c>
      <c r="I179" s="83">
        <v>6.49</v>
      </c>
      <c r="J179" s="84"/>
      <c r="K179" s="91"/>
      <c r="R179" s="72"/>
      <c r="T179" s="72"/>
    </row>
    <row r="180" spans="1:20" s="66" customFormat="1" ht="18.75" customHeight="1" x14ac:dyDescent="0.2">
      <c r="A180" s="79"/>
      <c r="B180" s="79"/>
      <c r="C180" s="80"/>
      <c r="E180" s="81"/>
      <c r="F180" s="81"/>
      <c r="G180" s="81" t="s">
        <v>353</v>
      </c>
      <c r="H180" s="82"/>
      <c r="I180" s="83"/>
      <c r="J180" s="84"/>
      <c r="K180" s="91"/>
      <c r="R180" s="72"/>
    </row>
    <row r="181" spans="1:20" s="72" customFormat="1" ht="18.75" customHeight="1" x14ac:dyDescent="0.2">
      <c r="A181" s="70">
        <v>35407</v>
      </c>
      <c r="B181" s="70">
        <v>35421</v>
      </c>
      <c r="C181" s="71">
        <v>33505</v>
      </c>
      <c r="D181" s="72" t="s">
        <v>582</v>
      </c>
      <c r="E181" s="73" t="s">
        <v>19</v>
      </c>
      <c r="F181" s="73" t="s">
        <v>583</v>
      </c>
      <c r="G181" s="73" t="s">
        <v>358</v>
      </c>
      <c r="H181" s="74" t="s">
        <v>349</v>
      </c>
      <c r="I181" s="75">
        <v>66.3</v>
      </c>
      <c r="J181" s="76"/>
      <c r="K181" s="77">
        <v>46.9</v>
      </c>
      <c r="L181" s="77"/>
      <c r="M181" s="70">
        <v>35439</v>
      </c>
      <c r="N181" s="89">
        <v>38360</v>
      </c>
    </row>
    <row r="182" spans="1:20" s="66" customFormat="1" ht="18.75" customHeight="1" x14ac:dyDescent="0.2">
      <c r="A182" s="79"/>
      <c r="B182" s="79"/>
      <c r="C182" s="80"/>
      <c r="E182" s="81" t="s">
        <v>21</v>
      </c>
      <c r="F182" s="81" t="s">
        <v>584</v>
      </c>
      <c r="G182" s="81" t="s">
        <v>585</v>
      </c>
      <c r="H182" s="82" t="s">
        <v>349</v>
      </c>
      <c r="I182" s="83">
        <v>20.46</v>
      </c>
      <c r="J182" s="84"/>
      <c r="K182" s="91"/>
      <c r="R182" s="72"/>
    </row>
    <row r="183" spans="1:20" s="66" customFormat="1" ht="18.75" customHeight="1" x14ac:dyDescent="0.2">
      <c r="A183" s="79"/>
      <c r="B183" s="79"/>
      <c r="C183" s="80"/>
      <c r="E183" s="81" t="s">
        <v>55</v>
      </c>
      <c r="F183" s="81" t="s">
        <v>586</v>
      </c>
      <c r="G183" s="81" t="s">
        <v>587</v>
      </c>
      <c r="H183" s="82" t="s">
        <v>349</v>
      </c>
      <c r="I183" s="83">
        <v>7.24</v>
      </c>
      <c r="J183" s="84"/>
      <c r="K183" s="91"/>
      <c r="R183" s="72"/>
    </row>
    <row r="184" spans="1:20" s="66" customFormat="1" ht="18.75" customHeight="1" x14ac:dyDescent="0.2">
      <c r="A184" s="79"/>
      <c r="B184" s="79"/>
      <c r="C184" s="80"/>
      <c r="E184" s="81" t="s">
        <v>38</v>
      </c>
      <c r="F184" s="81" t="s">
        <v>588</v>
      </c>
      <c r="G184" s="81" t="s">
        <v>374</v>
      </c>
      <c r="H184" s="82" t="s">
        <v>349</v>
      </c>
      <c r="I184" s="83">
        <v>5.99</v>
      </c>
      <c r="J184" s="84"/>
      <c r="K184" s="91"/>
      <c r="R184" s="72"/>
    </row>
    <row r="185" spans="1:20" s="66" customFormat="1" ht="18.75" customHeight="1" x14ac:dyDescent="0.2">
      <c r="A185" s="79"/>
      <c r="B185" s="79"/>
      <c r="C185" s="80"/>
      <c r="E185" s="86"/>
      <c r="G185" s="66" t="s">
        <v>353</v>
      </c>
      <c r="H185" s="82"/>
      <c r="I185" s="87"/>
      <c r="J185" s="84"/>
      <c r="K185" s="91"/>
      <c r="R185" s="72"/>
    </row>
    <row r="186" spans="1:20" s="72" customFormat="1" ht="18.75" customHeight="1" x14ac:dyDescent="0.2">
      <c r="A186" s="70">
        <v>35498</v>
      </c>
      <c r="B186" s="70">
        <v>35512</v>
      </c>
      <c r="C186" s="71">
        <v>14105</v>
      </c>
      <c r="D186" s="72" t="s">
        <v>589</v>
      </c>
      <c r="E186" s="73" t="s">
        <v>55</v>
      </c>
      <c r="F186" s="73" t="s">
        <v>590</v>
      </c>
      <c r="G186" s="73" t="s">
        <v>591</v>
      </c>
      <c r="H186" s="74" t="s">
        <v>349</v>
      </c>
      <c r="I186" s="75">
        <v>46.86</v>
      </c>
      <c r="J186" s="88">
        <v>63.72</v>
      </c>
      <c r="K186" s="77">
        <v>61.2</v>
      </c>
      <c r="L186" s="77">
        <v>59.6</v>
      </c>
      <c r="M186" s="70">
        <v>35612</v>
      </c>
      <c r="N186" s="89">
        <v>38533</v>
      </c>
    </row>
    <row r="187" spans="1:20" s="66" customFormat="1" ht="18.75" customHeight="1" x14ac:dyDescent="0.2">
      <c r="A187" s="79"/>
      <c r="B187" s="79"/>
      <c r="C187" s="80"/>
      <c r="E187" s="81" t="s">
        <v>21</v>
      </c>
      <c r="F187" s="81" t="s">
        <v>592</v>
      </c>
      <c r="G187" s="81" t="s">
        <v>593</v>
      </c>
      <c r="H187" s="82" t="s">
        <v>349</v>
      </c>
      <c r="I187" s="83">
        <v>38.58</v>
      </c>
      <c r="J187" s="90">
        <v>36.28</v>
      </c>
      <c r="K187" s="91"/>
      <c r="R187" s="72"/>
    </row>
    <row r="188" spans="1:20" s="66" customFormat="1" ht="18.75" customHeight="1" x14ac:dyDescent="0.2">
      <c r="A188" s="79"/>
      <c r="B188" s="79"/>
      <c r="C188" s="80"/>
      <c r="E188" s="81" t="s">
        <v>19</v>
      </c>
      <c r="F188" s="81" t="s">
        <v>594</v>
      </c>
      <c r="G188" s="81" t="s">
        <v>595</v>
      </c>
      <c r="H188" s="82" t="s">
        <v>349</v>
      </c>
      <c r="I188" s="83">
        <v>11.25</v>
      </c>
      <c r="J188" s="84"/>
      <c r="K188" s="91"/>
      <c r="R188" s="72"/>
    </row>
    <row r="189" spans="1:20" s="66" customFormat="1" ht="18.75" customHeight="1" x14ac:dyDescent="0.2">
      <c r="A189" s="79"/>
      <c r="B189" s="79"/>
      <c r="C189" s="80"/>
      <c r="E189" s="81" t="s">
        <v>596</v>
      </c>
      <c r="F189" s="81" t="s">
        <v>596</v>
      </c>
      <c r="G189" s="81" t="s">
        <v>423</v>
      </c>
      <c r="H189" s="82" t="s">
        <v>349</v>
      </c>
      <c r="I189" s="83">
        <v>3.3</v>
      </c>
      <c r="J189" s="84"/>
      <c r="K189" s="91"/>
      <c r="R189" s="72"/>
      <c r="T189" s="72"/>
    </row>
    <row r="190" spans="1:20" s="66" customFormat="1" ht="18.75" customHeight="1" x14ac:dyDescent="0.2">
      <c r="A190" s="79"/>
      <c r="B190" s="79"/>
      <c r="C190" s="80"/>
      <c r="E190" s="81"/>
      <c r="F190" s="81"/>
      <c r="G190" s="81" t="s">
        <v>353</v>
      </c>
      <c r="H190" s="82"/>
      <c r="I190" s="83"/>
      <c r="J190" s="84"/>
      <c r="K190" s="91"/>
      <c r="R190" s="72"/>
    </row>
    <row r="191" spans="1:20" s="72" customFormat="1" ht="18.75" customHeight="1" x14ac:dyDescent="0.2">
      <c r="A191" s="70">
        <v>35533</v>
      </c>
      <c r="B191" s="70">
        <v>35547</v>
      </c>
      <c r="C191" s="71">
        <v>23507</v>
      </c>
      <c r="D191" s="72" t="s">
        <v>597</v>
      </c>
      <c r="E191" s="73" t="s">
        <v>19</v>
      </c>
      <c r="F191" s="73" t="s">
        <v>598</v>
      </c>
      <c r="G191" s="73" t="s">
        <v>440</v>
      </c>
      <c r="H191" s="74" t="s">
        <v>349</v>
      </c>
      <c r="I191" s="75">
        <v>36.33</v>
      </c>
      <c r="J191" s="88">
        <v>55.68</v>
      </c>
      <c r="K191" s="77">
        <v>48.7</v>
      </c>
      <c r="L191" s="76">
        <v>45.4</v>
      </c>
      <c r="M191" s="70">
        <v>35674</v>
      </c>
      <c r="N191" s="78">
        <v>37547</v>
      </c>
    </row>
    <row r="192" spans="1:20" s="66" customFormat="1" ht="18.75" customHeight="1" x14ac:dyDescent="0.2">
      <c r="A192" s="79"/>
      <c r="B192" s="79"/>
      <c r="C192" s="80"/>
      <c r="E192" s="81" t="s">
        <v>21</v>
      </c>
      <c r="F192" s="81" t="s">
        <v>599</v>
      </c>
      <c r="G192" s="81" t="s">
        <v>381</v>
      </c>
      <c r="H192" s="82" t="s">
        <v>349</v>
      </c>
      <c r="I192" s="83">
        <v>30.05</v>
      </c>
      <c r="J192" s="90">
        <v>44.32</v>
      </c>
      <c r="K192" s="85"/>
      <c r="R192" s="72"/>
    </row>
    <row r="193" spans="1:20" s="66" customFormat="1" ht="18.75" customHeight="1" x14ac:dyDescent="0.2">
      <c r="A193" s="79"/>
      <c r="B193" s="79"/>
      <c r="C193" s="80"/>
      <c r="E193" s="81" t="s">
        <v>55</v>
      </c>
      <c r="F193" s="81" t="s">
        <v>600</v>
      </c>
      <c r="G193" s="81" t="s">
        <v>601</v>
      </c>
      <c r="H193" s="82" t="s">
        <v>349</v>
      </c>
      <c r="I193" s="83">
        <v>27.05</v>
      </c>
      <c r="J193" s="84"/>
      <c r="K193" s="85"/>
      <c r="R193" s="72"/>
    </row>
    <row r="194" spans="1:20" s="66" customFormat="1" ht="18.75" customHeight="1" x14ac:dyDescent="0.2">
      <c r="A194" s="79"/>
      <c r="B194" s="79"/>
      <c r="C194" s="80"/>
      <c r="E194" s="81" t="s">
        <v>34</v>
      </c>
      <c r="F194" s="81" t="s">
        <v>207</v>
      </c>
      <c r="G194" s="81" t="s">
        <v>358</v>
      </c>
      <c r="H194" s="82" t="s">
        <v>349</v>
      </c>
      <c r="I194" s="83">
        <v>6.58</v>
      </c>
      <c r="J194" s="84"/>
      <c r="K194" s="85"/>
      <c r="R194" s="72"/>
    </row>
    <row r="195" spans="1:20" s="66" customFormat="1" ht="18.75" customHeight="1" x14ac:dyDescent="0.2">
      <c r="A195" s="79"/>
      <c r="B195" s="79"/>
      <c r="C195" s="80"/>
      <c r="E195" s="81"/>
      <c r="F195" s="81"/>
      <c r="G195" s="81" t="s">
        <v>353</v>
      </c>
      <c r="H195" s="82"/>
      <c r="I195" s="83"/>
      <c r="J195" s="84"/>
      <c r="K195" s="85"/>
      <c r="R195" s="72"/>
    </row>
    <row r="196" spans="1:20" s="72" customFormat="1" ht="18.75" customHeight="1" x14ac:dyDescent="0.2">
      <c r="A196" s="70">
        <v>35533</v>
      </c>
      <c r="B196" s="70">
        <v>35547</v>
      </c>
      <c r="C196" s="71">
        <v>34005</v>
      </c>
      <c r="D196" s="72" t="s">
        <v>602</v>
      </c>
      <c r="E196" s="73" t="s">
        <v>21</v>
      </c>
      <c r="F196" s="73" t="s">
        <v>603</v>
      </c>
      <c r="G196" s="73" t="s">
        <v>604</v>
      </c>
      <c r="H196" s="74" t="s">
        <v>349</v>
      </c>
      <c r="I196" s="75">
        <v>45.26</v>
      </c>
      <c r="J196" s="88">
        <v>59.67</v>
      </c>
      <c r="K196" s="77">
        <v>58.2</v>
      </c>
      <c r="L196" s="77">
        <v>54.7</v>
      </c>
      <c r="M196" s="70">
        <v>35704</v>
      </c>
      <c r="N196" s="89">
        <v>38625</v>
      </c>
    </row>
    <row r="197" spans="1:20" s="66" customFormat="1" ht="18.75" customHeight="1" x14ac:dyDescent="0.2">
      <c r="A197" s="79"/>
      <c r="B197" s="79"/>
      <c r="C197" s="80"/>
      <c r="E197" s="81" t="s">
        <v>19</v>
      </c>
      <c r="F197" s="81" t="s">
        <v>605</v>
      </c>
      <c r="G197" s="81" t="s">
        <v>606</v>
      </c>
      <c r="H197" s="82" t="s">
        <v>349</v>
      </c>
      <c r="I197" s="83">
        <v>32.14</v>
      </c>
      <c r="J197" s="90">
        <v>40.33</v>
      </c>
      <c r="K197" s="91"/>
      <c r="R197" s="72"/>
    </row>
    <row r="198" spans="1:20" s="66" customFormat="1" ht="18.75" customHeight="1" x14ac:dyDescent="0.2">
      <c r="A198" s="79"/>
      <c r="B198" s="79"/>
      <c r="C198" s="80"/>
      <c r="E198" s="81" t="s">
        <v>607</v>
      </c>
      <c r="F198" s="81" t="s">
        <v>607</v>
      </c>
      <c r="G198" s="81" t="s">
        <v>358</v>
      </c>
      <c r="H198" s="82" t="s">
        <v>349</v>
      </c>
      <c r="I198" s="83">
        <v>22.6</v>
      </c>
      <c r="J198" s="84"/>
      <c r="K198" s="91"/>
      <c r="R198" s="72"/>
      <c r="T198" s="72"/>
    </row>
    <row r="199" spans="1:20" s="66" customFormat="1" ht="18.75" customHeight="1" x14ac:dyDescent="0.2">
      <c r="A199" s="79"/>
      <c r="B199" s="79"/>
      <c r="C199" s="80"/>
      <c r="E199" s="81"/>
      <c r="F199" s="81"/>
      <c r="G199" s="81" t="s">
        <v>353</v>
      </c>
      <c r="H199" s="82"/>
      <c r="I199" s="83"/>
      <c r="J199" s="84"/>
      <c r="K199" s="91"/>
      <c r="R199" s="72"/>
    </row>
    <row r="200" spans="1:20" s="72" customFormat="1" ht="18.75" customHeight="1" x14ac:dyDescent="0.2">
      <c r="A200" s="70">
        <v>35540</v>
      </c>
      <c r="B200" s="70">
        <v>35554</v>
      </c>
      <c r="C200" s="71">
        <v>13708</v>
      </c>
      <c r="D200" s="72" t="s">
        <v>608</v>
      </c>
      <c r="E200" s="73" t="s">
        <v>19</v>
      </c>
      <c r="F200" s="73" t="s">
        <v>609</v>
      </c>
      <c r="G200" s="73" t="s">
        <v>550</v>
      </c>
      <c r="H200" s="74" t="s">
        <v>349</v>
      </c>
      <c r="I200" s="75">
        <v>59.18</v>
      </c>
      <c r="J200" s="76"/>
      <c r="K200" s="77">
        <v>44.3</v>
      </c>
      <c r="L200" s="77"/>
      <c r="M200" s="70">
        <v>35708</v>
      </c>
      <c r="N200" s="89">
        <v>38629</v>
      </c>
    </row>
    <row r="201" spans="1:20" s="66" customFormat="1" ht="18.75" customHeight="1" x14ac:dyDescent="0.2">
      <c r="A201" s="79"/>
      <c r="B201" s="79"/>
      <c r="C201" s="80"/>
      <c r="E201" s="81" t="s">
        <v>21</v>
      </c>
      <c r="F201" s="81" t="s">
        <v>610</v>
      </c>
      <c r="G201" s="81" t="s">
        <v>611</v>
      </c>
      <c r="H201" s="82" t="s">
        <v>349</v>
      </c>
      <c r="I201" s="83">
        <v>40.82</v>
      </c>
      <c r="J201" s="84"/>
      <c r="K201" s="91"/>
      <c r="R201" s="72"/>
    </row>
    <row r="202" spans="1:20" s="66" customFormat="1" ht="18.75" customHeight="1" x14ac:dyDescent="0.2">
      <c r="A202" s="79"/>
      <c r="B202" s="79"/>
      <c r="C202" s="80"/>
      <c r="E202" s="86"/>
      <c r="G202" s="66" t="s">
        <v>353</v>
      </c>
      <c r="H202" s="82"/>
      <c r="I202" s="87"/>
      <c r="J202" s="84"/>
      <c r="K202" s="91"/>
      <c r="R202" s="72"/>
    </row>
    <row r="203" spans="1:20" s="72" customFormat="1" ht="18.75" customHeight="1" x14ac:dyDescent="0.2">
      <c r="A203" s="70">
        <v>35540</v>
      </c>
      <c r="B203" s="70">
        <v>35554</v>
      </c>
      <c r="C203" s="71">
        <v>33304</v>
      </c>
      <c r="D203" s="72" t="s">
        <v>612</v>
      </c>
      <c r="E203" s="73" t="s">
        <v>613</v>
      </c>
      <c r="F203" s="73" t="s">
        <v>614</v>
      </c>
      <c r="G203" s="73" t="s">
        <v>615</v>
      </c>
      <c r="H203" s="74" t="s">
        <v>349</v>
      </c>
      <c r="I203" s="75">
        <v>58.31</v>
      </c>
      <c r="J203" s="76"/>
      <c r="K203" s="77">
        <v>55.7</v>
      </c>
      <c r="L203" s="77"/>
      <c r="M203" s="70">
        <v>35704</v>
      </c>
      <c r="N203" s="89">
        <v>38625</v>
      </c>
    </row>
    <row r="204" spans="1:20" s="66" customFormat="1" ht="18.75" customHeight="1" x14ac:dyDescent="0.2">
      <c r="A204" s="79"/>
      <c r="B204" s="79"/>
      <c r="C204" s="80"/>
      <c r="E204" s="81" t="s">
        <v>21</v>
      </c>
      <c r="F204" s="81" t="s">
        <v>616</v>
      </c>
      <c r="G204" s="81" t="s">
        <v>353</v>
      </c>
      <c r="H204" s="82"/>
      <c r="I204" s="83">
        <v>36.799999999999997</v>
      </c>
      <c r="J204" s="84"/>
      <c r="K204" s="91"/>
      <c r="R204" s="72"/>
    </row>
    <row r="205" spans="1:20" s="66" customFormat="1" ht="18.75" customHeight="1" x14ac:dyDescent="0.2">
      <c r="A205" s="79"/>
      <c r="B205" s="79"/>
      <c r="C205" s="80"/>
      <c r="E205" s="81" t="s">
        <v>34</v>
      </c>
      <c r="F205" s="81" t="s">
        <v>617</v>
      </c>
      <c r="G205" s="81" t="s">
        <v>353</v>
      </c>
      <c r="H205" s="82"/>
      <c r="I205" s="83">
        <v>4.8899999999999997</v>
      </c>
      <c r="J205" s="84"/>
      <c r="K205" s="91"/>
      <c r="R205" s="72"/>
    </row>
    <row r="206" spans="1:20" s="66" customFormat="1" ht="18.75" customHeight="1" x14ac:dyDescent="0.2">
      <c r="A206" s="79"/>
      <c r="B206" s="79"/>
      <c r="C206" s="80"/>
      <c r="E206" s="81"/>
      <c r="F206" s="81"/>
      <c r="G206" s="81" t="s">
        <v>353</v>
      </c>
      <c r="H206" s="82"/>
      <c r="I206" s="83"/>
      <c r="J206" s="84"/>
      <c r="K206" s="91"/>
      <c r="R206" s="72"/>
    </row>
    <row r="207" spans="1:20" s="72" customFormat="1" ht="18.75" customHeight="1" x14ac:dyDescent="0.2">
      <c r="A207" s="70">
        <v>35561</v>
      </c>
      <c r="B207" s="70">
        <v>35575</v>
      </c>
      <c r="C207" s="71">
        <v>14310</v>
      </c>
      <c r="D207" s="72" t="s">
        <v>618</v>
      </c>
      <c r="E207" s="73" t="s">
        <v>19</v>
      </c>
      <c r="F207" s="73" t="s">
        <v>619</v>
      </c>
      <c r="G207" s="73" t="s">
        <v>383</v>
      </c>
      <c r="H207" s="74" t="s">
        <v>349</v>
      </c>
      <c r="I207" s="75">
        <v>49.14</v>
      </c>
      <c r="J207" s="88">
        <v>66.25</v>
      </c>
      <c r="K207" s="77">
        <v>49.9</v>
      </c>
      <c r="L207" s="76">
        <v>44</v>
      </c>
      <c r="M207" s="70">
        <v>35675</v>
      </c>
      <c r="N207" s="89">
        <v>38596</v>
      </c>
    </row>
    <row r="208" spans="1:20" s="66" customFormat="1" ht="18.75" customHeight="1" x14ac:dyDescent="0.2">
      <c r="A208" s="79"/>
      <c r="B208" s="79"/>
      <c r="C208" s="80"/>
      <c r="E208" s="81" t="s">
        <v>21</v>
      </c>
      <c r="F208" s="81" t="s">
        <v>620</v>
      </c>
      <c r="G208" s="81" t="s">
        <v>512</v>
      </c>
      <c r="H208" s="82" t="s">
        <v>349</v>
      </c>
      <c r="I208" s="83">
        <v>28.03</v>
      </c>
      <c r="J208" s="90">
        <v>33.75</v>
      </c>
      <c r="K208" s="91"/>
      <c r="R208" s="72"/>
    </row>
    <row r="209" spans="1:20" s="66" customFormat="1" ht="18.75" customHeight="1" x14ac:dyDescent="0.2">
      <c r="A209" s="79"/>
      <c r="B209" s="79"/>
      <c r="C209" s="80"/>
      <c r="E209" s="81" t="s">
        <v>621</v>
      </c>
      <c r="F209" s="81" t="s">
        <v>621</v>
      </c>
      <c r="G209" s="81" t="s">
        <v>622</v>
      </c>
      <c r="H209" s="82" t="s">
        <v>349</v>
      </c>
      <c r="I209" s="83">
        <v>18.53</v>
      </c>
      <c r="J209" s="84"/>
      <c r="K209" s="91"/>
      <c r="R209" s="72"/>
      <c r="T209" s="72"/>
    </row>
    <row r="210" spans="1:20" s="66" customFormat="1" ht="18.75" customHeight="1" x14ac:dyDescent="0.2">
      <c r="A210" s="79"/>
      <c r="B210" s="79"/>
      <c r="C210" s="80"/>
      <c r="E210" s="81" t="s">
        <v>34</v>
      </c>
      <c r="F210" s="81" t="s">
        <v>623</v>
      </c>
      <c r="G210" s="81" t="s">
        <v>624</v>
      </c>
      <c r="H210" s="82" t="s">
        <v>349</v>
      </c>
      <c r="I210" s="83">
        <v>4.3</v>
      </c>
      <c r="J210" s="84"/>
      <c r="K210" s="91"/>
      <c r="R210" s="72"/>
    </row>
    <row r="211" spans="1:20" s="66" customFormat="1" ht="18.75" customHeight="1" x14ac:dyDescent="0.2">
      <c r="A211" s="79"/>
      <c r="B211" s="79"/>
      <c r="C211" s="80"/>
      <c r="E211" s="81"/>
      <c r="F211" s="81"/>
      <c r="G211" s="81" t="s">
        <v>353</v>
      </c>
      <c r="H211" s="82"/>
      <c r="I211" s="83"/>
      <c r="J211" s="84"/>
      <c r="K211" s="91"/>
      <c r="R211" s="72"/>
    </row>
    <row r="212" spans="1:20" s="72" customFormat="1" ht="18.75" customHeight="1" x14ac:dyDescent="0.2">
      <c r="A212" s="70">
        <v>35589</v>
      </c>
      <c r="B212" s="70">
        <v>35603</v>
      </c>
      <c r="C212" s="71">
        <v>14007</v>
      </c>
      <c r="D212" s="72" t="s">
        <v>625</v>
      </c>
      <c r="E212" s="73" t="s">
        <v>21</v>
      </c>
      <c r="F212" s="73" t="s">
        <v>626</v>
      </c>
      <c r="G212" s="73" t="s">
        <v>360</v>
      </c>
      <c r="H212" s="74" t="s">
        <v>349</v>
      </c>
      <c r="I212" s="75">
        <v>42.62</v>
      </c>
      <c r="J212" s="88">
        <v>52.59</v>
      </c>
      <c r="K212" s="77">
        <v>57.5</v>
      </c>
      <c r="L212" s="77">
        <v>48.2</v>
      </c>
      <c r="M212" s="70">
        <v>35704</v>
      </c>
      <c r="N212" s="89">
        <v>38625</v>
      </c>
    </row>
    <row r="213" spans="1:20" s="66" customFormat="1" ht="18.75" customHeight="1" x14ac:dyDescent="0.2">
      <c r="A213" s="79"/>
      <c r="B213" s="79"/>
      <c r="C213" s="80"/>
      <c r="E213" s="81" t="s">
        <v>627</v>
      </c>
      <c r="F213" s="81" t="s">
        <v>627</v>
      </c>
      <c r="G213" s="81" t="s">
        <v>381</v>
      </c>
      <c r="H213" s="82" t="s">
        <v>349</v>
      </c>
      <c r="I213" s="83">
        <v>29.69</v>
      </c>
      <c r="J213" s="90">
        <v>47.41</v>
      </c>
      <c r="K213" s="91"/>
      <c r="R213" s="72"/>
      <c r="T213" s="72"/>
    </row>
    <row r="214" spans="1:20" s="66" customFormat="1" ht="18.75" customHeight="1" x14ac:dyDescent="0.2">
      <c r="A214" s="79"/>
      <c r="B214" s="79"/>
      <c r="C214" s="80"/>
      <c r="E214" s="81" t="s">
        <v>19</v>
      </c>
      <c r="F214" s="81" t="s">
        <v>628</v>
      </c>
      <c r="G214" s="81" t="s">
        <v>629</v>
      </c>
      <c r="H214" s="82" t="s">
        <v>349</v>
      </c>
      <c r="I214" s="83">
        <v>27.69</v>
      </c>
      <c r="J214" s="84"/>
      <c r="K214" s="91"/>
      <c r="R214" s="72"/>
    </row>
    <row r="215" spans="1:20" s="66" customFormat="1" ht="18.75" customHeight="1" x14ac:dyDescent="0.2">
      <c r="A215" s="79"/>
      <c r="B215" s="79"/>
      <c r="C215" s="80"/>
      <c r="E215" s="81"/>
      <c r="F215" s="81"/>
      <c r="G215" s="81" t="s">
        <v>353</v>
      </c>
      <c r="H215" s="82"/>
      <c r="I215" s="83"/>
      <c r="J215" s="84"/>
      <c r="K215" s="91"/>
      <c r="R215" s="72"/>
    </row>
    <row r="216" spans="1:20" s="72" customFormat="1" ht="18.75" customHeight="1" x14ac:dyDescent="0.2">
      <c r="A216" s="70">
        <v>35589</v>
      </c>
      <c r="B216" s="70">
        <v>35610</v>
      </c>
      <c r="C216" s="71">
        <v>33705</v>
      </c>
      <c r="D216" s="72" t="s">
        <v>630</v>
      </c>
      <c r="E216" s="73" t="s">
        <v>21</v>
      </c>
      <c r="F216" s="73" t="s">
        <v>631</v>
      </c>
      <c r="G216" s="73" t="s">
        <v>358</v>
      </c>
      <c r="H216" s="74" t="s">
        <v>349</v>
      </c>
      <c r="I216" s="75">
        <v>65.02</v>
      </c>
      <c r="J216" s="76"/>
      <c r="K216" s="77">
        <v>53.2</v>
      </c>
      <c r="L216" s="77"/>
      <c r="M216" s="70">
        <v>35796</v>
      </c>
      <c r="N216" s="89">
        <v>38717</v>
      </c>
    </row>
    <row r="217" spans="1:20" s="66" customFormat="1" ht="18.75" customHeight="1" x14ac:dyDescent="0.2">
      <c r="A217" s="79"/>
      <c r="B217" s="79"/>
      <c r="C217" s="80"/>
      <c r="E217" s="81" t="s">
        <v>19</v>
      </c>
      <c r="F217" s="81" t="s">
        <v>632</v>
      </c>
      <c r="G217" s="81" t="s">
        <v>633</v>
      </c>
      <c r="H217" s="82" t="s">
        <v>349</v>
      </c>
      <c r="I217" s="83">
        <v>29.01</v>
      </c>
      <c r="J217" s="84"/>
      <c r="K217" s="91"/>
      <c r="R217" s="72"/>
    </row>
    <row r="218" spans="1:20" s="66" customFormat="1" ht="18.75" customHeight="1" x14ac:dyDescent="0.2">
      <c r="A218" s="79"/>
      <c r="B218" s="79"/>
      <c r="C218" s="80"/>
      <c r="E218" s="81" t="s">
        <v>34</v>
      </c>
      <c r="F218" s="81" t="s">
        <v>634</v>
      </c>
      <c r="G218" s="81" t="s">
        <v>635</v>
      </c>
      <c r="H218" s="82" t="s">
        <v>419</v>
      </c>
      <c r="I218" s="83">
        <v>5.97</v>
      </c>
      <c r="J218" s="84"/>
      <c r="K218" s="91"/>
      <c r="R218" s="72"/>
    </row>
    <row r="219" spans="1:20" s="66" customFormat="1" ht="18.75" customHeight="1" x14ac:dyDescent="0.2">
      <c r="A219" s="79"/>
      <c r="B219" s="79"/>
      <c r="C219" s="80"/>
      <c r="E219" s="81"/>
      <c r="F219" s="81"/>
      <c r="G219" s="81" t="s">
        <v>353</v>
      </c>
      <c r="H219" s="82"/>
      <c r="I219" s="83"/>
      <c r="J219" s="84"/>
      <c r="K219" s="91"/>
      <c r="R219" s="72"/>
    </row>
    <row r="220" spans="1:20" s="72" customFormat="1" ht="18.75" customHeight="1" x14ac:dyDescent="0.2">
      <c r="A220" s="70">
        <v>35603</v>
      </c>
      <c r="B220" s="70">
        <v>35617</v>
      </c>
      <c r="C220" s="71">
        <v>33509</v>
      </c>
      <c r="D220" s="72" t="s">
        <v>636</v>
      </c>
      <c r="E220" s="73" t="s">
        <v>21</v>
      </c>
      <c r="F220" s="73" t="s">
        <v>580</v>
      </c>
      <c r="G220" s="73" t="s">
        <v>637</v>
      </c>
      <c r="H220" s="74" t="s">
        <v>349</v>
      </c>
      <c r="I220" s="75">
        <v>73.11</v>
      </c>
      <c r="J220" s="76"/>
      <c r="K220" s="77">
        <v>56.6</v>
      </c>
      <c r="L220" s="77"/>
      <c r="M220" s="70">
        <v>35781</v>
      </c>
      <c r="N220" s="89">
        <v>38702</v>
      </c>
    </row>
    <row r="221" spans="1:20" s="66" customFormat="1" ht="18.75" customHeight="1" x14ac:dyDescent="0.2">
      <c r="A221" s="79"/>
      <c r="B221" s="79"/>
      <c r="C221" s="80"/>
      <c r="E221" s="81" t="s">
        <v>19</v>
      </c>
      <c r="F221" s="81" t="s">
        <v>276</v>
      </c>
      <c r="G221" s="81" t="s">
        <v>638</v>
      </c>
      <c r="H221" s="82" t="s">
        <v>349</v>
      </c>
      <c r="I221" s="83">
        <v>20.059999999999999</v>
      </c>
      <c r="J221" s="84"/>
      <c r="K221" s="91"/>
      <c r="R221" s="72"/>
    </row>
    <row r="222" spans="1:20" s="66" customFormat="1" ht="18.75" customHeight="1" x14ac:dyDescent="0.2">
      <c r="A222" s="79"/>
      <c r="B222" s="79"/>
      <c r="C222" s="80"/>
      <c r="E222" s="81" t="s">
        <v>55</v>
      </c>
      <c r="F222" s="81" t="s">
        <v>639</v>
      </c>
      <c r="G222" s="81" t="s">
        <v>516</v>
      </c>
      <c r="H222" s="82" t="s">
        <v>349</v>
      </c>
      <c r="I222" s="83">
        <v>6.83</v>
      </c>
      <c r="J222" s="84"/>
      <c r="K222" s="91"/>
      <c r="R222" s="72"/>
    </row>
    <row r="223" spans="1:20" s="66" customFormat="1" ht="18.75" customHeight="1" x14ac:dyDescent="0.2">
      <c r="A223" s="79"/>
      <c r="B223" s="79"/>
      <c r="C223" s="80"/>
      <c r="E223" s="81"/>
      <c r="F223" s="81"/>
      <c r="G223" s="81" t="s">
        <v>353</v>
      </c>
      <c r="H223" s="82"/>
      <c r="I223" s="83"/>
      <c r="J223" s="84"/>
      <c r="K223" s="91"/>
      <c r="R223" s="72"/>
    </row>
    <row r="224" spans="1:20" s="72" customFormat="1" ht="18.75" customHeight="1" x14ac:dyDescent="0.2">
      <c r="A224" s="70">
        <v>35701</v>
      </c>
      <c r="B224" s="70">
        <v>35715</v>
      </c>
      <c r="C224" s="71">
        <v>33201</v>
      </c>
      <c r="D224" s="72" t="s">
        <v>390</v>
      </c>
      <c r="E224" s="73" t="s">
        <v>55</v>
      </c>
      <c r="F224" s="73" t="s">
        <v>640</v>
      </c>
      <c r="G224" s="73" t="s">
        <v>641</v>
      </c>
      <c r="H224" s="74" t="s">
        <v>419</v>
      </c>
      <c r="I224" s="75">
        <v>32.71</v>
      </c>
      <c r="J224" s="88">
        <v>51.93</v>
      </c>
      <c r="K224" s="77">
        <v>60.3</v>
      </c>
      <c r="L224" s="76">
        <v>55</v>
      </c>
      <c r="M224" s="70">
        <v>35796</v>
      </c>
      <c r="N224" s="89">
        <v>38717</v>
      </c>
      <c r="O224" s="73" t="s">
        <v>19</v>
      </c>
      <c r="P224" s="73" t="s">
        <v>391</v>
      </c>
      <c r="Q224" s="73" t="s">
        <v>392</v>
      </c>
      <c r="R224" s="72" t="s">
        <v>349</v>
      </c>
    </row>
    <row r="225" spans="1:20" s="66" customFormat="1" ht="18.75" customHeight="1" x14ac:dyDescent="0.2">
      <c r="A225" s="79"/>
      <c r="B225" s="79"/>
      <c r="C225" s="80"/>
      <c r="E225" s="81" t="s">
        <v>19</v>
      </c>
      <c r="F225" s="81" t="s">
        <v>642</v>
      </c>
      <c r="G225" s="81" t="s">
        <v>512</v>
      </c>
      <c r="H225" s="82" t="s">
        <v>349</v>
      </c>
      <c r="I225" s="83">
        <v>44.66</v>
      </c>
      <c r="J225" s="90">
        <v>48.07</v>
      </c>
      <c r="K225" s="91"/>
      <c r="R225" s="72"/>
    </row>
    <row r="226" spans="1:20" s="66" customFormat="1" ht="18.75" customHeight="1" x14ac:dyDescent="0.2">
      <c r="A226" s="79"/>
      <c r="B226" s="79"/>
      <c r="C226" s="80"/>
      <c r="E226" s="81" t="s">
        <v>21</v>
      </c>
      <c r="F226" s="81" t="s">
        <v>643</v>
      </c>
      <c r="G226" s="81" t="s">
        <v>644</v>
      </c>
      <c r="H226" s="82" t="s">
        <v>419</v>
      </c>
      <c r="I226" s="83">
        <v>22.62</v>
      </c>
      <c r="J226" s="84"/>
      <c r="K226" s="91"/>
      <c r="R226" s="72"/>
    </row>
    <row r="227" spans="1:20" s="66" customFormat="1" ht="18.75" customHeight="1" x14ac:dyDescent="0.2">
      <c r="A227" s="79"/>
      <c r="B227" s="79"/>
      <c r="C227" s="80"/>
      <c r="E227" s="81"/>
      <c r="F227" s="81"/>
      <c r="G227" s="81" t="s">
        <v>353</v>
      </c>
      <c r="H227" s="82"/>
      <c r="I227" s="83"/>
      <c r="J227" s="84"/>
      <c r="K227" s="91"/>
      <c r="R227" s="72"/>
    </row>
    <row r="228" spans="1:20" s="72" customFormat="1" ht="18.75" customHeight="1" x14ac:dyDescent="0.2">
      <c r="A228" s="70">
        <v>35715</v>
      </c>
      <c r="B228" s="70">
        <v>35736</v>
      </c>
      <c r="C228" s="71">
        <v>13304</v>
      </c>
      <c r="D228" s="72" t="s">
        <v>645</v>
      </c>
      <c r="E228" s="73" t="s">
        <v>646</v>
      </c>
      <c r="F228" s="73" t="s">
        <v>646</v>
      </c>
      <c r="G228" s="73" t="s">
        <v>348</v>
      </c>
      <c r="H228" s="74" t="s">
        <v>349</v>
      </c>
      <c r="I228" s="75">
        <v>31.65</v>
      </c>
      <c r="J228" s="88">
        <v>57.92</v>
      </c>
      <c r="K228" s="77">
        <v>53.7</v>
      </c>
      <c r="L228" s="77">
        <v>47.2</v>
      </c>
      <c r="M228" s="70">
        <v>35753</v>
      </c>
      <c r="N228" s="89">
        <v>38674</v>
      </c>
    </row>
    <row r="229" spans="1:20" s="66" customFormat="1" ht="18.75" customHeight="1" x14ac:dyDescent="0.2">
      <c r="A229" s="79"/>
      <c r="B229" s="79"/>
      <c r="C229" s="80"/>
      <c r="E229" s="81" t="s">
        <v>21</v>
      </c>
      <c r="F229" s="81" t="s">
        <v>540</v>
      </c>
      <c r="G229" s="81" t="s">
        <v>444</v>
      </c>
      <c r="H229" s="82" t="s">
        <v>349</v>
      </c>
      <c r="I229" s="83">
        <v>27.25</v>
      </c>
      <c r="J229" s="90">
        <v>42.08</v>
      </c>
      <c r="K229" s="91"/>
      <c r="R229" s="72"/>
    </row>
    <row r="230" spans="1:20" s="66" customFormat="1" ht="18.75" customHeight="1" x14ac:dyDescent="0.2">
      <c r="A230" s="79"/>
      <c r="B230" s="79"/>
      <c r="C230" s="80"/>
      <c r="E230" s="81" t="s">
        <v>19</v>
      </c>
      <c r="F230" s="81" t="s">
        <v>276</v>
      </c>
      <c r="G230" s="81" t="s">
        <v>389</v>
      </c>
      <c r="H230" s="82" t="s">
        <v>349</v>
      </c>
      <c r="I230" s="83">
        <v>23.95</v>
      </c>
      <c r="J230" s="84"/>
      <c r="K230" s="91"/>
      <c r="R230" s="72"/>
    </row>
    <row r="231" spans="1:20" s="66" customFormat="1" ht="18.75" customHeight="1" x14ac:dyDescent="0.2">
      <c r="A231" s="79"/>
      <c r="B231" s="79"/>
      <c r="C231" s="80"/>
      <c r="E231" s="81" t="s">
        <v>647</v>
      </c>
      <c r="F231" s="81" t="s">
        <v>647</v>
      </c>
      <c r="G231" s="81" t="s">
        <v>348</v>
      </c>
      <c r="H231" s="82" t="s">
        <v>349</v>
      </c>
      <c r="I231" s="83">
        <v>7.31</v>
      </c>
      <c r="J231" s="84"/>
      <c r="K231" s="91"/>
      <c r="R231" s="72"/>
      <c r="T231" s="72"/>
    </row>
    <row r="232" spans="1:20" s="66" customFormat="1" ht="18.75" customHeight="1" x14ac:dyDescent="0.2">
      <c r="A232" s="79"/>
      <c r="B232" s="79"/>
      <c r="C232" s="80"/>
      <c r="E232" s="81" t="s">
        <v>648</v>
      </c>
      <c r="F232" s="81" t="s">
        <v>648</v>
      </c>
      <c r="G232" s="81" t="s">
        <v>649</v>
      </c>
      <c r="H232" s="82" t="s">
        <v>419</v>
      </c>
      <c r="I232" s="83">
        <v>5.6</v>
      </c>
      <c r="J232" s="84"/>
      <c r="K232" s="91"/>
      <c r="R232" s="72"/>
      <c r="T232" s="72"/>
    </row>
    <row r="233" spans="1:20" s="66" customFormat="1" ht="18.75" customHeight="1" x14ac:dyDescent="0.2">
      <c r="A233" s="79"/>
      <c r="B233" s="79"/>
      <c r="C233" s="80"/>
      <c r="E233" s="81" t="s">
        <v>38</v>
      </c>
      <c r="F233" s="81" t="s">
        <v>650</v>
      </c>
      <c r="G233" s="81" t="s">
        <v>651</v>
      </c>
      <c r="H233" s="82" t="s">
        <v>419</v>
      </c>
      <c r="I233" s="83">
        <v>4.25</v>
      </c>
      <c r="J233" s="84"/>
      <c r="K233" s="91"/>
      <c r="R233" s="72"/>
    </row>
    <row r="234" spans="1:20" s="66" customFormat="1" ht="18.75" customHeight="1" x14ac:dyDescent="0.2">
      <c r="A234" s="79"/>
      <c r="B234" s="79"/>
      <c r="C234" s="80"/>
      <c r="E234" s="81"/>
      <c r="F234" s="81"/>
      <c r="G234" s="81" t="s">
        <v>353</v>
      </c>
      <c r="H234" s="82"/>
      <c r="I234" s="96"/>
      <c r="J234" s="84"/>
      <c r="K234" s="91"/>
      <c r="R234" s="72"/>
    </row>
    <row r="235" spans="1:20" s="72" customFormat="1" ht="18.75" customHeight="1" x14ac:dyDescent="0.2">
      <c r="A235" s="70">
        <v>35736</v>
      </c>
      <c r="B235" s="70">
        <v>35757</v>
      </c>
      <c r="C235" s="71">
        <v>33604</v>
      </c>
      <c r="D235" s="72" t="s">
        <v>652</v>
      </c>
      <c r="E235" s="73" t="s">
        <v>21</v>
      </c>
      <c r="F235" s="73" t="s">
        <v>653</v>
      </c>
      <c r="G235" s="73" t="s">
        <v>381</v>
      </c>
      <c r="H235" s="74" t="s">
        <v>349</v>
      </c>
      <c r="I235" s="75">
        <v>69.52</v>
      </c>
      <c r="J235" s="76"/>
      <c r="K235" s="77">
        <v>45.1</v>
      </c>
      <c r="L235" s="77"/>
      <c r="M235" s="70">
        <v>35977</v>
      </c>
      <c r="N235" s="89">
        <v>38898</v>
      </c>
    </row>
    <row r="236" spans="1:20" s="66" customFormat="1" ht="18.75" customHeight="1" x14ac:dyDescent="0.2">
      <c r="A236" s="79"/>
      <c r="B236" s="79"/>
      <c r="C236" s="80"/>
      <c r="E236" s="81" t="s">
        <v>55</v>
      </c>
      <c r="F236" s="81" t="s">
        <v>654</v>
      </c>
      <c r="G236" s="81" t="s">
        <v>655</v>
      </c>
      <c r="H236" s="82" t="s">
        <v>349</v>
      </c>
      <c r="I236" s="83">
        <v>30.48</v>
      </c>
      <c r="J236" s="84"/>
      <c r="K236" s="91"/>
      <c r="R236" s="72"/>
    </row>
    <row r="237" spans="1:20" s="66" customFormat="1" ht="18.75" customHeight="1" x14ac:dyDescent="0.2">
      <c r="A237" s="79"/>
      <c r="B237" s="79"/>
      <c r="C237" s="80"/>
      <c r="E237" s="86"/>
      <c r="G237" s="66" t="s">
        <v>353</v>
      </c>
      <c r="H237" s="82"/>
      <c r="I237" s="87"/>
      <c r="J237" s="84"/>
      <c r="K237" s="91"/>
      <c r="R237" s="72"/>
    </row>
    <row r="238" spans="1:20" s="72" customFormat="1" ht="18.75" customHeight="1" x14ac:dyDescent="0.2">
      <c r="A238" s="70">
        <v>35764</v>
      </c>
      <c r="B238" s="70">
        <v>35778</v>
      </c>
      <c r="C238" s="71">
        <v>13806</v>
      </c>
      <c r="D238" s="72" t="s">
        <v>656</v>
      </c>
      <c r="E238" s="73" t="s">
        <v>21</v>
      </c>
      <c r="F238" s="73" t="s">
        <v>657</v>
      </c>
      <c r="G238" s="73" t="s">
        <v>570</v>
      </c>
      <c r="H238" s="74" t="s">
        <v>349</v>
      </c>
      <c r="I238" s="75">
        <v>52.17</v>
      </c>
      <c r="J238" s="76"/>
      <c r="K238" s="77">
        <v>55.8</v>
      </c>
      <c r="L238" s="77"/>
      <c r="M238" s="70">
        <v>35995</v>
      </c>
      <c r="N238" s="89">
        <v>38916</v>
      </c>
    </row>
    <row r="239" spans="1:20" s="66" customFormat="1" ht="18.75" customHeight="1" x14ac:dyDescent="0.2">
      <c r="A239" s="79"/>
      <c r="B239" s="79"/>
      <c r="C239" s="80"/>
      <c r="E239" s="81" t="s">
        <v>19</v>
      </c>
      <c r="F239" s="81" t="s">
        <v>658</v>
      </c>
      <c r="G239" s="81" t="s">
        <v>659</v>
      </c>
      <c r="H239" s="82" t="s">
        <v>349</v>
      </c>
      <c r="I239" s="83">
        <v>40.08</v>
      </c>
      <c r="J239" s="84"/>
      <c r="K239" s="91"/>
      <c r="R239" s="72"/>
    </row>
    <row r="240" spans="1:20" s="66" customFormat="1" ht="18.75" customHeight="1" x14ac:dyDescent="0.2">
      <c r="A240" s="79"/>
      <c r="B240" s="79"/>
      <c r="C240" s="80"/>
      <c r="E240" s="81" t="s">
        <v>38</v>
      </c>
      <c r="F240" s="81" t="s">
        <v>660</v>
      </c>
      <c r="G240" s="81" t="s">
        <v>661</v>
      </c>
      <c r="H240" s="82" t="s">
        <v>349</v>
      </c>
      <c r="I240" s="83">
        <v>7.75</v>
      </c>
      <c r="J240" s="84"/>
      <c r="K240" s="91"/>
      <c r="R240" s="72"/>
    </row>
    <row r="241" spans="1:18" s="66" customFormat="1" ht="18.75" customHeight="1" x14ac:dyDescent="0.2">
      <c r="A241" s="79"/>
      <c r="B241" s="79"/>
      <c r="C241" s="80"/>
      <c r="E241" s="81"/>
      <c r="F241" s="81"/>
      <c r="G241" s="81" t="s">
        <v>353</v>
      </c>
      <c r="H241" s="82"/>
      <c r="I241" s="83"/>
      <c r="J241" s="84"/>
      <c r="K241" s="91"/>
      <c r="R241" s="72"/>
    </row>
    <row r="242" spans="1:18" s="72" customFormat="1" ht="18.75" customHeight="1" x14ac:dyDescent="0.2">
      <c r="A242" s="70">
        <v>35813</v>
      </c>
      <c r="B242" s="70">
        <v>35827</v>
      </c>
      <c r="C242" s="71">
        <v>13101</v>
      </c>
      <c r="D242" s="72" t="s">
        <v>496</v>
      </c>
      <c r="E242" s="92" t="s">
        <v>19</v>
      </c>
      <c r="F242" s="92" t="s">
        <v>662</v>
      </c>
      <c r="G242" s="92" t="s">
        <v>663</v>
      </c>
      <c r="H242" s="74" t="s">
        <v>349</v>
      </c>
      <c r="I242" s="93">
        <v>85.55</v>
      </c>
      <c r="J242" s="76"/>
      <c r="K242" s="77">
        <v>36.6</v>
      </c>
      <c r="L242" s="77"/>
      <c r="M242" s="70">
        <v>35832</v>
      </c>
      <c r="N242" s="89">
        <v>38753</v>
      </c>
      <c r="O242" s="92" t="s">
        <v>19</v>
      </c>
      <c r="P242" s="92" t="s">
        <v>497</v>
      </c>
      <c r="Q242" s="92" t="s">
        <v>389</v>
      </c>
      <c r="R242" s="72" t="s">
        <v>349</v>
      </c>
    </row>
    <row r="243" spans="1:18" s="66" customFormat="1" ht="18.75" customHeight="1" x14ac:dyDescent="0.2">
      <c r="A243" s="79"/>
      <c r="B243" s="79"/>
      <c r="C243" s="80"/>
      <c r="E243" s="86"/>
      <c r="G243" s="66" t="s">
        <v>353</v>
      </c>
      <c r="H243" s="82"/>
      <c r="I243" s="87"/>
      <c r="J243" s="84"/>
      <c r="K243" s="91"/>
      <c r="R243" s="72"/>
    </row>
    <row r="244" spans="1:18" s="72" customFormat="1" ht="18.75" customHeight="1" x14ac:dyDescent="0.2">
      <c r="A244" s="70">
        <v>35820</v>
      </c>
      <c r="B244" s="70">
        <v>35834</v>
      </c>
      <c r="C244" s="71">
        <v>23501</v>
      </c>
      <c r="D244" s="72" t="s">
        <v>664</v>
      </c>
      <c r="E244" s="92" t="s">
        <v>19</v>
      </c>
      <c r="F244" s="92" t="s">
        <v>665</v>
      </c>
      <c r="G244" s="92" t="s">
        <v>666</v>
      </c>
      <c r="H244" s="74" t="s">
        <v>349</v>
      </c>
      <c r="I244" s="93">
        <v>52.04</v>
      </c>
      <c r="J244" s="76"/>
      <c r="K244" s="77">
        <v>68.099999999999994</v>
      </c>
      <c r="L244" s="77"/>
      <c r="M244" s="70">
        <v>35977</v>
      </c>
      <c r="N244" s="78">
        <v>37256</v>
      </c>
    </row>
    <row r="245" spans="1:18" s="66" customFormat="1" ht="18.75" customHeight="1" x14ac:dyDescent="0.2">
      <c r="A245" s="79"/>
      <c r="B245" s="79"/>
      <c r="C245" s="80"/>
      <c r="E245" s="97" t="s">
        <v>667</v>
      </c>
      <c r="F245" s="97" t="s">
        <v>668</v>
      </c>
      <c r="G245" s="97" t="s">
        <v>348</v>
      </c>
      <c r="H245" s="82" t="s">
        <v>349</v>
      </c>
      <c r="I245" s="98">
        <v>29.81</v>
      </c>
      <c r="J245" s="84"/>
      <c r="K245" s="85"/>
      <c r="R245" s="72"/>
    </row>
    <row r="246" spans="1:18" s="66" customFormat="1" ht="18.75" customHeight="1" x14ac:dyDescent="0.2">
      <c r="A246" s="79"/>
      <c r="B246" s="79"/>
      <c r="C246" s="80"/>
      <c r="E246" s="97" t="s">
        <v>55</v>
      </c>
      <c r="F246" s="97" t="s">
        <v>669</v>
      </c>
      <c r="G246" s="97" t="s">
        <v>355</v>
      </c>
      <c r="H246" s="82" t="s">
        <v>349</v>
      </c>
      <c r="I246" s="98">
        <v>18.149999999999999</v>
      </c>
      <c r="J246" s="84"/>
      <c r="K246" s="85"/>
      <c r="R246" s="72"/>
    </row>
    <row r="247" spans="1:18" s="66" customFormat="1" ht="18.75" customHeight="1" x14ac:dyDescent="0.2">
      <c r="A247" s="79"/>
      <c r="B247" s="79"/>
      <c r="C247" s="80"/>
      <c r="E247" s="86"/>
      <c r="G247" s="66" t="s">
        <v>353</v>
      </c>
      <c r="H247" s="82"/>
      <c r="I247" s="87"/>
      <c r="J247" s="84"/>
      <c r="K247" s="85"/>
      <c r="R247" s="72"/>
    </row>
    <row r="248" spans="1:18" s="72" customFormat="1" ht="18.75" customHeight="1" x14ac:dyDescent="0.2">
      <c r="A248" s="70">
        <v>35869</v>
      </c>
      <c r="B248" s="70">
        <v>35883</v>
      </c>
      <c r="C248" s="71">
        <v>13308</v>
      </c>
      <c r="D248" s="72" t="s">
        <v>670</v>
      </c>
      <c r="E248" s="92" t="s">
        <v>19</v>
      </c>
      <c r="F248" s="92" t="s">
        <v>671</v>
      </c>
      <c r="G248" s="92" t="s">
        <v>464</v>
      </c>
      <c r="H248" s="74" t="s">
        <v>349</v>
      </c>
      <c r="I248" s="93">
        <v>57.78</v>
      </c>
      <c r="J248" s="76"/>
      <c r="K248" s="77">
        <v>64.7</v>
      </c>
      <c r="L248" s="77"/>
      <c r="M248" s="70">
        <v>36069</v>
      </c>
      <c r="N248" s="68">
        <v>38447</v>
      </c>
    </row>
    <row r="249" spans="1:18" s="66" customFormat="1" ht="18.75" customHeight="1" x14ac:dyDescent="0.2">
      <c r="A249" s="79"/>
      <c r="B249" s="79"/>
      <c r="C249" s="80"/>
      <c r="E249" s="97" t="s">
        <v>21</v>
      </c>
      <c r="F249" s="97" t="s">
        <v>672</v>
      </c>
      <c r="G249" s="97" t="s">
        <v>673</v>
      </c>
      <c r="H249" s="82" t="s">
        <v>419</v>
      </c>
      <c r="I249" s="98">
        <v>27.3</v>
      </c>
      <c r="J249" s="84"/>
      <c r="K249" s="91"/>
      <c r="R249" s="72"/>
    </row>
    <row r="250" spans="1:18" s="66" customFormat="1" ht="18.75" customHeight="1" x14ac:dyDescent="0.2">
      <c r="A250" s="79"/>
      <c r="B250" s="79"/>
      <c r="C250" s="80"/>
      <c r="E250" s="97" t="s">
        <v>34</v>
      </c>
      <c r="F250" s="97" t="s">
        <v>674</v>
      </c>
      <c r="G250" s="97" t="s">
        <v>577</v>
      </c>
      <c r="H250" s="82" t="s">
        <v>419</v>
      </c>
      <c r="I250" s="98">
        <v>7.93</v>
      </c>
      <c r="J250" s="84"/>
      <c r="K250" s="91"/>
      <c r="R250" s="72"/>
    </row>
    <row r="251" spans="1:18" s="66" customFormat="1" ht="18.75" customHeight="1" x14ac:dyDescent="0.2">
      <c r="A251" s="79"/>
      <c r="B251" s="79"/>
      <c r="C251" s="80"/>
      <c r="E251" s="97" t="s">
        <v>675</v>
      </c>
      <c r="F251" s="97" t="s">
        <v>676</v>
      </c>
      <c r="G251" s="97" t="s">
        <v>677</v>
      </c>
      <c r="H251" s="82" t="s">
        <v>349</v>
      </c>
      <c r="I251" s="98">
        <v>6.99</v>
      </c>
      <c r="J251" s="84"/>
      <c r="K251" s="91"/>
      <c r="R251" s="72"/>
    </row>
    <row r="252" spans="1:18" s="66" customFormat="1" ht="18.75" customHeight="1" x14ac:dyDescent="0.2">
      <c r="A252" s="79"/>
      <c r="B252" s="79"/>
      <c r="C252" s="80"/>
      <c r="E252" s="86"/>
      <c r="G252" s="66" t="s">
        <v>353</v>
      </c>
      <c r="H252" s="82"/>
      <c r="I252" s="87"/>
      <c r="J252" s="84"/>
      <c r="K252" s="91"/>
      <c r="R252" s="72"/>
    </row>
    <row r="253" spans="1:18" s="72" customFormat="1" ht="18.75" customHeight="1" x14ac:dyDescent="0.2">
      <c r="A253" s="70">
        <v>35883</v>
      </c>
      <c r="B253" s="70">
        <v>35904</v>
      </c>
      <c r="C253" s="71">
        <v>23502</v>
      </c>
      <c r="D253" s="72" t="s">
        <v>678</v>
      </c>
      <c r="E253" s="92" t="s">
        <v>19</v>
      </c>
      <c r="F253" s="92" t="s">
        <v>679</v>
      </c>
      <c r="G253" s="92" t="s">
        <v>368</v>
      </c>
      <c r="H253" s="74" t="s">
        <v>349</v>
      </c>
      <c r="I253" s="93">
        <v>62.8</v>
      </c>
      <c r="J253" s="76"/>
      <c r="K253" s="77">
        <v>75.5</v>
      </c>
      <c r="L253" s="77"/>
      <c r="M253" s="70">
        <v>36039</v>
      </c>
      <c r="N253" s="89">
        <v>38960</v>
      </c>
    </row>
    <row r="254" spans="1:18" s="66" customFormat="1" ht="18.75" customHeight="1" x14ac:dyDescent="0.2">
      <c r="A254" s="79"/>
      <c r="B254" s="79"/>
      <c r="C254" s="80"/>
      <c r="E254" s="97" t="s">
        <v>21</v>
      </c>
      <c r="F254" s="97" t="s">
        <v>680</v>
      </c>
      <c r="G254" s="97" t="s">
        <v>360</v>
      </c>
      <c r="H254" s="82" t="s">
        <v>349</v>
      </c>
      <c r="I254" s="98">
        <v>37.200000000000003</v>
      </c>
      <c r="J254" s="84"/>
      <c r="K254" s="91"/>
      <c r="R254" s="72"/>
    </row>
    <row r="255" spans="1:18" s="66" customFormat="1" ht="18.75" customHeight="1" x14ac:dyDescent="0.2">
      <c r="A255" s="79"/>
      <c r="B255" s="79"/>
      <c r="C255" s="80"/>
      <c r="E255" s="86"/>
      <c r="G255" s="66" t="s">
        <v>353</v>
      </c>
      <c r="H255" s="82"/>
      <c r="I255" s="87"/>
      <c r="J255" s="84"/>
      <c r="K255" s="91"/>
      <c r="R255" s="72"/>
    </row>
    <row r="256" spans="1:18" s="72" customFormat="1" ht="18.75" customHeight="1" x14ac:dyDescent="0.2">
      <c r="A256" s="70">
        <v>35911</v>
      </c>
      <c r="B256" s="70">
        <v>35925</v>
      </c>
      <c r="C256" s="71">
        <v>14107</v>
      </c>
      <c r="D256" s="72" t="s">
        <v>681</v>
      </c>
      <c r="E256" s="92" t="s">
        <v>21</v>
      </c>
      <c r="F256" s="92" t="s">
        <v>682</v>
      </c>
      <c r="G256" s="92" t="s">
        <v>683</v>
      </c>
      <c r="H256" s="74" t="s">
        <v>349</v>
      </c>
      <c r="I256" s="93">
        <v>49.42</v>
      </c>
      <c r="J256" s="99">
        <v>66.34</v>
      </c>
      <c r="K256" s="77">
        <v>67.3</v>
      </c>
      <c r="L256" s="77">
        <v>57.9</v>
      </c>
      <c r="M256" s="70">
        <v>36039</v>
      </c>
      <c r="N256" s="89">
        <v>38960</v>
      </c>
    </row>
    <row r="257" spans="1:20" s="66" customFormat="1" ht="18.75" customHeight="1" x14ac:dyDescent="0.2">
      <c r="A257" s="79"/>
      <c r="B257" s="79"/>
      <c r="C257" s="80"/>
      <c r="E257" s="97" t="s">
        <v>19</v>
      </c>
      <c r="F257" s="97" t="s">
        <v>684</v>
      </c>
      <c r="G257" s="97" t="s">
        <v>685</v>
      </c>
      <c r="H257" s="82" t="s">
        <v>349</v>
      </c>
      <c r="I257" s="98">
        <v>28.44</v>
      </c>
      <c r="J257" s="100">
        <v>33.659999999999997</v>
      </c>
      <c r="K257" s="91"/>
      <c r="R257" s="72"/>
    </row>
    <row r="258" spans="1:20" s="66" customFormat="1" ht="18.75" customHeight="1" x14ac:dyDescent="0.2">
      <c r="A258" s="79"/>
      <c r="B258" s="79"/>
      <c r="C258" s="80"/>
      <c r="E258" s="97" t="s">
        <v>55</v>
      </c>
      <c r="F258" s="97" t="s">
        <v>686</v>
      </c>
      <c r="G258" s="97" t="s">
        <v>440</v>
      </c>
      <c r="H258" s="82" t="s">
        <v>349</v>
      </c>
      <c r="I258" s="98">
        <v>22.14</v>
      </c>
      <c r="J258" s="84"/>
      <c r="K258" s="91"/>
      <c r="R258" s="72"/>
    </row>
    <row r="259" spans="1:20" s="66" customFormat="1" ht="18.75" customHeight="1" x14ac:dyDescent="0.2">
      <c r="A259" s="79"/>
      <c r="B259" s="79"/>
      <c r="C259" s="80"/>
      <c r="E259" s="97"/>
      <c r="F259" s="97"/>
      <c r="G259" s="97" t="s">
        <v>353</v>
      </c>
      <c r="H259" s="82"/>
      <c r="I259" s="98"/>
      <c r="J259" s="84"/>
      <c r="K259" s="91"/>
      <c r="R259" s="72"/>
    </row>
    <row r="260" spans="1:20" s="72" customFormat="1" ht="18.75" customHeight="1" x14ac:dyDescent="0.2">
      <c r="A260" s="70">
        <v>35932</v>
      </c>
      <c r="B260" s="70">
        <v>35953</v>
      </c>
      <c r="C260" s="71">
        <v>14305</v>
      </c>
      <c r="D260" s="72" t="s">
        <v>687</v>
      </c>
      <c r="E260" s="92" t="s">
        <v>19</v>
      </c>
      <c r="F260" s="92" t="s">
        <v>688</v>
      </c>
      <c r="G260" s="92" t="s">
        <v>545</v>
      </c>
      <c r="H260" s="74" t="s">
        <v>349</v>
      </c>
      <c r="I260" s="93">
        <v>83.36</v>
      </c>
      <c r="J260" s="76"/>
      <c r="K260" s="76">
        <v>37</v>
      </c>
      <c r="L260" s="76"/>
      <c r="M260" s="70">
        <v>36192</v>
      </c>
      <c r="N260" s="68">
        <v>39021</v>
      </c>
    </row>
    <row r="261" spans="1:20" s="66" customFormat="1" ht="18.75" customHeight="1" x14ac:dyDescent="0.2">
      <c r="A261" s="79"/>
      <c r="B261" s="79"/>
      <c r="C261" s="80"/>
      <c r="E261" s="86"/>
      <c r="G261" s="66" t="s">
        <v>353</v>
      </c>
      <c r="H261" s="82"/>
      <c r="I261" s="87"/>
      <c r="J261" s="84"/>
      <c r="K261" s="91"/>
      <c r="R261" s="72"/>
    </row>
    <row r="262" spans="1:20" s="72" customFormat="1" ht="18.75" customHeight="1" x14ac:dyDescent="0.2">
      <c r="A262" s="70">
        <v>35953</v>
      </c>
      <c r="B262" s="70">
        <v>35967</v>
      </c>
      <c r="C262" s="71">
        <v>13202</v>
      </c>
      <c r="D262" s="72" t="s">
        <v>689</v>
      </c>
      <c r="E262" s="92" t="s">
        <v>19</v>
      </c>
      <c r="F262" s="92" t="s">
        <v>690</v>
      </c>
      <c r="G262" s="92" t="s">
        <v>383</v>
      </c>
      <c r="H262" s="74" t="s">
        <v>349</v>
      </c>
      <c r="I262" s="93">
        <v>71.22</v>
      </c>
      <c r="J262" s="76"/>
      <c r="K262" s="76">
        <v>51.7</v>
      </c>
      <c r="L262" s="76"/>
      <c r="M262" s="70">
        <v>36225</v>
      </c>
      <c r="N262" s="68">
        <v>39092</v>
      </c>
    </row>
    <row r="263" spans="1:20" s="66" customFormat="1" ht="18.75" customHeight="1" x14ac:dyDescent="0.2">
      <c r="A263" s="79"/>
      <c r="B263" s="79"/>
      <c r="C263" s="80"/>
      <c r="E263" s="97" t="s">
        <v>21</v>
      </c>
      <c r="F263" s="97" t="s">
        <v>691</v>
      </c>
      <c r="G263" s="97" t="s">
        <v>692</v>
      </c>
      <c r="H263" s="82" t="s">
        <v>349</v>
      </c>
      <c r="I263" s="98">
        <v>28.78</v>
      </c>
      <c r="J263" s="84"/>
      <c r="K263" s="91"/>
      <c r="R263" s="72"/>
    </row>
    <row r="264" spans="1:20" s="66" customFormat="1" ht="18.75" customHeight="1" x14ac:dyDescent="0.2">
      <c r="A264" s="79"/>
      <c r="B264" s="79"/>
      <c r="C264" s="80"/>
      <c r="E264" s="86"/>
      <c r="G264" s="66" t="s">
        <v>353</v>
      </c>
      <c r="H264" s="82"/>
      <c r="I264" s="87"/>
      <c r="J264" s="84"/>
      <c r="K264" s="91"/>
      <c r="R264" s="72"/>
    </row>
    <row r="265" spans="1:20" s="72" customFormat="1" ht="18.75" customHeight="1" x14ac:dyDescent="0.2">
      <c r="A265" s="70">
        <v>36065</v>
      </c>
      <c r="B265" s="70">
        <v>36079</v>
      </c>
      <c r="C265" s="71">
        <v>13301</v>
      </c>
      <c r="D265" s="72" t="s">
        <v>145</v>
      </c>
      <c r="E265" s="92" t="s">
        <v>21</v>
      </c>
      <c r="F265" s="92" t="s">
        <v>693</v>
      </c>
      <c r="G265" s="92" t="s">
        <v>389</v>
      </c>
      <c r="H265" s="74" t="s">
        <v>349</v>
      </c>
      <c r="I265" s="93">
        <v>44.29</v>
      </c>
      <c r="J265" s="99">
        <v>55.94</v>
      </c>
      <c r="K265" s="76">
        <v>86.8</v>
      </c>
      <c r="L265" s="76">
        <v>56.6</v>
      </c>
      <c r="M265" s="70">
        <v>36161</v>
      </c>
      <c r="N265" s="89">
        <v>39082</v>
      </c>
    </row>
    <row r="266" spans="1:20" s="66" customFormat="1" ht="18.75" customHeight="1" x14ac:dyDescent="0.2">
      <c r="A266" s="79"/>
      <c r="B266" s="79"/>
      <c r="C266" s="80"/>
      <c r="E266" s="97" t="s">
        <v>694</v>
      </c>
      <c r="F266" s="97" t="s">
        <v>694</v>
      </c>
      <c r="G266" s="97" t="s">
        <v>695</v>
      </c>
      <c r="H266" s="82" t="s">
        <v>349</v>
      </c>
      <c r="I266" s="98">
        <v>28.43</v>
      </c>
      <c r="J266" s="100">
        <v>44.06</v>
      </c>
      <c r="K266" s="91"/>
      <c r="R266" s="72"/>
      <c r="T266" s="72"/>
    </row>
    <row r="267" spans="1:20" s="66" customFormat="1" ht="18.75" customHeight="1" x14ac:dyDescent="0.2">
      <c r="A267" s="79"/>
      <c r="B267" s="79"/>
      <c r="C267" s="80"/>
      <c r="E267" s="97" t="s">
        <v>19</v>
      </c>
      <c r="F267" s="97" t="s">
        <v>696</v>
      </c>
      <c r="G267" s="97" t="s">
        <v>697</v>
      </c>
      <c r="H267" s="82" t="s">
        <v>349</v>
      </c>
      <c r="I267" s="98">
        <v>27.28</v>
      </c>
      <c r="J267" s="84"/>
      <c r="K267" s="91"/>
      <c r="R267" s="72"/>
    </row>
    <row r="268" spans="1:20" s="66" customFormat="1" ht="18.75" customHeight="1" x14ac:dyDescent="0.2">
      <c r="A268" s="79"/>
      <c r="B268" s="79"/>
      <c r="C268" s="80"/>
      <c r="E268" s="97"/>
      <c r="F268" s="97"/>
      <c r="G268" s="97" t="s">
        <v>353</v>
      </c>
      <c r="H268" s="82"/>
      <c r="I268" s="98"/>
      <c r="J268" s="84"/>
      <c r="K268" s="91"/>
      <c r="R268" s="72"/>
    </row>
    <row r="269" spans="1:20" s="72" customFormat="1" ht="18.75" customHeight="1" x14ac:dyDescent="0.2">
      <c r="A269" s="70">
        <v>36065</v>
      </c>
      <c r="B269" s="70">
        <v>36079</v>
      </c>
      <c r="C269" s="71">
        <v>13707</v>
      </c>
      <c r="D269" s="72" t="s">
        <v>698</v>
      </c>
      <c r="E269" s="92" t="s">
        <v>21</v>
      </c>
      <c r="F269" s="92" t="s">
        <v>699</v>
      </c>
      <c r="G269" s="92" t="s">
        <v>700</v>
      </c>
      <c r="H269" s="74" t="s">
        <v>349</v>
      </c>
      <c r="I269" s="93">
        <v>51.76</v>
      </c>
      <c r="J269" s="76"/>
      <c r="K269" s="76">
        <v>83.4</v>
      </c>
      <c r="L269" s="76"/>
      <c r="M269" s="70">
        <v>36296</v>
      </c>
      <c r="N269" s="89">
        <v>39217</v>
      </c>
    </row>
    <row r="270" spans="1:20" s="66" customFormat="1" ht="18.75" customHeight="1" x14ac:dyDescent="0.2">
      <c r="A270" s="79"/>
      <c r="B270" s="79"/>
      <c r="C270" s="80"/>
      <c r="E270" s="97" t="s">
        <v>19</v>
      </c>
      <c r="F270" s="97" t="s">
        <v>701</v>
      </c>
      <c r="G270" s="97" t="s">
        <v>702</v>
      </c>
      <c r="H270" s="82" t="s">
        <v>349</v>
      </c>
      <c r="I270" s="98">
        <v>48.24</v>
      </c>
      <c r="J270" s="84"/>
      <c r="K270" s="91"/>
      <c r="R270" s="72"/>
    </row>
    <row r="271" spans="1:20" s="66" customFormat="1" ht="18.75" customHeight="1" x14ac:dyDescent="0.2">
      <c r="A271" s="79"/>
      <c r="B271" s="79"/>
      <c r="C271" s="80"/>
      <c r="E271" s="97"/>
      <c r="F271" s="97"/>
      <c r="G271" s="97" t="s">
        <v>353</v>
      </c>
      <c r="H271" s="82"/>
      <c r="I271" s="98"/>
      <c r="J271" s="84"/>
      <c r="K271" s="91"/>
      <c r="R271" s="72"/>
    </row>
    <row r="272" spans="1:20" s="72" customFormat="1" ht="18.75" customHeight="1" x14ac:dyDescent="0.2">
      <c r="A272" s="70">
        <v>36065</v>
      </c>
      <c r="B272" s="70">
        <v>36079</v>
      </c>
      <c r="C272" s="71">
        <v>13804</v>
      </c>
      <c r="D272" s="72" t="s">
        <v>703</v>
      </c>
      <c r="E272" s="92" t="s">
        <v>704</v>
      </c>
      <c r="F272" s="92" t="s">
        <v>704</v>
      </c>
      <c r="G272" s="92" t="s">
        <v>358</v>
      </c>
      <c r="H272" s="74" t="s">
        <v>349</v>
      </c>
      <c r="I272" s="93">
        <v>65.540000000000006</v>
      </c>
      <c r="J272" s="76"/>
      <c r="K272" s="76">
        <v>82.3</v>
      </c>
      <c r="L272" s="76"/>
      <c r="M272" s="70">
        <v>36187</v>
      </c>
      <c r="N272" s="89">
        <v>39108</v>
      </c>
    </row>
    <row r="273" spans="1:20" s="66" customFormat="1" ht="18.75" customHeight="1" x14ac:dyDescent="0.2">
      <c r="A273" s="79"/>
      <c r="B273" s="79"/>
      <c r="C273" s="80"/>
      <c r="E273" s="97" t="s">
        <v>705</v>
      </c>
      <c r="F273" s="97" t="s">
        <v>705</v>
      </c>
      <c r="G273" s="97" t="s">
        <v>706</v>
      </c>
      <c r="H273" s="82" t="s">
        <v>349</v>
      </c>
      <c r="I273" s="98">
        <v>34.46</v>
      </c>
      <c r="J273" s="84"/>
      <c r="K273" s="91"/>
      <c r="R273" s="72"/>
      <c r="T273" s="72"/>
    </row>
    <row r="274" spans="1:20" s="66" customFormat="1" ht="18.75" customHeight="1" x14ac:dyDescent="0.2">
      <c r="A274" s="79"/>
      <c r="B274" s="79"/>
      <c r="C274" s="80"/>
      <c r="E274" s="97"/>
      <c r="F274" s="97"/>
      <c r="G274" s="97" t="s">
        <v>353</v>
      </c>
      <c r="H274" s="82"/>
      <c r="I274" s="98"/>
      <c r="J274" s="84"/>
      <c r="K274" s="91"/>
      <c r="R274" s="72"/>
    </row>
    <row r="275" spans="1:20" s="72" customFormat="1" ht="18.75" customHeight="1" x14ac:dyDescent="0.2">
      <c r="A275" s="70">
        <v>36065</v>
      </c>
      <c r="B275" s="70">
        <v>36079</v>
      </c>
      <c r="C275" s="71">
        <v>14003</v>
      </c>
      <c r="D275" s="72" t="s">
        <v>707</v>
      </c>
      <c r="E275" s="92" t="s">
        <v>693</v>
      </c>
      <c r="F275" s="92" t="s">
        <v>693</v>
      </c>
      <c r="G275" s="92" t="s">
        <v>708</v>
      </c>
      <c r="H275" s="74" t="s">
        <v>349</v>
      </c>
      <c r="I275" s="93">
        <v>89.5</v>
      </c>
      <c r="J275" s="76"/>
      <c r="K275" s="76">
        <v>82.3</v>
      </c>
      <c r="L275" s="76"/>
      <c r="M275" s="70">
        <v>36161</v>
      </c>
      <c r="N275" s="89">
        <v>39082</v>
      </c>
    </row>
    <row r="276" spans="1:20" s="66" customFormat="1" ht="18.75" customHeight="1" x14ac:dyDescent="0.2">
      <c r="A276" s="79"/>
      <c r="B276" s="79"/>
      <c r="C276" s="80"/>
      <c r="E276" s="86"/>
      <c r="G276" s="66" t="s">
        <v>353</v>
      </c>
      <c r="H276" s="82"/>
      <c r="I276" s="87"/>
      <c r="J276" s="84"/>
      <c r="K276" s="91"/>
      <c r="R276" s="72"/>
    </row>
    <row r="277" spans="1:20" s="72" customFormat="1" ht="18.75" customHeight="1" x14ac:dyDescent="0.2">
      <c r="A277" s="70">
        <v>36065</v>
      </c>
      <c r="B277" s="70">
        <v>36079</v>
      </c>
      <c r="C277" s="71">
        <v>14103</v>
      </c>
      <c r="D277" s="72" t="s">
        <v>709</v>
      </c>
      <c r="E277" s="92" t="s">
        <v>21</v>
      </c>
      <c r="F277" s="92" t="s">
        <v>367</v>
      </c>
      <c r="G277" s="92" t="s">
        <v>710</v>
      </c>
      <c r="H277" s="74" t="s">
        <v>349</v>
      </c>
      <c r="I277" s="93">
        <v>57.92</v>
      </c>
      <c r="J277" s="76"/>
      <c r="K277" s="76">
        <v>79.099999999999994</v>
      </c>
      <c r="L277" s="76"/>
      <c r="M277" s="70">
        <v>36312</v>
      </c>
      <c r="N277" s="89">
        <v>39233</v>
      </c>
    </row>
    <row r="278" spans="1:20" s="66" customFormat="1" ht="18.75" customHeight="1" x14ac:dyDescent="0.2">
      <c r="A278" s="79"/>
      <c r="B278" s="79"/>
      <c r="C278" s="80"/>
      <c r="E278" s="97" t="s">
        <v>19</v>
      </c>
      <c r="F278" s="97" t="s">
        <v>711</v>
      </c>
      <c r="G278" s="97" t="s">
        <v>712</v>
      </c>
      <c r="H278" s="82" t="s">
        <v>349</v>
      </c>
      <c r="I278" s="98">
        <v>32.369999999999997</v>
      </c>
      <c r="J278" s="84"/>
      <c r="K278" s="91"/>
      <c r="R278" s="72"/>
    </row>
    <row r="279" spans="1:20" s="66" customFormat="1" ht="18.75" customHeight="1" x14ac:dyDescent="0.2">
      <c r="A279" s="79"/>
      <c r="B279" s="79"/>
      <c r="C279" s="80"/>
      <c r="E279" s="97" t="s">
        <v>713</v>
      </c>
      <c r="F279" s="97" t="s">
        <v>713</v>
      </c>
      <c r="G279" s="97" t="s">
        <v>714</v>
      </c>
      <c r="H279" s="82" t="s">
        <v>349</v>
      </c>
      <c r="I279" s="98">
        <v>9.6999999999999993</v>
      </c>
      <c r="J279" s="84"/>
      <c r="K279" s="91"/>
      <c r="R279" s="72"/>
      <c r="T279" s="72"/>
    </row>
    <row r="280" spans="1:20" s="66" customFormat="1" ht="18.75" customHeight="1" x14ac:dyDescent="0.2">
      <c r="A280" s="79"/>
      <c r="B280" s="79"/>
      <c r="C280" s="80"/>
      <c r="E280" s="97"/>
      <c r="F280" s="97"/>
      <c r="G280" s="97" t="s">
        <v>353</v>
      </c>
      <c r="H280" s="82"/>
      <c r="I280" s="98"/>
      <c r="J280" s="84"/>
      <c r="K280" s="91"/>
      <c r="R280" s="72"/>
    </row>
    <row r="281" spans="1:20" s="72" customFormat="1" ht="18.75" customHeight="1" x14ac:dyDescent="0.2">
      <c r="A281" s="70">
        <v>36065</v>
      </c>
      <c r="B281" s="70">
        <v>36079</v>
      </c>
      <c r="C281" s="71">
        <v>14307</v>
      </c>
      <c r="D281" s="72" t="s">
        <v>715</v>
      </c>
      <c r="E281" s="92" t="s">
        <v>55</v>
      </c>
      <c r="F281" s="92" t="s">
        <v>716</v>
      </c>
      <c r="G281" s="92" t="s">
        <v>358</v>
      </c>
      <c r="H281" s="74" t="s">
        <v>349</v>
      </c>
      <c r="I281" s="93">
        <v>47.8</v>
      </c>
      <c r="J281" s="99">
        <v>82.65</v>
      </c>
      <c r="K281" s="76">
        <v>81.7</v>
      </c>
      <c r="L281" s="76">
        <v>53.6</v>
      </c>
      <c r="M281" s="70">
        <v>36234</v>
      </c>
      <c r="N281" s="89">
        <v>39155</v>
      </c>
    </row>
    <row r="282" spans="1:20" s="66" customFormat="1" ht="18.75" customHeight="1" x14ac:dyDescent="0.2">
      <c r="A282" s="79"/>
      <c r="B282" s="79"/>
      <c r="C282" s="80"/>
      <c r="E282" s="97" t="s">
        <v>19</v>
      </c>
      <c r="F282" s="97" t="s">
        <v>717</v>
      </c>
      <c r="G282" s="97" t="s">
        <v>708</v>
      </c>
      <c r="H282" s="82" t="s">
        <v>349</v>
      </c>
      <c r="I282" s="98">
        <v>29.48</v>
      </c>
      <c r="J282" s="100">
        <v>17.350000000000001</v>
      </c>
      <c r="K282" s="91"/>
      <c r="R282" s="72"/>
    </row>
    <row r="283" spans="1:20" s="66" customFormat="1" ht="18.75" customHeight="1" x14ac:dyDescent="0.2">
      <c r="A283" s="79"/>
      <c r="B283" s="79"/>
      <c r="C283" s="80"/>
      <c r="E283" s="97" t="s">
        <v>21</v>
      </c>
      <c r="F283" s="97" t="s">
        <v>718</v>
      </c>
      <c r="G283" s="97" t="s">
        <v>570</v>
      </c>
      <c r="H283" s="82" t="s">
        <v>349</v>
      </c>
      <c r="I283" s="98">
        <v>22.72</v>
      </c>
      <c r="J283" s="84"/>
      <c r="K283" s="91"/>
      <c r="R283" s="72"/>
    </row>
    <row r="284" spans="1:20" s="66" customFormat="1" ht="18.75" customHeight="1" x14ac:dyDescent="0.2">
      <c r="A284" s="79"/>
      <c r="B284" s="79"/>
      <c r="C284" s="80"/>
      <c r="E284" s="97"/>
      <c r="F284" s="97"/>
      <c r="G284" s="97" t="s">
        <v>353</v>
      </c>
      <c r="H284" s="82"/>
      <c r="I284" s="98"/>
      <c r="J284" s="84"/>
      <c r="K284" s="91"/>
      <c r="R284" s="72"/>
    </row>
    <row r="285" spans="1:20" s="72" customFormat="1" ht="18.75" customHeight="1" x14ac:dyDescent="0.2">
      <c r="A285" s="70">
        <v>36065</v>
      </c>
      <c r="B285" s="70">
        <v>36079</v>
      </c>
      <c r="C285" s="71">
        <v>23201</v>
      </c>
      <c r="D285" s="72" t="s">
        <v>719</v>
      </c>
      <c r="E285" s="92" t="s">
        <v>19</v>
      </c>
      <c r="F285" s="92" t="s">
        <v>720</v>
      </c>
      <c r="G285" s="92" t="s">
        <v>721</v>
      </c>
      <c r="H285" s="74" t="s">
        <v>349</v>
      </c>
      <c r="I285" s="93">
        <v>44.29</v>
      </c>
      <c r="J285" s="99">
        <v>54.24</v>
      </c>
      <c r="K285" s="76">
        <v>83.2</v>
      </c>
      <c r="L285" s="76">
        <v>72.2</v>
      </c>
      <c r="M285" s="70">
        <v>36161</v>
      </c>
      <c r="N285" s="89">
        <v>39082</v>
      </c>
    </row>
    <row r="286" spans="1:20" s="66" customFormat="1" ht="18.75" customHeight="1" x14ac:dyDescent="0.2">
      <c r="A286" s="79"/>
      <c r="B286" s="79"/>
      <c r="C286" s="80"/>
      <c r="E286" s="97" t="s">
        <v>21</v>
      </c>
      <c r="F286" s="97" t="s">
        <v>722</v>
      </c>
      <c r="G286" s="97" t="s">
        <v>474</v>
      </c>
      <c r="H286" s="82" t="s">
        <v>349</v>
      </c>
      <c r="I286" s="98">
        <v>35.159999999999997</v>
      </c>
      <c r="J286" s="100">
        <v>45.76</v>
      </c>
      <c r="K286" s="91"/>
      <c r="R286" s="72"/>
    </row>
    <row r="287" spans="1:20" s="66" customFormat="1" ht="18.75" customHeight="1" x14ac:dyDescent="0.2">
      <c r="A287" s="79"/>
      <c r="B287" s="79"/>
      <c r="C287" s="80"/>
      <c r="E287" s="97" t="s">
        <v>55</v>
      </c>
      <c r="F287" s="97" t="s">
        <v>454</v>
      </c>
      <c r="G287" s="97" t="s">
        <v>723</v>
      </c>
      <c r="H287" s="82" t="s">
        <v>349</v>
      </c>
      <c r="I287" s="98">
        <v>20.55</v>
      </c>
      <c r="J287" s="84"/>
      <c r="K287" s="91"/>
      <c r="R287" s="72"/>
    </row>
    <row r="288" spans="1:20" s="66" customFormat="1" ht="18.75" customHeight="1" x14ac:dyDescent="0.2">
      <c r="A288" s="79"/>
      <c r="B288" s="79"/>
      <c r="C288" s="80"/>
      <c r="E288" s="97"/>
      <c r="F288" s="97"/>
      <c r="G288" s="97" t="s">
        <v>353</v>
      </c>
      <c r="H288" s="82"/>
      <c r="I288" s="98"/>
      <c r="J288" s="84"/>
      <c r="K288" s="91"/>
      <c r="R288" s="72"/>
    </row>
    <row r="289" spans="1:20" s="72" customFormat="1" ht="18.75" customHeight="1" x14ac:dyDescent="0.2">
      <c r="A289" s="70">
        <v>36065</v>
      </c>
      <c r="B289" s="70">
        <v>36079</v>
      </c>
      <c r="C289" s="71">
        <v>33206</v>
      </c>
      <c r="D289" s="72" t="s">
        <v>724</v>
      </c>
      <c r="E289" s="73" t="s">
        <v>21</v>
      </c>
      <c r="F289" s="73" t="s">
        <v>725</v>
      </c>
      <c r="G289" s="73" t="s">
        <v>358</v>
      </c>
      <c r="H289" s="74" t="s">
        <v>349</v>
      </c>
      <c r="I289" s="75">
        <v>47.91</v>
      </c>
      <c r="J289" s="88">
        <v>56.36</v>
      </c>
      <c r="K289" s="76">
        <v>85.5</v>
      </c>
      <c r="L289" s="76">
        <v>62.1</v>
      </c>
      <c r="M289" s="70">
        <v>36281</v>
      </c>
      <c r="N289" s="89">
        <v>39202</v>
      </c>
    </row>
    <row r="290" spans="1:20" s="66" customFormat="1" ht="18.75" customHeight="1" x14ac:dyDescent="0.2">
      <c r="A290" s="79"/>
      <c r="B290" s="79"/>
      <c r="C290" s="80"/>
      <c r="E290" s="81" t="s">
        <v>55</v>
      </c>
      <c r="F290" s="81" t="s">
        <v>726</v>
      </c>
      <c r="G290" s="81" t="s">
        <v>389</v>
      </c>
      <c r="H290" s="82" t="s">
        <v>349</v>
      </c>
      <c r="I290" s="83">
        <v>29.46</v>
      </c>
      <c r="J290" s="90">
        <v>43.64</v>
      </c>
      <c r="K290" s="91"/>
      <c r="R290" s="72"/>
    </row>
    <row r="291" spans="1:20" s="66" customFormat="1" ht="18.75" customHeight="1" x14ac:dyDescent="0.2">
      <c r="A291" s="79"/>
      <c r="B291" s="79"/>
      <c r="C291" s="80"/>
      <c r="E291" s="81" t="s">
        <v>19</v>
      </c>
      <c r="F291" s="81" t="s">
        <v>727</v>
      </c>
      <c r="G291" s="81" t="s">
        <v>728</v>
      </c>
      <c r="H291" s="82" t="s">
        <v>419</v>
      </c>
      <c r="I291" s="83">
        <v>22.63</v>
      </c>
      <c r="J291" s="84"/>
      <c r="K291" s="91"/>
      <c r="R291" s="72"/>
    </row>
    <row r="292" spans="1:20" s="66" customFormat="1" ht="18.75" customHeight="1" x14ac:dyDescent="0.2">
      <c r="A292" s="79"/>
      <c r="B292" s="79"/>
      <c r="C292" s="80"/>
      <c r="E292" s="81"/>
      <c r="F292" s="81"/>
      <c r="G292" s="81" t="s">
        <v>353</v>
      </c>
      <c r="H292" s="82"/>
      <c r="I292" s="83"/>
      <c r="J292" s="84"/>
      <c r="K292" s="91"/>
      <c r="R292" s="72"/>
    </row>
    <row r="293" spans="1:20" s="72" customFormat="1" ht="18.75" customHeight="1" x14ac:dyDescent="0.2">
      <c r="A293" s="70">
        <v>36065</v>
      </c>
      <c r="B293" s="70">
        <v>36079</v>
      </c>
      <c r="C293" s="71">
        <v>33503</v>
      </c>
      <c r="D293" s="72" t="s">
        <v>729</v>
      </c>
      <c r="E293" s="73" t="s">
        <v>19</v>
      </c>
      <c r="F293" s="73" t="s">
        <v>730</v>
      </c>
      <c r="G293" s="73" t="s">
        <v>550</v>
      </c>
      <c r="H293" s="74" t="s">
        <v>349</v>
      </c>
      <c r="I293" s="75">
        <v>38.520000000000003</v>
      </c>
      <c r="J293" s="88">
        <v>54.6</v>
      </c>
      <c r="K293" s="76">
        <v>84.7</v>
      </c>
      <c r="L293" s="76">
        <v>66.099999999999994</v>
      </c>
      <c r="M293" s="70">
        <v>36251</v>
      </c>
      <c r="N293" s="89">
        <v>39172</v>
      </c>
    </row>
    <row r="294" spans="1:20" s="66" customFormat="1" ht="18.75" customHeight="1" x14ac:dyDescent="0.2">
      <c r="A294" s="79"/>
      <c r="B294" s="79"/>
      <c r="C294" s="80"/>
      <c r="E294" s="81" t="s">
        <v>21</v>
      </c>
      <c r="F294" s="81" t="s">
        <v>731</v>
      </c>
      <c r="G294" s="81" t="s">
        <v>477</v>
      </c>
      <c r="H294" s="82" t="s">
        <v>349</v>
      </c>
      <c r="I294" s="83">
        <v>38.1</v>
      </c>
      <c r="J294" s="90">
        <v>45.4</v>
      </c>
      <c r="K294" s="91"/>
      <c r="R294" s="72"/>
    </row>
    <row r="295" spans="1:20" s="66" customFormat="1" ht="18.75" customHeight="1" x14ac:dyDescent="0.2">
      <c r="A295" s="79"/>
      <c r="B295" s="79"/>
      <c r="C295" s="80"/>
      <c r="E295" s="81" t="s">
        <v>55</v>
      </c>
      <c r="F295" s="81" t="s">
        <v>291</v>
      </c>
      <c r="G295" s="81" t="s">
        <v>360</v>
      </c>
      <c r="H295" s="82" t="s">
        <v>349</v>
      </c>
      <c r="I295" s="83">
        <v>23.38</v>
      </c>
      <c r="J295" s="84"/>
      <c r="K295" s="91"/>
      <c r="R295" s="72"/>
    </row>
    <row r="296" spans="1:20" s="66" customFormat="1" ht="18.75" customHeight="1" x14ac:dyDescent="0.2">
      <c r="A296" s="79"/>
      <c r="B296" s="79"/>
      <c r="C296" s="80"/>
      <c r="E296" s="81"/>
      <c r="F296" s="81"/>
      <c r="G296" s="81" t="s">
        <v>353</v>
      </c>
      <c r="H296" s="82"/>
      <c r="I296" s="83"/>
      <c r="J296" s="84"/>
      <c r="K296" s="91"/>
      <c r="R296" s="72"/>
    </row>
    <row r="297" spans="1:20" s="72" customFormat="1" ht="18.75" customHeight="1" x14ac:dyDescent="0.2">
      <c r="A297" s="70">
        <v>36065</v>
      </c>
      <c r="B297" s="70">
        <v>36079</v>
      </c>
      <c r="C297" s="71">
        <v>34002</v>
      </c>
      <c r="D297" s="72" t="s">
        <v>732</v>
      </c>
      <c r="E297" s="92" t="s">
        <v>21</v>
      </c>
      <c r="F297" s="92" t="s">
        <v>733</v>
      </c>
      <c r="G297" s="92" t="s">
        <v>734</v>
      </c>
      <c r="H297" s="74" t="s">
        <v>349</v>
      </c>
      <c r="I297" s="93">
        <v>29.25</v>
      </c>
      <c r="J297" s="99">
        <v>51.76</v>
      </c>
      <c r="K297" s="76">
        <v>86.2</v>
      </c>
      <c r="L297" s="76">
        <v>64.8</v>
      </c>
      <c r="M297" s="70">
        <v>36251</v>
      </c>
      <c r="N297" s="89">
        <v>39172</v>
      </c>
    </row>
    <row r="298" spans="1:20" s="66" customFormat="1" ht="18.75" customHeight="1" x14ac:dyDescent="0.2">
      <c r="A298" s="79"/>
      <c r="B298" s="79"/>
      <c r="C298" s="80"/>
      <c r="E298" s="97" t="s">
        <v>19</v>
      </c>
      <c r="F298" s="97" t="s">
        <v>735</v>
      </c>
      <c r="G298" s="97" t="s">
        <v>416</v>
      </c>
      <c r="H298" s="82" t="s">
        <v>349</v>
      </c>
      <c r="I298" s="98">
        <v>35.85</v>
      </c>
      <c r="J298" s="100">
        <v>48.24</v>
      </c>
      <c r="K298" s="91"/>
      <c r="R298" s="72"/>
    </row>
    <row r="299" spans="1:20" s="66" customFormat="1" ht="18.75" customHeight="1" x14ac:dyDescent="0.2">
      <c r="A299" s="79"/>
      <c r="B299" s="79"/>
      <c r="C299" s="80"/>
      <c r="E299" s="97" t="s">
        <v>34</v>
      </c>
      <c r="F299" s="97" t="s">
        <v>736</v>
      </c>
      <c r="G299" s="97" t="s">
        <v>360</v>
      </c>
      <c r="H299" s="82" t="s">
        <v>349</v>
      </c>
      <c r="I299" s="98">
        <v>28.22</v>
      </c>
      <c r="J299" s="84"/>
      <c r="K299" s="91"/>
      <c r="R299" s="72"/>
    </row>
    <row r="300" spans="1:20" s="66" customFormat="1" ht="18.75" customHeight="1" x14ac:dyDescent="0.2">
      <c r="A300" s="79"/>
      <c r="B300" s="79"/>
      <c r="C300" s="80"/>
      <c r="E300" s="97" t="s">
        <v>737</v>
      </c>
      <c r="F300" s="97" t="s">
        <v>737</v>
      </c>
      <c r="G300" s="97" t="s">
        <v>738</v>
      </c>
      <c r="H300" s="82" t="s">
        <v>349</v>
      </c>
      <c r="I300" s="98">
        <v>6.68</v>
      </c>
      <c r="J300" s="84"/>
      <c r="K300" s="91"/>
      <c r="R300" s="72"/>
      <c r="T300" s="72"/>
    </row>
    <row r="301" spans="1:20" s="66" customFormat="1" ht="18.75" customHeight="1" x14ac:dyDescent="0.2">
      <c r="A301" s="79"/>
      <c r="B301" s="79"/>
      <c r="C301" s="80"/>
      <c r="E301" s="97"/>
      <c r="F301" s="97"/>
      <c r="G301" s="97" t="s">
        <v>353</v>
      </c>
      <c r="H301" s="82"/>
      <c r="I301" s="98"/>
      <c r="J301" s="84"/>
      <c r="K301" s="91"/>
      <c r="R301" s="72"/>
    </row>
    <row r="302" spans="1:20" s="72" customFormat="1" ht="18.75" customHeight="1" x14ac:dyDescent="0.2">
      <c r="A302" s="70">
        <v>36135</v>
      </c>
      <c r="B302" s="70">
        <v>36149</v>
      </c>
      <c r="C302" s="71">
        <v>23106</v>
      </c>
      <c r="D302" s="72" t="s">
        <v>739</v>
      </c>
      <c r="E302" s="92" t="s">
        <v>740</v>
      </c>
      <c r="F302" s="92" t="s">
        <v>740</v>
      </c>
      <c r="G302" s="92" t="s">
        <v>741</v>
      </c>
      <c r="H302" s="74" t="s">
        <v>349</v>
      </c>
      <c r="I302" s="93">
        <v>92.39</v>
      </c>
      <c r="J302" s="76"/>
      <c r="K302" s="76">
        <v>46.3</v>
      </c>
      <c r="L302" s="76"/>
      <c r="M302" s="70">
        <v>36342</v>
      </c>
      <c r="N302" s="89">
        <v>39263</v>
      </c>
    </row>
    <row r="303" spans="1:20" s="66" customFormat="1" ht="18.75" customHeight="1" x14ac:dyDescent="0.2">
      <c r="A303" s="79"/>
      <c r="B303" s="79"/>
      <c r="C303" s="80"/>
      <c r="E303" s="86"/>
      <c r="G303" s="66" t="s">
        <v>353</v>
      </c>
      <c r="H303" s="82"/>
      <c r="I303" s="87"/>
      <c r="J303" s="84"/>
      <c r="K303" s="91"/>
      <c r="R303" s="72"/>
    </row>
    <row r="304" spans="1:20" s="72" customFormat="1" ht="18.75" customHeight="1" x14ac:dyDescent="0.2">
      <c r="A304" s="70">
        <v>36226</v>
      </c>
      <c r="B304" s="70">
        <v>36240</v>
      </c>
      <c r="C304" s="71">
        <v>33803</v>
      </c>
      <c r="D304" s="72" t="s">
        <v>742</v>
      </c>
      <c r="E304" s="92" t="s">
        <v>21</v>
      </c>
      <c r="F304" s="92" t="s">
        <v>743</v>
      </c>
      <c r="G304" s="92" t="s">
        <v>455</v>
      </c>
      <c r="H304" s="74" t="s">
        <v>349</v>
      </c>
      <c r="I304" s="93">
        <v>49.79</v>
      </c>
      <c r="J304" s="99">
        <v>56.65</v>
      </c>
      <c r="K304" s="76">
        <v>59.44</v>
      </c>
      <c r="L304" s="76">
        <v>53.82</v>
      </c>
      <c r="M304" s="70">
        <v>36342</v>
      </c>
      <c r="N304" s="89">
        <v>39263</v>
      </c>
    </row>
    <row r="305" spans="1:20" ht="18.75" customHeight="1" x14ac:dyDescent="0.2">
      <c r="A305" s="79"/>
      <c r="B305" s="79"/>
      <c r="C305" s="80"/>
      <c r="D305" s="66"/>
      <c r="E305" s="97" t="s">
        <v>19</v>
      </c>
      <c r="F305" s="97" t="s">
        <v>744</v>
      </c>
      <c r="G305" s="97" t="s">
        <v>745</v>
      </c>
      <c r="H305" s="82" t="s">
        <v>349</v>
      </c>
      <c r="I305" s="98">
        <v>25.4</v>
      </c>
      <c r="J305" s="100">
        <v>43.35</v>
      </c>
      <c r="K305" s="91"/>
      <c r="L305" s="66"/>
      <c r="M305" s="66"/>
      <c r="N305" s="66"/>
      <c r="O305" s="66"/>
      <c r="P305" s="66"/>
      <c r="Q305" s="66"/>
      <c r="R305" s="72"/>
    </row>
    <row r="306" spans="1:20" ht="18.75" customHeight="1" x14ac:dyDescent="0.2">
      <c r="A306" s="79"/>
      <c r="B306" s="79"/>
      <c r="C306" s="80"/>
      <c r="D306" s="66"/>
      <c r="E306" s="97" t="s">
        <v>55</v>
      </c>
      <c r="F306" s="97" t="s">
        <v>746</v>
      </c>
      <c r="G306" s="97" t="s">
        <v>358</v>
      </c>
      <c r="H306" s="82" t="s">
        <v>349</v>
      </c>
      <c r="I306" s="98">
        <v>24.81</v>
      </c>
      <c r="J306" s="84"/>
      <c r="K306" s="91"/>
      <c r="L306" s="66"/>
      <c r="M306" s="66"/>
      <c r="N306" s="66"/>
      <c r="O306" s="66"/>
      <c r="P306" s="66"/>
      <c r="Q306" s="66"/>
      <c r="R306" s="72"/>
    </row>
    <row r="307" spans="1:20" ht="18.75" customHeight="1" x14ac:dyDescent="0.2">
      <c r="A307" s="79"/>
      <c r="B307" s="79"/>
      <c r="C307" s="80"/>
      <c r="D307" s="66"/>
      <c r="E307" s="97"/>
      <c r="F307" s="97"/>
      <c r="G307" s="97" t="s">
        <v>353</v>
      </c>
      <c r="H307" s="82"/>
      <c r="I307" s="98"/>
      <c r="J307" s="84"/>
      <c r="K307" s="91"/>
      <c r="L307" s="66"/>
      <c r="M307" s="66"/>
      <c r="N307" s="66"/>
      <c r="O307" s="66"/>
      <c r="P307" s="66"/>
      <c r="Q307" s="66"/>
      <c r="R307" s="72"/>
    </row>
    <row r="308" spans="1:20" s="101" customFormat="1" ht="18.75" customHeight="1" x14ac:dyDescent="0.2">
      <c r="A308" s="70">
        <v>36268</v>
      </c>
      <c r="B308" s="70">
        <v>36282</v>
      </c>
      <c r="C308" s="71">
        <v>33901</v>
      </c>
      <c r="D308" s="72" t="s">
        <v>498</v>
      </c>
      <c r="E308" s="92" t="s">
        <v>19</v>
      </c>
      <c r="F308" s="92" t="s">
        <v>747</v>
      </c>
      <c r="G308" s="92" t="s">
        <v>348</v>
      </c>
      <c r="H308" s="74" t="s">
        <v>349</v>
      </c>
      <c r="I308" s="93">
        <v>37.56</v>
      </c>
      <c r="J308" s="99">
        <v>61.41</v>
      </c>
      <c r="K308" s="76">
        <v>59.9</v>
      </c>
      <c r="L308" s="76">
        <v>55.5</v>
      </c>
      <c r="M308" s="70">
        <v>36312</v>
      </c>
      <c r="N308" s="89">
        <v>39233</v>
      </c>
      <c r="O308" s="73" t="s">
        <v>19</v>
      </c>
      <c r="P308" s="73" t="s">
        <v>499</v>
      </c>
      <c r="Q308" s="73" t="s">
        <v>500</v>
      </c>
      <c r="R308" s="72" t="s">
        <v>349</v>
      </c>
      <c r="S308" s="72"/>
    </row>
    <row r="309" spans="1:20" ht="18.75" customHeight="1" x14ac:dyDescent="0.2">
      <c r="A309" s="79"/>
      <c r="B309" s="79"/>
      <c r="C309" s="80"/>
      <c r="D309" s="66"/>
      <c r="E309" s="97" t="s">
        <v>21</v>
      </c>
      <c r="F309" s="97" t="s">
        <v>748</v>
      </c>
      <c r="G309" s="97" t="s">
        <v>749</v>
      </c>
      <c r="H309" s="82" t="s">
        <v>419</v>
      </c>
      <c r="I309" s="98">
        <v>33.39</v>
      </c>
      <c r="J309" s="100">
        <v>38.590000000000003</v>
      </c>
      <c r="K309" s="91"/>
      <c r="L309" s="66"/>
      <c r="M309" s="66"/>
      <c r="N309" s="66"/>
      <c r="R309" s="72"/>
    </row>
    <row r="310" spans="1:20" ht="18.75" customHeight="1" x14ac:dyDescent="0.2">
      <c r="A310" s="79"/>
      <c r="B310" s="79"/>
      <c r="C310" s="80"/>
      <c r="D310" s="66"/>
      <c r="E310" s="97" t="s">
        <v>55</v>
      </c>
      <c r="F310" s="97" t="s">
        <v>276</v>
      </c>
      <c r="G310" s="97" t="s">
        <v>750</v>
      </c>
      <c r="H310" s="82" t="s">
        <v>349</v>
      </c>
      <c r="I310" s="98">
        <v>24.7</v>
      </c>
      <c r="J310" s="84"/>
      <c r="K310" s="91"/>
      <c r="L310" s="66"/>
      <c r="M310" s="66"/>
      <c r="N310" s="66"/>
      <c r="R310" s="72"/>
    </row>
    <row r="311" spans="1:20" ht="18.75" customHeight="1" x14ac:dyDescent="0.2">
      <c r="A311" s="79"/>
      <c r="B311" s="79"/>
      <c r="C311" s="80"/>
      <c r="D311" s="66"/>
      <c r="E311" s="97" t="s">
        <v>751</v>
      </c>
      <c r="F311" s="97" t="s">
        <v>751</v>
      </c>
      <c r="G311" s="97" t="s">
        <v>457</v>
      </c>
      <c r="H311" s="82" t="s">
        <v>349</v>
      </c>
      <c r="I311" s="98">
        <v>4.3499999999999996</v>
      </c>
      <c r="J311" s="84"/>
      <c r="K311" s="91"/>
      <c r="L311" s="66"/>
      <c r="M311" s="66"/>
      <c r="N311" s="66"/>
      <c r="R311" s="72"/>
      <c r="T311" s="72"/>
    </row>
    <row r="312" spans="1:20" ht="18.75" customHeight="1" x14ac:dyDescent="0.2">
      <c r="A312" s="79"/>
      <c r="B312" s="79"/>
      <c r="C312" s="80"/>
      <c r="D312" s="66"/>
      <c r="E312" s="97"/>
      <c r="F312" s="97"/>
      <c r="G312" s="97" t="s">
        <v>353</v>
      </c>
      <c r="H312" s="82"/>
      <c r="I312" s="98"/>
      <c r="J312" s="84"/>
      <c r="K312" s="91"/>
      <c r="L312" s="66"/>
      <c r="M312" s="66"/>
      <c r="N312" s="66"/>
      <c r="R312" s="72"/>
    </row>
    <row r="313" spans="1:20" s="101" customFormat="1" ht="18.75" customHeight="1" x14ac:dyDescent="0.2">
      <c r="A313" s="70">
        <v>36324</v>
      </c>
      <c r="B313" s="70">
        <v>36338</v>
      </c>
      <c r="C313" s="71">
        <v>13104</v>
      </c>
      <c r="D313" s="72" t="s">
        <v>752</v>
      </c>
      <c r="E313" s="92" t="s">
        <v>19</v>
      </c>
      <c r="F313" s="92" t="s">
        <v>753</v>
      </c>
      <c r="G313" s="92" t="s">
        <v>754</v>
      </c>
      <c r="H313" s="74" t="s">
        <v>349</v>
      </c>
      <c r="I313" s="93">
        <v>68.55</v>
      </c>
      <c r="J313" s="76"/>
      <c r="K313" s="76">
        <v>69.099999999999994</v>
      </c>
      <c r="L313" s="76"/>
      <c r="M313" s="70">
        <v>36540</v>
      </c>
      <c r="N313" s="68">
        <v>39317</v>
      </c>
      <c r="R313" s="72"/>
      <c r="S313" s="72"/>
    </row>
    <row r="314" spans="1:20" ht="18.75" customHeight="1" x14ac:dyDescent="0.2">
      <c r="A314" s="79"/>
      <c r="B314" s="79"/>
      <c r="C314" s="80"/>
      <c r="D314" s="66"/>
      <c r="E314" s="97" t="s">
        <v>21</v>
      </c>
      <c r="F314" s="97" t="s">
        <v>755</v>
      </c>
      <c r="G314" s="97" t="s">
        <v>500</v>
      </c>
      <c r="H314" s="82" t="s">
        <v>349</v>
      </c>
      <c r="I314" s="98">
        <v>23.04</v>
      </c>
      <c r="J314" s="84"/>
      <c r="K314" s="91"/>
      <c r="L314" s="66"/>
      <c r="M314" s="66"/>
      <c r="N314" s="66"/>
      <c r="R314" s="72"/>
    </row>
    <row r="315" spans="1:20" ht="18.75" customHeight="1" x14ac:dyDescent="0.2">
      <c r="A315" s="79"/>
      <c r="B315" s="79"/>
      <c r="C315" s="80"/>
      <c r="D315" s="66"/>
      <c r="E315" s="97" t="s">
        <v>428</v>
      </c>
      <c r="F315" s="97" t="s">
        <v>428</v>
      </c>
      <c r="G315" s="97" t="s">
        <v>379</v>
      </c>
      <c r="H315" s="82" t="s">
        <v>349</v>
      </c>
      <c r="I315" s="98">
        <v>8.41</v>
      </c>
      <c r="J315" s="84"/>
      <c r="K315" s="91"/>
      <c r="L315" s="66"/>
      <c r="M315" s="66"/>
      <c r="N315" s="66"/>
      <c r="R315" s="72"/>
      <c r="T315" s="72"/>
    </row>
    <row r="316" spans="1:20" ht="18.75" customHeight="1" x14ac:dyDescent="0.2">
      <c r="A316" s="79"/>
      <c r="B316" s="79"/>
      <c r="C316" s="80"/>
      <c r="D316" s="66"/>
      <c r="E316" s="97"/>
      <c r="F316" s="97"/>
      <c r="G316" s="97" t="s">
        <v>353</v>
      </c>
      <c r="H316" s="82"/>
      <c r="I316" s="98"/>
      <c r="J316" s="84"/>
      <c r="K316" s="91"/>
      <c r="L316" s="66"/>
      <c r="M316" s="66"/>
      <c r="N316" s="66"/>
      <c r="R316" s="72"/>
    </row>
    <row r="317" spans="1:20" s="101" customFormat="1" ht="18.75" customHeight="1" x14ac:dyDescent="0.2">
      <c r="A317" s="70">
        <v>36324</v>
      </c>
      <c r="B317" s="70">
        <v>36338</v>
      </c>
      <c r="C317" s="71">
        <v>13204</v>
      </c>
      <c r="D317" s="72" t="s">
        <v>756</v>
      </c>
      <c r="E317" s="92" t="s">
        <v>19</v>
      </c>
      <c r="F317" s="92" t="s">
        <v>658</v>
      </c>
      <c r="G317" s="92" t="s">
        <v>487</v>
      </c>
      <c r="H317" s="74" t="s">
        <v>349</v>
      </c>
      <c r="I317" s="93">
        <v>46.9</v>
      </c>
      <c r="J317" s="99">
        <v>68.77</v>
      </c>
      <c r="K317" s="76">
        <v>69.099999999999994</v>
      </c>
      <c r="L317" s="76">
        <v>47.8</v>
      </c>
      <c r="M317" s="70">
        <v>36434</v>
      </c>
      <c r="N317" s="89">
        <v>39355</v>
      </c>
      <c r="R317" s="72"/>
      <c r="S317" s="72"/>
    </row>
    <row r="318" spans="1:20" ht="18.75" customHeight="1" x14ac:dyDescent="0.2">
      <c r="A318" s="79"/>
      <c r="B318" s="79"/>
      <c r="C318" s="80"/>
      <c r="D318" s="66"/>
      <c r="E318" s="97" t="s">
        <v>533</v>
      </c>
      <c r="F318" s="97" t="s">
        <v>533</v>
      </c>
      <c r="G318" s="97" t="s">
        <v>757</v>
      </c>
      <c r="H318" s="82" t="s">
        <v>349</v>
      </c>
      <c r="I318" s="98">
        <v>24.12</v>
      </c>
      <c r="J318" s="100">
        <v>31.23</v>
      </c>
      <c r="K318" s="91"/>
      <c r="L318" s="66"/>
      <c r="M318" s="66"/>
      <c r="N318" s="66"/>
      <c r="R318" s="72"/>
      <c r="T318" s="72"/>
    </row>
    <row r="319" spans="1:20" ht="18.75" customHeight="1" x14ac:dyDescent="0.2">
      <c r="A319" s="79"/>
      <c r="B319" s="79"/>
      <c r="C319" s="80"/>
      <c r="D319" s="66"/>
      <c r="E319" s="97" t="s">
        <v>21</v>
      </c>
      <c r="F319" s="97" t="s">
        <v>758</v>
      </c>
      <c r="G319" s="97" t="s">
        <v>487</v>
      </c>
      <c r="H319" s="82" t="s">
        <v>349</v>
      </c>
      <c r="I319" s="98">
        <v>20.89</v>
      </c>
      <c r="J319" s="84"/>
      <c r="K319" s="91"/>
      <c r="L319" s="66"/>
      <c r="M319" s="66"/>
      <c r="N319" s="66"/>
      <c r="R319" s="72"/>
    </row>
    <row r="320" spans="1:20" ht="18.75" customHeight="1" x14ac:dyDescent="0.2">
      <c r="A320" s="79"/>
      <c r="B320" s="79"/>
      <c r="C320" s="80"/>
      <c r="D320" s="66"/>
      <c r="E320" s="97" t="s">
        <v>759</v>
      </c>
      <c r="F320" s="97" t="s">
        <v>759</v>
      </c>
      <c r="G320" s="97" t="s">
        <v>371</v>
      </c>
      <c r="H320" s="82" t="s">
        <v>349</v>
      </c>
      <c r="I320" s="98">
        <v>8.09</v>
      </c>
      <c r="J320" s="84"/>
      <c r="K320" s="91"/>
      <c r="L320" s="66"/>
      <c r="M320" s="66"/>
      <c r="N320" s="66"/>
      <c r="R320" s="72"/>
      <c r="T320" s="72"/>
    </row>
    <row r="321" spans="1:20" ht="18.75" customHeight="1" x14ac:dyDescent="0.2">
      <c r="A321" s="79"/>
      <c r="B321" s="79"/>
      <c r="C321" s="80"/>
      <c r="D321" s="66"/>
      <c r="E321" s="97"/>
      <c r="F321" s="97"/>
      <c r="G321" s="97" t="s">
        <v>353</v>
      </c>
      <c r="H321" s="82"/>
      <c r="I321" s="98"/>
      <c r="J321" s="84"/>
      <c r="K321" s="91"/>
      <c r="L321" s="66"/>
      <c r="M321" s="66"/>
      <c r="N321" s="66"/>
      <c r="R321" s="72"/>
    </row>
    <row r="322" spans="1:20" s="101" customFormat="1" ht="18.75" customHeight="1" x14ac:dyDescent="0.2">
      <c r="A322" s="70">
        <v>36324</v>
      </c>
      <c r="B322" s="70">
        <v>36338</v>
      </c>
      <c r="C322" s="71">
        <v>13302</v>
      </c>
      <c r="D322" s="72" t="s">
        <v>760</v>
      </c>
      <c r="E322" s="92" t="s">
        <v>21</v>
      </c>
      <c r="F322" s="92" t="s">
        <v>761</v>
      </c>
      <c r="G322" s="92" t="s">
        <v>754</v>
      </c>
      <c r="H322" s="74" t="s">
        <v>349</v>
      </c>
      <c r="I322" s="93">
        <v>52.84</v>
      </c>
      <c r="J322" s="76"/>
      <c r="K322" s="77">
        <v>71.900000000000006</v>
      </c>
      <c r="L322" s="77"/>
      <c r="M322" s="70">
        <v>36557</v>
      </c>
      <c r="N322" s="89">
        <v>39478</v>
      </c>
      <c r="R322" s="72"/>
      <c r="S322" s="72"/>
    </row>
    <row r="323" spans="1:20" ht="18.75" customHeight="1" x14ac:dyDescent="0.2">
      <c r="A323" s="79"/>
      <c r="B323" s="79"/>
      <c r="C323" s="80"/>
      <c r="D323" s="66"/>
      <c r="E323" s="97" t="s">
        <v>19</v>
      </c>
      <c r="F323" s="97" t="s">
        <v>762</v>
      </c>
      <c r="G323" s="97" t="s">
        <v>376</v>
      </c>
      <c r="H323" s="82" t="s">
        <v>349</v>
      </c>
      <c r="I323" s="98">
        <v>47.16</v>
      </c>
      <c r="J323" s="84"/>
      <c r="K323" s="91"/>
      <c r="L323" s="66"/>
      <c r="M323" s="66"/>
      <c r="N323" s="66"/>
      <c r="R323" s="72"/>
    </row>
    <row r="324" spans="1:20" ht="18.75" customHeight="1" x14ac:dyDescent="0.2">
      <c r="A324" s="79"/>
      <c r="B324" s="79"/>
      <c r="C324" s="80"/>
      <c r="D324" s="66"/>
      <c r="E324" s="97"/>
      <c r="F324" s="97"/>
      <c r="G324" s="97" t="s">
        <v>353</v>
      </c>
      <c r="H324" s="82"/>
      <c r="I324" s="98"/>
      <c r="J324" s="84"/>
      <c r="K324" s="91"/>
      <c r="L324" s="66"/>
      <c r="M324" s="66"/>
      <c r="N324" s="66"/>
      <c r="R324" s="72"/>
    </row>
    <row r="325" spans="1:20" s="101" customFormat="1" ht="18.75" customHeight="1" x14ac:dyDescent="0.2">
      <c r="A325" s="70">
        <v>36324</v>
      </c>
      <c r="B325" s="70">
        <v>36338</v>
      </c>
      <c r="C325" s="71">
        <v>13802</v>
      </c>
      <c r="D325" s="72" t="s">
        <v>763</v>
      </c>
      <c r="E325" s="92" t="s">
        <v>21</v>
      </c>
      <c r="F325" s="92" t="s">
        <v>764</v>
      </c>
      <c r="G325" s="92" t="s">
        <v>383</v>
      </c>
      <c r="H325" s="74" t="s">
        <v>349</v>
      </c>
      <c r="I325" s="93">
        <v>50.31</v>
      </c>
      <c r="J325" s="76"/>
      <c r="K325" s="76">
        <v>69.5</v>
      </c>
      <c r="L325" s="76"/>
      <c r="M325" s="70">
        <v>36434</v>
      </c>
      <c r="N325" s="89">
        <v>39355</v>
      </c>
      <c r="R325" s="72"/>
      <c r="S325" s="72"/>
    </row>
    <row r="326" spans="1:20" ht="18.75" customHeight="1" x14ac:dyDescent="0.2">
      <c r="A326" s="79"/>
      <c r="B326" s="79"/>
      <c r="C326" s="80"/>
      <c r="D326" s="66"/>
      <c r="E326" s="97" t="s">
        <v>19</v>
      </c>
      <c r="F326" s="97" t="s">
        <v>716</v>
      </c>
      <c r="G326" s="97" t="s">
        <v>765</v>
      </c>
      <c r="H326" s="82" t="s">
        <v>349</v>
      </c>
      <c r="I326" s="98">
        <v>42.34</v>
      </c>
      <c r="J326" s="84"/>
      <c r="K326" s="91"/>
      <c r="L326" s="66"/>
      <c r="M326" s="66"/>
      <c r="N326" s="66"/>
      <c r="R326" s="72"/>
    </row>
    <row r="327" spans="1:20" ht="18.75" customHeight="1" x14ac:dyDescent="0.2">
      <c r="A327" s="79"/>
      <c r="B327" s="79"/>
      <c r="C327" s="80"/>
      <c r="D327" s="66"/>
      <c r="E327" s="97" t="s">
        <v>766</v>
      </c>
      <c r="F327" s="97" t="s">
        <v>766</v>
      </c>
      <c r="G327" s="97" t="s">
        <v>500</v>
      </c>
      <c r="H327" s="82" t="s">
        <v>349</v>
      </c>
      <c r="I327" s="98">
        <v>7.34</v>
      </c>
      <c r="J327" s="84"/>
      <c r="K327" s="91"/>
      <c r="L327" s="66"/>
      <c r="M327" s="66"/>
      <c r="N327" s="66"/>
      <c r="R327" s="72"/>
      <c r="T327" s="72"/>
    </row>
    <row r="328" spans="1:20" ht="18.75" customHeight="1" x14ac:dyDescent="0.2">
      <c r="A328" s="79"/>
      <c r="B328" s="79"/>
      <c r="C328" s="80"/>
      <c r="D328" s="66"/>
      <c r="E328" s="97"/>
      <c r="F328" s="97"/>
      <c r="G328" s="97" t="s">
        <v>353</v>
      </c>
      <c r="H328" s="82"/>
      <c r="I328" s="98"/>
      <c r="J328" s="84"/>
      <c r="K328" s="91"/>
      <c r="L328" s="66"/>
      <c r="M328" s="66"/>
      <c r="N328" s="66"/>
      <c r="R328" s="72"/>
    </row>
    <row r="329" spans="1:20" s="101" customFormat="1" ht="18.75" customHeight="1" x14ac:dyDescent="0.2">
      <c r="A329" s="70">
        <v>36324</v>
      </c>
      <c r="B329" s="70">
        <v>36338</v>
      </c>
      <c r="C329" s="71">
        <v>14004</v>
      </c>
      <c r="D329" s="72" t="s">
        <v>767</v>
      </c>
      <c r="E329" s="92" t="s">
        <v>768</v>
      </c>
      <c r="F329" s="92" t="s">
        <v>768</v>
      </c>
      <c r="G329" s="92" t="s">
        <v>769</v>
      </c>
      <c r="H329" s="74" t="s">
        <v>349</v>
      </c>
      <c r="I329" s="93">
        <v>37.65</v>
      </c>
      <c r="J329" s="99">
        <v>51.15</v>
      </c>
      <c r="K329" s="76">
        <v>70.3</v>
      </c>
      <c r="L329" s="76">
        <v>46.6</v>
      </c>
      <c r="M329" s="70">
        <v>36586</v>
      </c>
      <c r="N329" s="68" t="s">
        <v>770</v>
      </c>
      <c r="R329" s="72"/>
      <c r="S329" s="72"/>
      <c r="T329" s="72"/>
    </row>
    <row r="330" spans="1:20" ht="18.75" customHeight="1" x14ac:dyDescent="0.2">
      <c r="A330" s="79"/>
      <c r="B330" s="79"/>
      <c r="C330" s="80"/>
      <c r="D330" s="66"/>
      <c r="E330" s="97" t="s">
        <v>19</v>
      </c>
      <c r="F330" s="97" t="s">
        <v>771</v>
      </c>
      <c r="G330" s="97" t="s">
        <v>476</v>
      </c>
      <c r="H330" s="82" t="s">
        <v>349</v>
      </c>
      <c r="I330" s="98">
        <v>38.78</v>
      </c>
      <c r="J330" s="100">
        <v>48.85</v>
      </c>
      <c r="K330" s="91"/>
      <c r="L330" s="66"/>
      <c r="M330" s="66"/>
      <c r="N330" s="66"/>
      <c r="R330" s="72"/>
    </row>
    <row r="331" spans="1:20" ht="18.75" customHeight="1" x14ac:dyDescent="0.2">
      <c r="A331" s="79"/>
      <c r="B331" s="79"/>
      <c r="C331" s="80"/>
      <c r="D331" s="66"/>
      <c r="E331" s="97" t="s">
        <v>21</v>
      </c>
      <c r="F331" s="97" t="s">
        <v>772</v>
      </c>
      <c r="G331" s="97" t="s">
        <v>368</v>
      </c>
      <c r="H331" s="82" t="s">
        <v>349</v>
      </c>
      <c r="I331" s="98">
        <v>23.57</v>
      </c>
      <c r="J331" s="84"/>
      <c r="K331" s="91"/>
      <c r="L331" s="66"/>
      <c r="M331" s="66"/>
      <c r="N331" s="66"/>
      <c r="R331" s="72"/>
    </row>
    <row r="332" spans="1:20" ht="18.75" customHeight="1" x14ac:dyDescent="0.2">
      <c r="A332" s="79"/>
      <c r="B332" s="79"/>
      <c r="C332" s="80"/>
      <c r="D332" s="66"/>
      <c r="E332" s="97"/>
      <c r="F332" s="97"/>
      <c r="G332" s="97" t="s">
        <v>353</v>
      </c>
      <c r="H332" s="82"/>
      <c r="I332" s="98"/>
      <c r="J332" s="84"/>
      <c r="K332" s="91"/>
      <c r="L332" s="66"/>
      <c r="M332" s="66"/>
      <c r="N332" s="66"/>
      <c r="R332" s="72"/>
    </row>
    <row r="333" spans="1:20" s="101" customFormat="1" ht="18.75" customHeight="1" x14ac:dyDescent="0.2">
      <c r="A333" s="70">
        <v>36324</v>
      </c>
      <c r="B333" s="70">
        <v>36338</v>
      </c>
      <c r="C333" s="71">
        <v>14104</v>
      </c>
      <c r="D333" s="72" t="s">
        <v>773</v>
      </c>
      <c r="E333" s="92" t="s">
        <v>55</v>
      </c>
      <c r="F333" s="92" t="s">
        <v>774</v>
      </c>
      <c r="G333" s="92" t="s">
        <v>695</v>
      </c>
      <c r="H333" s="74" t="s">
        <v>349</v>
      </c>
      <c r="I333" s="93">
        <v>36.75</v>
      </c>
      <c r="J333" s="99">
        <v>54.93</v>
      </c>
      <c r="K333" s="76">
        <v>72.400000000000006</v>
      </c>
      <c r="L333" s="76">
        <v>61.4</v>
      </c>
      <c r="M333" s="70">
        <v>36342</v>
      </c>
      <c r="N333" s="89">
        <v>39263</v>
      </c>
      <c r="R333" s="72"/>
      <c r="S333" s="72"/>
    </row>
    <row r="334" spans="1:20" ht="18.75" customHeight="1" x14ac:dyDescent="0.2">
      <c r="A334" s="79"/>
      <c r="B334" s="79"/>
      <c r="C334" s="80"/>
      <c r="D334" s="66"/>
      <c r="E334" s="97" t="s">
        <v>21</v>
      </c>
      <c r="F334" s="97" t="s">
        <v>775</v>
      </c>
      <c r="G334" s="97" t="s">
        <v>776</v>
      </c>
      <c r="H334" s="82" t="s">
        <v>349</v>
      </c>
      <c r="I334" s="98">
        <v>38.409999999999997</v>
      </c>
      <c r="J334" s="100">
        <v>45.07</v>
      </c>
      <c r="K334" s="91"/>
      <c r="L334" s="66"/>
      <c r="M334" s="66"/>
      <c r="N334" s="66"/>
      <c r="R334" s="72"/>
    </row>
    <row r="335" spans="1:20" ht="18.75" customHeight="1" x14ac:dyDescent="0.2">
      <c r="A335" s="79"/>
      <c r="B335" s="79"/>
      <c r="C335" s="80"/>
      <c r="D335" s="66"/>
      <c r="E335" s="97" t="s">
        <v>19</v>
      </c>
      <c r="F335" s="97" t="s">
        <v>777</v>
      </c>
      <c r="G335" s="97" t="s">
        <v>778</v>
      </c>
      <c r="H335" s="82" t="s">
        <v>349</v>
      </c>
      <c r="I335" s="98">
        <v>24.84</v>
      </c>
      <c r="J335" s="84"/>
      <c r="K335" s="91"/>
      <c r="L335" s="66"/>
      <c r="M335" s="66"/>
      <c r="N335" s="66"/>
      <c r="R335" s="72"/>
    </row>
    <row r="336" spans="1:20" ht="18.75" customHeight="1" x14ac:dyDescent="0.2">
      <c r="A336" s="79"/>
      <c r="B336" s="79"/>
      <c r="C336" s="80"/>
      <c r="D336" s="66"/>
      <c r="E336" s="86"/>
      <c r="F336" s="66"/>
      <c r="G336" s="66" t="s">
        <v>353</v>
      </c>
      <c r="H336" s="82"/>
      <c r="I336" s="87"/>
      <c r="J336" s="84"/>
      <c r="K336" s="91"/>
      <c r="L336" s="66"/>
      <c r="M336" s="66"/>
      <c r="N336" s="66"/>
      <c r="R336" s="72"/>
    </row>
    <row r="337" spans="1:19" s="101" customFormat="1" ht="18.75" customHeight="1" x14ac:dyDescent="0.2">
      <c r="A337" s="70">
        <v>36324</v>
      </c>
      <c r="B337" s="70">
        <v>36338</v>
      </c>
      <c r="C337" s="71">
        <v>33303</v>
      </c>
      <c r="D337" s="72" t="s">
        <v>779</v>
      </c>
      <c r="E337" s="92" t="s">
        <v>780</v>
      </c>
      <c r="F337" s="92" t="s">
        <v>781</v>
      </c>
      <c r="G337" s="92" t="s">
        <v>782</v>
      </c>
      <c r="H337" s="74" t="s">
        <v>349</v>
      </c>
      <c r="I337" s="93">
        <v>57.01</v>
      </c>
      <c r="J337" s="76"/>
      <c r="K337" s="76">
        <v>73.7</v>
      </c>
      <c r="L337" s="76"/>
      <c r="M337" s="70">
        <v>36434</v>
      </c>
      <c r="N337" s="89">
        <v>39355</v>
      </c>
      <c r="R337" s="72"/>
      <c r="S337" s="72"/>
    </row>
    <row r="338" spans="1:19" ht="18.75" customHeight="1" x14ac:dyDescent="0.2">
      <c r="A338" s="79"/>
      <c r="B338" s="79"/>
      <c r="C338" s="80"/>
      <c r="D338" s="66"/>
      <c r="E338" s="97" t="s">
        <v>21</v>
      </c>
      <c r="F338" s="97" t="s">
        <v>783</v>
      </c>
      <c r="G338" s="97" t="s">
        <v>512</v>
      </c>
      <c r="H338" s="82" t="s">
        <v>349</v>
      </c>
      <c r="I338" s="98">
        <v>42.99</v>
      </c>
      <c r="J338" s="84"/>
      <c r="K338" s="91"/>
      <c r="L338" s="66"/>
      <c r="M338" s="66"/>
      <c r="N338" s="66"/>
      <c r="R338" s="72"/>
    </row>
    <row r="339" spans="1:19" ht="18.75" customHeight="1" x14ac:dyDescent="0.2">
      <c r="A339" s="79"/>
      <c r="B339" s="79"/>
      <c r="C339" s="80"/>
      <c r="D339" s="66"/>
      <c r="E339" s="86"/>
      <c r="F339" s="66"/>
      <c r="G339" s="66" t="s">
        <v>353</v>
      </c>
      <c r="H339" s="82"/>
      <c r="I339" s="87"/>
      <c r="J339" s="84"/>
      <c r="K339" s="91"/>
      <c r="L339" s="66"/>
      <c r="M339" s="66"/>
      <c r="N339" s="66"/>
      <c r="R339" s="72"/>
    </row>
    <row r="340" spans="1:19" s="101" customFormat="1" ht="18.75" customHeight="1" x14ac:dyDescent="0.2">
      <c r="A340" s="70">
        <v>36324</v>
      </c>
      <c r="B340" s="70">
        <v>36338</v>
      </c>
      <c r="C340" s="71">
        <v>33501</v>
      </c>
      <c r="D340" s="72" t="s">
        <v>784</v>
      </c>
      <c r="E340" s="92" t="s">
        <v>21</v>
      </c>
      <c r="F340" s="92" t="s">
        <v>494</v>
      </c>
      <c r="G340" s="92" t="s">
        <v>368</v>
      </c>
      <c r="H340" s="74" t="s">
        <v>349</v>
      </c>
      <c r="I340" s="93">
        <v>54.48</v>
      </c>
      <c r="J340" s="76"/>
      <c r="K340" s="76">
        <v>67.7</v>
      </c>
      <c r="L340" s="76"/>
      <c r="M340" s="70">
        <v>36544</v>
      </c>
      <c r="N340" s="89">
        <v>39465</v>
      </c>
      <c r="R340" s="72"/>
      <c r="S340" s="72"/>
    </row>
    <row r="341" spans="1:19" ht="18.75" customHeight="1" x14ac:dyDescent="0.2">
      <c r="A341" s="79"/>
      <c r="B341" s="79"/>
      <c r="C341" s="80"/>
      <c r="D341" s="66"/>
      <c r="E341" s="97" t="s">
        <v>19</v>
      </c>
      <c r="F341" s="97" t="s">
        <v>785</v>
      </c>
      <c r="G341" s="97" t="s">
        <v>786</v>
      </c>
      <c r="H341" s="82" t="s">
        <v>349</v>
      </c>
      <c r="I341" s="98">
        <v>45.52</v>
      </c>
      <c r="J341" s="84"/>
      <c r="K341" s="91"/>
      <c r="L341" s="66"/>
      <c r="M341" s="66"/>
      <c r="N341" s="66"/>
      <c r="R341" s="72"/>
    </row>
    <row r="342" spans="1:19" ht="18.75" customHeight="1" x14ac:dyDescent="0.2">
      <c r="A342" s="79"/>
      <c r="B342" s="79"/>
      <c r="C342" s="80"/>
      <c r="D342" s="66"/>
      <c r="E342" s="86"/>
      <c r="F342" s="66"/>
      <c r="G342" s="66" t="s">
        <v>353</v>
      </c>
      <c r="H342" s="82"/>
      <c r="I342" s="87"/>
      <c r="J342" s="84"/>
      <c r="K342" s="91"/>
      <c r="L342" s="66"/>
      <c r="M342" s="66"/>
      <c r="N342" s="66"/>
      <c r="R342" s="72"/>
    </row>
    <row r="343" spans="1:19" s="101" customFormat="1" ht="18.75" customHeight="1" x14ac:dyDescent="0.2">
      <c r="A343" s="70">
        <v>36324</v>
      </c>
      <c r="B343" s="70">
        <v>36338</v>
      </c>
      <c r="C343" s="71">
        <v>33504</v>
      </c>
      <c r="D343" s="72" t="s">
        <v>787</v>
      </c>
      <c r="E343" s="92" t="s">
        <v>55</v>
      </c>
      <c r="F343" s="92" t="s">
        <v>788</v>
      </c>
      <c r="G343" s="92" t="s">
        <v>789</v>
      </c>
      <c r="H343" s="74" t="s">
        <v>349</v>
      </c>
      <c r="I343" s="93">
        <v>32.67</v>
      </c>
      <c r="J343" s="99">
        <v>51.14</v>
      </c>
      <c r="K343" s="76">
        <v>76.2</v>
      </c>
      <c r="L343" s="76">
        <v>65.400000000000006</v>
      </c>
      <c r="M343" s="70">
        <v>36547</v>
      </c>
      <c r="N343" s="89">
        <v>39468</v>
      </c>
      <c r="R343" s="72"/>
      <c r="S343" s="72"/>
    </row>
    <row r="344" spans="1:19" ht="18.75" customHeight="1" x14ac:dyDescent="0.2">
      <c r="A344" s="79"/>
      <c r="B344" s="79"/>
      <c r="C344" s="80"/>
      <c r="D344" s="66"/>
      <c r="E344" s="97" t="s">
        <v>21</v>
      </c>
      <c r="F344" s="97" t="s">
        <v>790</v>
      </c>
      <c r="G344" s="97" t="s">
        <v>389</v>
      </c>
      <c r="H344" s="82" t="s">
        <v>349</v>
      </c>
      <c r="I344" s="98">
        <v>40.78</v>
      </c>
      <c r="J344" s="100">
        <v>48.86</v>
      </c>
      <c r="K344" s="91"/>
      <c r="L344" s="66"/>
      <c r="M344" s="66"/>
      <c r="N344" s="66"/>
      <c r="R344" s="72"/>
    </row>
    <row r="345" spans="1:19" ht="18.75" customHeight="1" x14ac:dyDescent="0.2">
      <c r="A345" s="79"/>
      <c r="B345" s="79"/>
      <c r="C345" s="80"/>
      <c r="D345" s="66"/>
      <c r="E345" s="97" t="s">
        <v>19</v>
      </c>
      <c r="F345" s="97" t="s">
        <v>791</v>
      </c>
      <c r="G345" s="97" t="s">
        <v>792</v>
      </c>
      <c r="H345" s="82" t="s">
        <v>349</v>
      </c>
      <c r="I345" s="98">
        <v>26.55</v>
      </c>
      <c r="J345" s="84"/>
      <c r="K345" s="91"/>
      <c r="L345" s="66"/>
      <c r="M345" s="66"/>
      <c r="N345" s="66"/>
      <c r="R345" s="72"/>
    </row>
    <row r="346" spans="1:19" ht="18.75" customHeight="1" x14ac:dyDescent="0.2">
      <c r="A346" s="79"/>
      <c r="B346" s="79"/>
      <c r="C346" s="80"/>
      <c r="D346" s="66"/>
      <c r="E346" s="86"/>
      <c r="F346" s="66"/>
      <c r="G346" s="66" t="s">
        <v>353</v>
      </c>
      <c r="H346" s="82"/>
      <c r="I346" s="87"/>
      <c r="J346" s="84"/>
      <c r="K346" s="91"/>
      <c r="L346" s="66"/>
      <c r="M346" s="66"/>
      <c r="N346" s="66"/>
      <c r="R346" s="72"/>
    </row>
    <row r="347" spans="1:19" s="101" customFormat="1" ht="18.75" customHeight="1" x14ac:dyDescent="0.2">
      <c r="A347" s="70">
        <v>36324</v>
      </c>
      <c r="B347" s="70">
        <v>36338</v>
      </c>
      <c r="C347" s="71">
        <v>33508</v>
      </c>
      <c r="D347" s="72" t="s">
        <v>395</v>
      </c>
      <c r="E347" s="92" t="s">
        <v>19</v>
      </c>
      <c r="F347" s="92" t="s">
        <v>793</v>
      </c>
      <c r="G347" s="92" t="s">
        <v>358</v>
      </c>
      <c r="H347" s="74" t="s">
        <v>349</v>
      </c>
      <c r="I347" s="93">
        <v>73.55</v>
      </c>
      <c r="J347" s="76"/>
      <c r="K347" s="76">
        <v>69.64</v>
      </c>
      <c r="L347" s="76"/>
      <c r="M347" s="70">
        <v>36434</v>
      </c>
      <c r="N347" s="89">
        <v>39355</v>
      </c>
      <c r="O347" s="73" t="s">
        <v>19</v>
      </c>
      <c r="P347" s="73" t="s">
        <v>396</v>
      </c>
      <c r="Q347" s="73" t="s">
        <v>397</v>
      </c>
      <c r="R347" s="72" t="s">
        <v>349</v>
      </c>
      <c r="S347" s="72"/>
    </row>
    <row r="348" spans="1:19" ht="18.75" customHeight="1" x14ac:dyDescent="0.2">
      <c r="A348" s="79"/>
      <c r="B348" s="79"/>
      <c r="C348" s="80"/>
      <c r="D348" s="66"/>
      <c r="E348" s="97" t="s">
        <v>21</v>
      </c>
      <c r="F348" s="97" t="s">
        <v>794</v>
      </c>
      <c r="G348" s="97" t="s">
        <v>416</v>
      </c>
      <c r="H348" s="82" t="s">
        <v>349</v>
      </c>
      <c r="I348" s="98">
        <v>26.45</v>
      </c>
      <c r="J348" s="84"/>
      <c r="K348" s="91"/>
      <c r="L348" s="66"/>
      <c r="M348" s="66"/>
      <c r="N348" s="66"/>
      <c r="R348" s="72"/>
    </row>
    <row r="349" spans="1:19" ht="18.75" customHeight="1" x14ac:dyDescent="0.2">
      <c r="A349" s="79"/>
      <c r="B349" s="79"/>
      <c r="C349" s="80"/>
      <c r="D349" s="66"/>
      <c r="E349" s="86"/>
      <c r="F349" s="66"/>
      <c r="G349" s="66" t="s">
        <v>353</v>
      </c>
      <c r="H349" s="82"/>
      <c r="I349" s="87"/>
      <c r="J349" s="84"/>
      <c r="K349" s="91"/>
      <c r="L349" s="66"/>
      <c r="M349" s="66"/>
      <c r="N349" s="66"/>
      <c r="R349" s="72"/>
    </row>
    <row r="350" spans="1:19" s="101" customFormat="1" ht="18.75" customHeight="1" x14ac:dyDescent="0.2">
      <c r="A350" s="70">
        <v>36324</v>
      </c>
      <c r="B350" s="70">
        <v>36338</v>
      </c>
      <c r="C350" s="71">
        <v>33602</v>
      </c>
      <c r="D350" s="72" t="s">
        <v>795</v>
      </c>
      <c r="E350" s="92" t="s">
        <v>21</v>
      </c>
      <c r="F350" s="92" t="s">
        <v>716</v>
      </c>
      <c r="G350" s="92" t="s">
        <v>358</v>
      </c>
      <c r="H350" s="74" t="s">
        <v>349</v>
      </c>
      <c r="I350" s="93">
        <v>78.23</v>
      </c>
      <c r="J350" s="76"/>
      <c r="K350" s="76">
        <v>70.5</v>
      </c>
      <c r="L350" s="76"/>
      <c r="M350" s="70">
        <v>36543</v>
      </c>
      <c r="N350" s="89">
        <v>39464</v>
      </c>
      <c r="R350" s="72"/>
      <c r="S350" s="72"/>
    </row>
    <row r="351" spans="1:19" ht="18.75" customHeight="1" x14ac:dyDescent="0.2">
      <c r="A351" s="79"/>
      <c r="B351" s="79"/>
      <c r="C351" s="80"/>
      <c r="D351" s="66"/>
      <c r="E351" s="97" t="s">
        <v>19</v>
      </c>
      <c r="F351" s="97" t="s">
        <v>796</v>
      </c>
      <c r="G351" s="97" t="s">
        <v>797</v>
      </c>
      <c r="H351" s="82" t="s">
        <v>349</v>
      </c>
      <c r="I351" s="98">
        <v>19.13</v>
      </c>
      <c r="J351" s="84"/>
      <c r="K351" s="91"/>
      <c r="L351" s="66"/>
      <c r="M351" s="66"/>
      <c r="N351" s="66"/>
      <c r="R351" s="72"/>
    </row>
    <row r="352" spans="1:19" ht="18.75" customHeight="1" x14ac:dyDescent="0.2">
      <c r="A352" s="79"/>
      <c r="B352" s="79"/>
      <c r="C352" s="80"/>
      <c r="D352" s="66"/>
      <c r="E352" s="97" t="s">
        <v>798</v>
      </c>
      <c r="F352" s="97" t="s">
        <v>799</v>
      </c>
      <c r="G352" s="97" t="s">
        <v>355</v>
      </c>
      <c r="H352" s="82" t="s">
        <v>349</v>
      </c>
      <c r="I352" s="98">
        <v>2.63</v>
      </c>
      <c r="J352" s="84"/>
      <c r="K352" s="91"/>
      <c r="L352" s="66"/>
      <c r="M352" s="66"/>
      <c r="N352" s="66"/>
      <c r="R352" s="72"/>
    </row>
    <row r="353" spans="1:20" ht="18.75" customHeight="1" x14ac:dyDescent="0.2">
      <c r="A353" s="79"/>
      <c r="B353" s="79"/>
      <c r="C353" s="80"/>
      <c r="D353" s="66"/>
      <c r="E353" s="86"/>
      <c r="F353" s="66"/>
      <c r="G353" s="66" t="s">
        <v>353</v>
      </c>
      <c r="H353" s="82"/>
      <c r="I353" s="87"/>
      <c r="J353" s="84"/>
      <c r="K353" s="91"/>
      <c r="L353" s="66"/>
      <c r="M353" s="66"/>
      <c r="N353" s="66"/>
      <c r="R353" s="72"/>
    </row>
    <row r="354" spans="1:20" s="101" customFormat="1" ht="18.75" customHeight="1" x14ac:dyDescent="0.2">
      <c r="A354" s="70">
        <v>36324</v>
      </c>
      <c r="B354" s="70">
        <v>36338</v>
      </c>
      <c r="C354" s="71">
        <v>33702</v>
      </c>
      <c r="D354" s="72" t="s">
        <v>800</v>
      </c>
      <c r="E354" s="92" t="s">
        <v>21</v>
      </c>
      <c r="F354" s="92" t="s">
        <v>801</v>
      </c>
      <c r="G354" s="92" t="s">
        <v>754</v>
      </c>
      <c r="H354" s="74" t="s">
        <v>349</v>
      </c>
      <c r="I354" s="93">
        <v>38.94</v>
      </c>
      <c r="J354" s="99">
        <v>51.49</v>
      </c>
      <c r="K354" s="76">
        <v>71</v>
      </c>
      <c r="L354" s="76">
        <v>56.2</v>
      </c>
      <c r="M354" s="70">
        <v>36495</v>
      </c>
      <c r="N354" s="89">
        <v>39416</v>
      </c>
      <c r="R354" s="72"/>
      <c r="S354" s="72"/>
    </row>
    <row r="355" spans="1:20" ht="18.75" customHeight="1" x14ac:dyDescent="0.2">
      <c r="A355" s="79"/>
      <c r="B355" s="79"/>
      <c r="C355" s="80"/>
      <c r="D355" s="66"/>
      <c r="E355" s="97" t="s">
        <v>19</v>
      </c>
      <c r="F355" s="97" t="s">
        <v>802</v>
      </c>
      <c r="G355" s="97" t="s">
        <v>481</v>
      </c>
      <c r="H355" s="82" t="s">
        <v>349</v>
      </c>
      <c r="I355" s="98">
        <v>38.479999999999997</v>
      </c>
      <c r="J355" s="100">
        <v>48.51</v>
      </c>
      <c r="K355" s="91"/>
      <c r="L355" s="66"/>
      <c r="M355" s="66"/>
      <c r="N355" s="66"/>
      <c r="R355" s="72"/>
    </row>
    <row r="356" spans="1:20" ht="18.75" customHeight="1" x14ac:dyDescent="0.2">
      <c r="A356" s="79"/>
      <c r="B356" s="79"/>
      <c r="C356" s="80"/>
      <c r="D356" s="66"/>
      <c r="E356" s="97" t="s">
        <v>55</v>
      </c>
      <c r="F356" s="97" t="s">
        <v>803</v>
      </c>
      <c r="G356" s="97" t="s">
        <v>683</v>
      </c>
      <c r="H356" s="82" t="s">
        <v>349</v>
      </c>
      <c r="I356" s="98">
        <v>22.58</v>
      </c>
      <c r="J356" s="84"/>
      <c r="K356" s="91"/>
      <c r="L356" s="66"/>
      <c r="M356" s="66"/>
      <c r="N356" s="66"/>
      <c r="R356" s="72"/>
    </row>
    <row r="357" spans="1:20" ht="18.75" customHeight="1" x14ac:dyDescent="0.2">
      <c r="A357" s="79"/>
      <c r="B357" s="79"/>
      <c r="C357" s="80"/>
      <c r="D357" s="66"/>
      <c r="E357" s="86"/>
      <c r="F357" s="66"/>
      <c r="G357" s="66" t="s">
        <v>353</v>
      </c>
      <c r="H357" s="82"/>
      <c r="I357" s="87"/>
      <c r="J357" s="84"/>
      <c r="K357" s="91"/>
      <c r="L357" s="66"/>
      <c r="M357" s="66"/>
      <c r="N357" s="66"/>
      <c r="R357" s="72"/>
    </row>
    <row r="358" spans="1:20" s="72" customFormat="1" ht="18.75" customHeight="1" x14ac:dyDescent="0.2">
      <c r="A358" s="70">
        <v>36324</v>
      </c>
      <c r="B358" s="70">
        <v>36338</v>
      </c>
      <c r="C358" s="71">
        <v>34006</v>
      </c>
      <c r="D358" s="72" t="s">
        <v>804</v>
      </c>
      <c r="E358" s="92" t="s">
        <v>19</v>
      </c>
      <c r="F358" s="92" t="s">
        <v>533</v>
      </c>
      <c r="G358" s="92" t="s">
        <v>442</v>
      </c>
      <c r="H358" s="74" t="s">
        <v>349</v>
      </c>
      <c r="I358" s="93">
        <v>73.83</v>
      </c>
      <c r="J358" s="76"/>
      <c r="K358" s="77">
        <v>72.599999999999994</v>
      </c>
      <c r="L358" s="77"/>
      <c r="M358" s="70">
        <v>36526</v>
      </c>
      <c r="N358" s="68">
        <v>39082</v>
      </c>
      <c r="O358" s="101"/>
      <c r="P358" s="101"/>
      <c r="Q358" s="101"/>
    </row>
    <row r="359" spans="1:20" s="66" customFormat="1" ht="18.75" customHeight="1" x14ac:dyDescent="0.2">
      <c r="A359" s="79"/>
      <c r="B359" s="79"/>
      <c r="C359" s="80"/>
      <c r="E359" s="97" t="s">
        <v>805</v>
      </c>
      <c r="F359" s="97" t="s">
        <v>805</v>
      </c>
      <c r="G359" s="97" t="s">
        <v>353</v>
      </c>
      <c r="H359" s="82"/>
      <c r="I359" s="98">
        <v>26.17</v>
      </c>
      <c r="J359" s="84"/>
      <c r="K359" s="91"/>
      <c r="O359" s="69"/>
      <c r="P359" s="69"/>
      <c r="Q359" s="69"/>
      <c r="R359" s="72"/>
      <c r="T359" s="72"/>
    </row>
    <row r="360" spans="1:20" s="66" customFormat="1" ht="18.75" customHeight="1" x14ac:dyDescent="0.2">
      <c r="A360" s="79"/>
      <c r="B360" s="79"/>
      <c r="C360" s="80"/>
      <c r="E360" s="86"/>
      <c r="G360" s="66" t="s">
        <v>353</v>
      </c>
      <c r="H360" s="82"/>
      <c r="I360" s="87"/>
      <c r="J360" s="84"/>
      <c r="K360" s="91"/>
      <c r="O360" s="69"/>
      <c r="P360" s="69"/>
      <c r="Q360" s="69"/>
      <c r="R360" s="72"/>
    </row>
    <row r="361" spans="1:20" s="72" customFormat="1" ht="18.75" customHeight="1" x14ac:dyDescent="0.2">
      <c r="A361" s="70">
        <v>36478</v>
      </c>
      <c r="B361" s="70">
        <v>36492</v>
      </c>
      <c r="C361" s="71">
        <v>33606</v>
      </c>
      <c r="D361" s="72" t="s">
        <v>806</v>
      </c>
      <c r="E361" s="92" t="s">
        <v>21</v>
      </c>
      <c r="F361" s="92" t="s">
        <v>716</v>
      </c>
      <c r="G361" s="92" t="s">
        <v>615</v>
      </c>
      <c r="H361" s="74" t="s">
        <v>349</v>
      </c>
      <c r="I361" s="93">
        <v>62</v>
      </c>
      <c r="J361" s="76"/>
      <c r="K361" s="77">
        <v>43.2</v>
      </c>
      <c r="L361" s="77"/>
      <c r="M361" s="70">
        <v>36739</v>
      </c>
      <c r="N361" s="89">
        <v>39660</v>
      </c>
    </row>
    <row r="362" spans="1:20" s="66" customFormat="1" ht="18.75" customHeight="1" x14ac:dyDescent="0.2">
      <c r="A362" s="79"/>
      <c r="B362" s="79"/>
      <c r="C362" s="80"/>
      <c r="E362" s="97" t="s">
        <v>807</v>
      </c>
      <c r="F362" s="97" t="s">
        <v>807</v>
      </c>
      <c r="G362" s="97" t="s">
        <v>348</v>
      </c>
      <c r="H362" s="82" t="s">
        <v>349</v>
      </c>
      <c r="I362" s="98">
        <v>22.6</v>
      </c>
      <c r="J362" s="84"/>
      <c r="K362" s="91"/>
      <c r="R362" s="72"/>
      <c r="T362" s="72"/>
    </row>
    <row r="363" spans="1:20" s="66" customFormat="1" ht="18.75" customHeight="1" x14ac:dyDescent="0.2">
      <c r="A363" s="79"/>
      <c r="B363" s="79"/>
      <c r="C363" s="80"/>
      <c r="E363" s="97" t="s">
        <v>744</v>
      </c>
      <c r="F363" s="97" t="s">
        <v>744</v>
      </c>
      <c r="G363" s="97" t="s">
        <v>392</v>
      </c>
      <c r="H363" s="82" t="s">
        <v>349</v>
      </c>
      <c r="I363" s="98">
        <v>15.39</v>
      </c>
      <c r="J363" s="84"/>
      <c r="K363" s="91"/>
      <c r="R363" s="72"/>
      <c r="T363" s="72"/>
    </row>
    <row r="364" spans="1:20" s="66" customFormat="1" ht="18.75" customHeight="1" x14ac:dyDescent="0.2">
      <c r="A364" s="79"/>
      <c r="B364" s="79"/>
      <c r="C364" s="80"/>
      <c r="E364" s="86"/>
      <c r="G364" s="66" t="s">
        <v>353</v>
      </c>
      <c r="H364" s="82"/>
      <c r="I364" s="87"/>
      <c r="J364" s="84"/>
      <c r="K364" s="91"/>
      <c r="R364" s="72"/>
    </row>
    <row r="365" spans="1:20" s="101" customFormat="1" ht="18.75" customHeight="1" x14ac:dyDescent="0.2">
      <c r="A365" s="70">
        <v>36506</v>
      </c>
      <c r="B365" s="70">
        <v>36527</v>
      </c>
      <c r="C365" s="71">
        <v>14309</v>
      </c>
      <c r="D365" s="72" t="s">
        <v>808</v>
      </c>
      <c r="E365" s="92" t="s">
        <v>19</v>
      </c>
      <c r="F365" s="92" t="s">
        <v>809</v>
      </c>
      <c r="G365" s="92" t="s">
        <v>512</v>
      </c>
      <c r="H365" s="74" t="s">
        <v>349</v>
      </c>
      <c r="I365" s="93">
        <v>58.07</v>
      </c>
      <c r="J365" s="76"/>
      <c r="K365" s="77">
        <v>38.6</v>
      </c>
      <c r="L365" s="77"/>
      <c r="M365" s="70">
        <v>36708</v>
      </c>
      <c r="N365" s="68">
        <v>38533</v>
      </c>
      <c r="O365" s="72"/>
      <c r="P365" s="72"/>
      <c r="Q365" s="72"/>
      <c r="R365" s="72"/>
      <c r="S365" s="72"/>
    </row>
    <row r="366" spans="1:20" ht="18.75" customHeight="1" x14ac:dyDescent="0.2">
      <c r="A366" s="79"/>
      <c r="B366" s="79"/>
      <c r="C366" s="80"/>
      <c r="D366" s="66"/>
      <c r="E366" s="97" t="s">
        <v>21</v>
      </c>
      <c r="F366" s="97" t="s">
        <v>371</v>
      </c>
      <c r="G366" s="97" t="s">
        <v>591</v>
      </c>
      <c r="H366" s="82" t="s">
        <v>349</v>
      </c>
      <c r="I366" s="98">
        <v>41.93</v>
      </c>
      <c r="J366" s="84"/>
      <c r="K366" s="91"/>
      <c r="L366" s="66"/>
      <c r="M366" s="66"/>
      <c r="N366" s="66"/>
      <c r="O366" s="66"/>
      <c r="P366" s="66"/>
      <c r="Q366" s="66"/>
      <c r="R366" s="72"/>
    </row>
    <row r="367" spans="1:20" ht="18.75" customHeight="1" x14ac:dyDescent="0.2">
      <c r="A367" s="79"/>
      <c r="B367" s="79"/>
      <c r="C367" s="80"/>
      <c r="D367" s="66"/>
      <c r="E367" s="86"/>
      <c r="F367" s="66"/>
      <c r="G367" s="66" t="s">
        <v>353</v>
      </c>
      <c r="H367" s="82"/>
      <c r="I367" s="87"/>
      <c r="J367" s="84"/>
      <c r="K367" s="91"/>
      <c r="L367" s="66"/>
      <c r="M367" s="66"/>
      <c r="N367" s="66"/>
      <c r="O367" s="66"/>
      <c r="P367" s="66"/>
      <c r="Q367" s="66"/>
      <c r="R367" s="72"/>
    </row>
    <row r="368" spans="1:20" s="101" customFormat="1" ht="18.75" customHeight="1" x14ac:dyDescent="0.2">
      <c r="A368" s="70">
        <v>36541</v>
      </c>
      <c r="B368" s="70">
        <v>36555</v>
      </c>
      <c r="C368" s="71">
        <v>14302</v>
      </c>
      <c r="D368" s="72" t="s">
        <v>810</v>
      </c>
      <c r="E368" s="92" t="s">
        <v>367</v>
      </c>
      <c r="F368" s="92" t="s">
        <v>367</v>
      </c>
      <c r="G368" s="92" t="s">
        <v>389</v>
      </c>
      <c r="H368" s="74" t="s">
        <v>349</v>
      </c>
      <c r="I368" s="93">
        <v>95.81</v>
      </c>
      <c r="J368" s="76"/>
      <c r="K368" s="77">
        <v>32.799999999999997</v>
      </c>
      <c r="L368" s="77"/>
      <c r="M368" s="70">
        <v>36770</v>
      </c>
      <c r="N368" s="89">
        <v>39691</v>
      </c>
      <c r="R368" s="72"/>
      <c r="S368" s="72"/>
      <c r="T368" s="72"/>
    </row>
    <row r="369" spans="1:20" ht="18.75" customHeight="1" x14ac:dyDescent="0.2">
      <c r="A369" s="79"/>
      <c r="B369" s="79"/>
      <c r="C369" s="80"/>
      <c r="D369" s="66"/>
      <c r="E369" s="86"/>
      <c r="F369" s="66"/>
      <c r="G369" s="66" t="s">
        <v>353</v>
      </c>
      <c r="H369" s="82"/>
      <c r="I369" s="87"/>
      <c r="J369" s="84"/>
      <c r="K369" s="91"/>
      <c r="L369" s="66"/>
      <c r="M369" s="66"/>
      <c r="N369" s="66"/>
      <c r="R369" s="72"/>
    </row>
    <row r="370" spans="1:20" s="101" customFormat="1" ht="18.75" customHeight="1" x14ac:dyDescent="0.2">
      <c r="A370" s="70">
        <v>36541</v>
      </c>
      <c r="B370" s="70">
        <v>36555</v>
      </c>
      <c r="C370" s="71">
        <v>34003</v>
      </c>
      <c r="D370" s="72" t="s">
        <v>438</v>
      </c>
      <c r="E370" s="92" t="s">
        <v>55</v>
      </c>
      <c r="F370" s="92" t="s">
        <v>463</v>
      </c>
      <c r="G370" s="92" t="s">
        <v>738</v>
      </c>
      <c r="H370" s="74" t="s">
        <v>349</v>
      </c>
      <c r="I370" s="93">
        <v>35.409999999999997</v>
      </c>
      <c r="J370" s="99">
        <v>61.25</v>
      </c>
      <c r="K370" s="77">
        <v>50.4</v>
      </c>
      <c r="L370" s="77">
        <v>42.1</v>
      </c>
      <c r="M370" s="70">
        <v>36598</v>
      </c>
      <c r="N370" s="89">
        <v>39519</v>
      </c>
      <c r="O370" s="73" t="s">
        <v>19</v>
      </c>
      <c r="P370" s="73" t="s">
        <v>439</v>
      </c>
      <c r="Q370" s="73" t="s">
        <v>440</v>
      </c>
      <c r="R370" s="72" t="s">
        <v>349</v>
      </c>
      <c r="S370" s="72"/>
    </row>
    <row r="371" spans="1:20" ht="18.75" customHeight="1" x14ac:dyDescent="0.2">
      <c r="A371" s="79"/>
      <c r="B371" s="79"/>
      <c r="C371" s="80"/>
      <c r="D371" s="66"/>
      <c r="E371" s="97" t="s">
        <v>19</v>
      </c>
      <c r="F371" s="97" t="s">
        <v>811</v>
      </c>
      <c r="G371" s="97" t="s">
        <v>477</v>
      </c>
      <c r="H371" s="82" t="s">
        <v>349</v>
      </c>
      <c r="I371" s="98">
        <v>32.5</v>
      </c>
      <c r="J371" s="100">
        <v>38.75</v>
      </c>
      <c r="K371" s="91"/>
      <c r="L371" s="66"/>
      <c r="M371" s="66"/>
      <c r="N371" s="66"/>
      <c r="R371" s="72"/>
    </row>
    <row r="372" spans="1:20" ht="18.75" customHeight="1" x14ac:dyDescent="0.2">
      <c r="A372" s="79"/>
      <c r="B372" s="79"/>
      <c r="C372" s="80"/>
      <c r="D372" s="66"/>
      <c r="E372" s="97" t="s">
        <v>812</v>
      </c>
      <c r="F372" s="97" t="s">
        <v>812</v>
      </c>
      <c r="G372" s="97" t="s">
        <v>423</v>
      </c>
      <c r="H372" s="82" t="s">
        <v>349</v>
      </c>
      <c r="I372" s="98">
        <v>32.090000000000003</v>
      </c>
      <c r="J372" s="84"/>
      <c r="K372" s="91"/>
      <c r="L372" s="66"/>
      <c r="M372" s="66"/>
      <c r="N372" s="66"/>
      <c r="R372" s="72"/>
      <c r="T372" s="72"/>
    </row>
    <row r="373" spans="1:20" ht="18.75" customHeight="1" x14ac:dyDescent="0.2">
      <c r="A373" s="79"/>
      <c r="B373" s="79"/>
      <c r="C373" s="80"/>
      <c r="D373" s="66"/>
      <c r="E373" s="86"/>
      <c r="F373" s="66"/>
      <c r="G373" s="66" t="s">
        <v>353</v>
      </c>
      <c r="H373" s="82"/>
      <c r="I373" s="87"/>
      <c r="J373" s="84"/>
      <c r="K373" s="91"/>
      <c r="L373" s="66"/>
      <c r="M373" s="66"/>
      <c r="N373" s="66"/>
      <c r="R373" s="72"/>
    </row>
    <row r="374" spans="1:20" s="101" customFormat="1" ht="18.75" customHeight="1" x14ac:dyDescent="0.2">
      <c r="A374" s="70">
        <v>36555</v>
      </c>
      <c r="B374" s="70">
        <v>36576</v>
      </c>
      <c r="C374" s="71">
        <v>23101</v>
      </c>
      <c r="D374" s="72" t="s">
        <v>813</v>
      </c>
      <c r="E374" s="92" t="s">
        <v>19</v>
      </c>
      <c r="F374" s="92" t="s">
        <v>814</v>
      </c>
      <c r="G374" s="92" t="s">
        <v>815</v>
      </c>
      <c r="H374" s="74" t="s">
        <v>349</v>
      </c>
      <c r="I374" s="93">
        <v>30.48</v>
      </c>
      <c r="J374" s="99">
        <v>51.06</v>
      </c>
      <c r="K374" s="77">
        <v>45.8</v>
      </c>
      <c r="L374" s="77">
        <v>45.1</v>
      </c>
      <c r="M374" s="70">
        <v>36605</v>
      </c>
      <c r="N374" s="89">
        <v>39526</v>
      </c>
      <c r="R374" s="72"/>
      <c r="S374" s="72"/>
    </row>
    <row r="375" spans="1:20" ht="18.75" customHeight="1" x14ac:dyDescent="0.2">
      <c r="A375" s="79"/>
      <c r="B375" s="79"/>
      <c r="C375" s="80"/>
      <c r="D375" s="66"/>
      <c r="E375" s="97" t="s">
        <v>363</v>
      </c>
      <c r="F375" s="97" t="s">
        <v>363</v>
      </c>
      <c r="G375" s="97" t="s">
        <v>364</v>
      </c>
      <c r="H375" s="82" t="s">
        <v>349</v>
      </c>
      <c r="I375" s="98">
        <v>33.020000000000003</v>
      </c>
      <c r="J375" s="100">
        <v>48.94</v>
      </c>
      <c r="K375" s="91"/>
      <c r="L375" s="66"/>
      <c r="M375" s="66"/>
      <c r="N375" s="66"/>
      <c r="R375" s="72"/>
      <c r="T375" s="72"/>
    </row>
    <row r="376" spans="1:20" ht="18.75" customHeight="1" x14ac:dyDescent="0.2">
      <c r="A376" s="79"/>
      <c r="B376" s="79"/>
      <c r="C376" s="80"/>
      <c r="D376" s="66"/>
      <c r="E376" s="97" t="s">
        <v>816</v>
      </c>
      <c r="F376" s="97" t="s">
        <v>816</v>
      </c>
      <c r="G376" s="97" t="s">
        <v>233</v>
      </c>
      <c r="H376" s="82" t="s">
        <v>349</v>
      </c>
      <c r="I376" s="98">
        <v>22.37</v>
      </c>
      <c r="J376" s="84"/>
      <c r="K376" s="91"/>
      <c r="L376" s="66"/>
      <c r="M376" s="66"/>
      <c r="N376" s="66"/>
      <c r="R376" s="72"/>
      <c r="T376" s="72"/>
    </row>
    <row r="377" spans="1:20" ht="18.75" customHeight="1" x14ac:dyDescent="0.2">
      <c r="A377" s="79"/>
      <c r="B377" s="79"/>
      <c r="C377" s="80"/>
      <c r="D377" s="66"/>
      <c r="E377" s="97" t="s">
        <v>83</v>
      </c>
      <c r="F377" s="97" t="s">
        <v>571</v>
      </c>
      <c r="G377" s="97" t="s">
        <v>817</v>
      </c>
      <c r="H377" s="82" t="s">
        <v>419</v>
      </c>
      <c r="I377" s="98">
        <v>14.14</v>
      </c>
      <c r="J377" s="84"/>
      <c r="K377" s="91"/>
      <c r="L377" s="66"/>
      <c r="M377" s="66"/>
      <c r="N377" s="66"/>
      <c r="R377" s="72"/>
    </row>
    <row r="378" spans="1:20" ht="18.75" customHeight="1" x14ac:dyDescent="0.2">
      <c r="A378" s="79"/>
      <c r="B378" s="79"/>
      <c r="C378" s="80"/>
      <c r="D378" s="66"/>
      <c r="E378" s="86"/>
      <c r="F378" s="66"/>
      <c r="G378" s="66" t="s">
        <v>353</v>
      </c>
      <c r="H378" s="82"/>
      <c r="I378" s="87"/>
      <c r="J378" s="84"/>
      <c r="K378" s="91"/>
      <c r="L378" s="66"/>
      <c r="M378" s="66"/>
      <c r="N378" s="66"/>
      <c r="R378" s="72"/>
    </row>
    <row r="379" spans="1:20" s="101" customFormat="1" ht="18.75" customHeight="1" x14ac:dyDescent="0.2">
      <c r="A379" s="70">
        <v>36555</v>
      </c>
      <c r="B379" s="70">
        <v>36569</v>
      </c>
      <c r="C379" s="71">
        <v>33605</v>
      </c>
      <c r="D379" s="72" t="s">
        <v>818</v>
      </c>
      <c r="E379" s="92" t="s">
        <v>761</v>
      </c>
      <c r="F379" s="92" t="s">
        <v>761</v>
      </c>
      <c r="G379" s="92" t="s">
        <v>416</v>
      </c>
      <c r="H379" s="74" t="s">
        <v>349</v>
      </c>
      <c r="I379" s="93">
        <v>37.85</v>
      </c>
      <c r="J379" s="99">
        <v>52.22</v>
      </c>
      <c r="K379" s="77">
        <v>56.6</v>
      </c>
      <c r="L379" s="76">
        <v>53</v>
      </c>
      <c r="M379" s="70">
        <v>36678</v>
      </c>
      <c r="N379" s="89">
        <v>39599</v>
      </c>
      <c r="R379" s="72"/>
      <c r="S379" s="72"/>
      <c r="T379" s="72"/>
    </row>
    <row r="380" spans="1:20" ht="18.75" customHeight="1" x14ac:dyDescent="0.2">
      <c r="A380" s="79"/>
      <c r="B380" s="79"/>
      <c r="C380" s="80"/>
      <c r="D380" s="66"/>
      <c r="E380" s="97" t="s">
        <v>19</v>
      </c>
      <c r="F380" s="97" t="s">
        <v>819</v>
      </c>
      <c r="G380" s="97" t="s">
        <v>374</v>
      </c>
      <c r="H380" s="82" t="s">
        <v>349</v>
      </c>
      <c r="I380" s="98">
        <v>38.049999999999997</v>
      </c>
      <c r="J380" s="100">
        <v>47.78</v>
      </c>
      <c r="K380" s="91"/>
      <c r="L380" s="66"/>
      <c r="M380" s="66"/>
      <c r="N380" s="66"/>
      <c r="R380" s="72"/>
    </row>
    <row r="381" spans="1:20" ht="18.75" customHeight="1" x14ac:dyDescent="0.2">
      <c r="A381" s="79"/>
      <c r="B381" s="79"/>
      <c r="C381" s="80"/>
      <c r="D381" s="66"/>
      <c r="E381" s="97" t="s">
        <v>21</v>
      </c>
      <c r="F381" s="97" t="s">
        <v>820</v>
      </c>
      <c r="G381" s="97" t="s">
        <v>821</v>
      </c>
      <c r="H381" s="82" t="s">
        <v>349</v>
      </c>
      <c r="I381" s="98">
        <v>23.53</v>
      </c>
      <c r="J381" s="84"/>
      <c r="K381" s="91"/>
      <c r="L381" s="66"/>
      <c r="M381" s="66"/>
      <c r="N381" s="66"/>
      <c r="R381" s="72"/>
    </row>
    <row r="382" spans="1:20" ht="18.75" customHeight="1" x14ac:dyDescent="0.2">
      <c r="A382" s="79"/>
      <c r="B382" s="79"/>
      <c r="C382" s="80"/>
      <c r="D382" s="66"/>
      <c r="E382" s="97" t="s">
        <v>822</v>
      </c>
      <c r="F382" s="97" t="s">
        <v>822</v>
      </c>
      <c r="G382" s="97" t="s">
        <v>392</v>
      </c>
      <c r="H382" s="82" t="s">
        <v>349</v>
      </c>
      <c r="I382" s="98">
        <v>0.56999999999999995</v>
      </c>
      <c r="J382" s="84"/>
      <c r="K382" s="91"/>
      <c r="L382" s="66"/>
      <c r="M382" s="66"/>
      <c r="N382" s="66"/>
      <c r="R382" s="72"/>
      <c r="T382" s="72"/>
    </row>
    <row r="383" spans="1:20" ht="18.75" customHeight="1" x14ac:dyDescent="0.2">
      <c r="A383" s="79"/>
      <c r="B383" s="79"/>
      <c r="C383" s="80"/>
      <c r="D383" s="66"/>
      <c r="E383" s="86"/>
      <c r="F383" s="66"/>
      <c r="G383" s="66" t="s">
        <v>353</v>
      </c>
      <c r="H383" s="82"/>
      <c r="I383" s="87"/>
      <c r="J383" s="84"/>
      <c r="K383" s="91"/>
      <c r="L383" s="66"/>
      <c r="M383" s="66"/>
      <c r="N383" s="66"/>
      <c r="R383" s="72"/>
    </row>
    <row r="384" spans="1:20" s="101" customFormat="1" ht="18.75" customHeight="1" x14ac:dyDescent="0.2">
      <c r="A384" s="70">
        <v>36604</v>
      </c>
      <c r="B384" s="70">
        <v>36618</v>
      </c>
      <c r="C384" s="71">
        <v>33204</v>
      </c>
      <c r="D384" s="72" t="s">
        <v>823</v>
      </c>
      <c r="E384" s="92" t="s">
        <v>19</v>
      </c>
      <c r="F384" s="92" t="s">
        <v>824</v>
      </c>
      <c r="G384" s="92" t="s">
        <v>512</v>
      </c>
      <c r="H384" s="74" t="s">
        <v>349</v>
      </c>
      <c r="I384" s="93">
        <v>39.479999999999997</v>
      </c>
      <c r="J384" s="99">
        <v>51.41</v>
      </c>
      <c r="K384" s="77">
        <v>54.9</v>
      </c>
      <c r="L384" s="77">
        <v>50.6</v>
      </c>
      <c r="M384" s="70">
        <v>36753</v>
      </c>
      <c r="N384" s="89">
        <v>39674</v>
      </c>
      <c r="R384" s="72"/>
      <c r="S384" s="72"/>
    </row>
    <row r="385" spans="1:20" ht="18.75" customHeight="1" x14ac:dyDescent="0.2">
      <c r="A385" s="79"/>
      <c r="B385" s="79"/>
      <c r="C385" s="80"/>
      <c r="D385" s="66"/>
      <c r="E385" s="97" t="s">
        <v>21</v>
      </c>
      <c r="F385" s="97" t="s">
        <v>825</v>
      </c>
      <c r="G385" s="97" t="s">
        <v>826</v>
      </c>
      <c r="H385" s="82" t="s">
        <v>349</v>
      </c>
      <c r="I385" s="98">
        <v>35.479999999999997</v>
      </c>
      <c r="J385" s="100">
        <v>48.59</v>
      </c>
      <c r="K385" s="91"/>
      <c r="L385" s="66"/>
      <c r="M385" s="66"/>
      <c r="N385" s="66"/>
      <c r="R385" s="72"/>
    </row>
    <row r="386" spans="1:20" ht="18.75" customHeight="1" x14ac:dyDescent="0.2">
      <c r="A386" s="79"/>
      <c r="B386" s="79"/>
      <c r="C386" s="80"/>
      <c r="D386" s="66"/>
      <c r="E386" s="97" t="s">
        <v>55</v>
      </c>
      <c r="F386" s="97" t="s">
        <v>827</v>
      </c>
      <c r="G386" s="97" t="s">
        <v>374</v>
      </c>
      <c r="H386" s="82" t="s">
        <v>349</v>
      </c>
      <c r="I386" s="98">
        <v>25.04</v>
      </c>
      <c r="J386" s="84"/>
      <c r="K386" s="91"/>
      <c r="L386" s="66"/>
      <c r="M386" s="66"/>
      <c r="N386" s="66"/>
      <c r="R386" s="72"/>
    </row>
    <row r="387" spans="1:20" ht="18.75" customHeight="1" x14ac:dyDescent="0.2">
      <c r="A387" s="79"/>
      <c r="B387" s="79"/>
      <c r="C387" s="80"/>
      <c r="D387" s="66"/>
      <c r="E387" s="86"/>
      <c r="F387" s="66"/>
      <c r="G387" s="66" t="s">
        <v>353</v>
      </c>
      <c r="H387" s="82"/>
      <c r="I387" s="87"/>
      <c r="J387" s="84"/>
      <c r="K387" s="91"/>
      <c r="L387" s="66"/>
      <c r="M387" s="66"/>
      <c r="N387" s="66"/>
      <c r="R387" s="72"/>
    </row>
    <row r="388" spans="1:20" s="101" customFormat="1" ht="18.75" customHeight="1" x14ac:dyDescent="0.2">
      <c r="A388" s="70">
        <v>36618</v>
      </c>
      <c r="B388" s="70">
        <v>36632</v>
      </c>
      <c r="C388" s="71">
        <v>13505</v>
      </c>
      <c r="D388" s="72" t="s">
        <v>828</v>
      </c>
      <c r="E388" s="92" t="s">
        <v>21</v>
      </c>
      <c r="F388" s="92" t="s">
        <v>829</v>
      </c>
      <c r="G388" s="92" t="s">
        <v>416</v>
      </c>
      <c r="H388" s="74" t="s">
        <v>349</v>
      </c>
      <c r="I388" s="93">
        <v>51.01</v>
      </c>
      <c r="J388" s="76"/>
      <c r="K388" s="77">
        <v>56.9</v>
      </c>
      <c r="L388" s="77"/>
      <c r="M388" s="70">
        <v>36648</v>
      </c>
      <c r="N388" s="89">
        <v>39569</v>
      </c>
      <c r="R388" s="72"/>
      <c r="S388" s="72"/>
    </row>
    <row r="389" spans="1:20" ht="18.75" customHeight="1" x14ac:dyDescent="0.2">
      <c r="A389" s="79"/>
      <c r="B389" s="79"/>
      <c r="C389" s="80"/>
      <c r="D389" s="66"/>
      <c r="E389" s="97" t="s">
        <v>19</v>
      </c>
      <c r="F389" s="97" t="s">
        <v>830</v>
      </c>
      <c r="G389" s="97" t="s">
        <v>831</v>
      </c>
      <c r="H389" s="82" t="s">
        <v>349</v>
      </c>
      <c r="I389" s="98">
        <v>47.47</v>
      </c>
      <c r="J389" s="84"/>
      <c r="K389" s="91"/>
      <c r="L389" s="66"/>
      <c r="M389" s="66"/>
      <c r="N389" s="66"/>
      <c r="R389" s="72"/>
    </row>
    <row r="390" spans="1:20" ht="18.75" customHeight="1" x14ac:dyDescent="0.2">
      <c r="A390" s="79"/>
      <c r="B390" s="79"/>
      <c r="C390" s="80"/>
      <c r="D390" s="66"/>
      <c r="E390" s="97" t="s">
        <v>38</v>
      </c>
      <c r="F390" s="97" t="s">
        <v>832</v>
      </c>
      <c r="G390" s="97" t="s">
        <v>833</v>
      </c>
      <c r="H390" s="82" t="s">
        <v>349</v>
      </c>
      <c r="I390" s="98">
        <v>1.51</v>
      </c>
      <c r="J390" s="84"/>
      <c r="K390" s="91"/>
      <c r="L390" s="66"/>
      <c r="M390" s="66"/>
      <c r="N390" s="66"/>
      <c r="R390" s="72"/>
    </row>
    <row r="391" spans="1:20" ht="18.75" customHeight="1" x14ac:dyDescent="0.2">
      <c r="A391" s="79"/>
      <c r="B391" s="79"/>
      <c r="C391" s="80"/>
      <c r="D391" s="66"/>
      <c r="E391" s="86"/>
      <c r="F391" s="66"/>
      <c r="G391" s="66" t="s">
        <v>353</v>
      </c>
      <c r="H391" s="82"/>
      <c r="I391" s="87"/>
      <c r="J391" s="84"/>
      <c r="K391" s="91"/>
      <c r="L391" s="66"/>
      <c r="M391" s="66"/>
      <c r="N391" s="66"/>
      <c r="R391" s="72"/>
    </row>
    <row r="392" spans="1:20" s="101" customFormat="1" ht="18.75" customHeight="1" x14ac:dyDescent="0.2">
      <c r="A392" s="70">
        <v>36618</v>
      </c>
      <c r="B392" s="70">
        <v>36632</v>
      </c>
      <c r="C392" s="71">
        <v>33102</v>
      </c>
      <c r="D392" s="72" t="s">
        <v>834</v>
      </c>
      <c r="E392" s="92" t="s">
        <v>21</v>
      </c>
      <c r="F392" s="92" t="s">
        <v>726</v>
      </c>
      <c r="G392" s="92" t="s">
        <v>423</v>
      </c>
      <c r="H392" s="74" t="s">
        <v>349</v>
      </c>
      <c r="I392" s="93">
        <v>56.93</v>
      </c>
      <c r="J392" s="76"/>
      <c r="K392" s="76">
        <v>54</v>
      </c>
      <c r="L392" s="77"/>
      <c r="M392" s="70">
        <v>36892</v>
      </c>
      <c r="N392" s="89">
        <v>39813</v>
      </c>
      <c r="R392" s="72"/>
      <c r="S392" s="72"/>
    </row>
    <row r="393" spans="1:20" ht="18.75" customHeight="1" x14ac:dyDescent="0.2">
      <c r="A393" s="79"/>
      <c r="B393" s="79"/>
      <c r="C393" s="80"/>
      <c r="D393" s="66"/>
      <c r="E393" s="97" t="s">
        <v>19</v>
      </c>
      <c r="F393" s="97" t="s">
        <v>541</v>
      </c>
      <c r="G393" s="97" t="s">
        <v>348</v>
      </c>
      <c r="H393" s="82" t="s">
        <v>349</v>
      </c>
      <c r="I393" s="98">
        <v>34.659999999999997</v>
      </c>
      <c r="J393" s="84"/>
      <c r="K393" s="91"/>
      <c r="L393" s="66"/>
      <c r="M393" s="66"/>
      <c r="N393" s="66"/>
      <c r="R393" s="72"/>
    </row>
    <row r="394" spans="1:20" ht="18.75" customHeight="1" x14ac:dyDescent="0.2">
      <c r="A394" s="79"/>
      <c r="B394" s="79"/>
      <c r="C394" s="80"/>
      <c r="D394" s="66"/>
      <c r="E394" s="97" t="s">
        <v>83</v>
      </c>
      <c r="F394" s="97" t="s">
        <v>835</v>
      </c>
      <c r="G394" s="97" t="s">
        <v>394</v>
      </c>
      <c r="H394" s="82" t="s">
        <v>349</v>
      </c>
      <c r="I394" s="98">
        <v>8.41</v>
      </c>
      <c r="J394" s="84"/>
      <c r="K394" s="91"/>
      <c r="L394" s="66"/>
      <c r="M394" s="66"/>
      <c r="N394" s="66"/>
      <c r="R394" s="72"/>
    </row>
    <row r="395" spans="1:20" ht="18.75" customHeight="1" x14ac:dyDescent="0.2">
      <c r="A395" s="79"/>
      <c r="B395" s="79"/>
      <c r="C395" s="80"/>
      <c r="D395" s="66"/>
      <c r="E395" s="86"/>
      <c r="F395" s="66"/>
      <c r="G395" s="66" t="s">
        <v>353</v>
      </c>
      <c r="H395" s="82"/>
      <c r="I395" s="87"/>
      <c r="J395" s="84"/>
      <c r="K395" s="91"/>
      <c r="L395" s="66"/>
      <c r="M395" s="66"/>
      <c r="N395" s="66"/>
      <c r="R395" s="72"/>
    </row>
    <row r="396" spans="1:20" s="101" customFormat="1" ht="18.75" customHeight="1" x14ac:dyDescent="0.2">
      <c r="A396" s="70">
        <v>36653</v>
      </c>
      <c r="B396" s="70">
        <v>36667</v>
      </c>
      <c r="C396" s="71">
        <v>13401</v>
      </c>
      <c r="D396" s="72" t="s">
        <v>836</v>
      </c>
      <c r="E396" s="92" t="s">
        <v>21</v>
      </c>
      <c r="F396" s="92" t="s">
        <v>837</v>
      </c>
      <c r="G396" s="92" t="s">
        <v>838</v>
      </c>
      <c r="H396" s="74" t="s">
        <v>349</v>
      </c>
      <c r="I396" s="93">
        <v>48.09</v>
      </c>
      <c r="J396" s="99">
        <v>68.849999999999994</v>
      </c>
      <c r="K396" s="76">
        <v>53.9</v>
      </c>
      <c r="L396" s="76">
        <v>43.4</v>
      </c>
      <c r="M396" s="70">
        <v>36758</v>
      </c>
      <c r="N396" s="89">
        <v>39679</v>
      </c>
      <c r="R396" s="72"/>
      <c r="S396" s="72"/>
    </row>
    <row r="397" spans="1:20" ht="18.75" customHeight="1" x14ac:dyDescent="0.2">
      <c r="A397" s="79"/>
      <c r="B397" s="79"/>
      <c r="C397" s="80"/>
      <c r="D397" s="66"/>
      <c r="E397" s="97" t="s">
        <v>19</v>
      </c>
      <c r="F397" s="97" t="s">
        <v>839</v>
      </c>
      <c r="G397" s="97" t="s">
        <v>702</v>
      </c>
      <c r="H397" s="82" t="s">
        <v>349</v>
      </c>
      <c r="I397" s="98">
        <v>20.02</v>
      </c>
      <c r="J397" s="100">
        <v>31.15</v>
      </c>
      <c r="K397" s="91"/>
      <c r="L397" s="66"/>
      <c r="M397" s="66"/>
      <c r="N397" s="66"/>
      <c r="R397" s="72"/>
    </row>
    <row r="398" spans="1:20" ht="18.75" customHeight="1" x14ac:dyDescent="0.2">
      <c r="A398" s="79"/>
      <c r="B398" s="79"/>
      <c r="C398" s="80"/>
      <c r="D398" s="66"/>
      <c r="E398" s="97" t="s">
        <v>55</v>
      </c>
      <c r="F398" s="97" t="s">
        <v>840</v>
      </c>
      <c r="G398" s="97" t="s">
        <v>516</v>
      </c>
      <c r="H398" s="82" t="s">
        <v>349</v>
      </c>
      <c r="I398" s="98">
        <v>15.99</v>
      </c>
      <c r="J398" s="84"/>
      <c r="K398" s="91"/>
      <c r="L398" s="66"/>
      <c r="M398" s="66"/>
      <c r="N398" s="66"/>
      <c r="R398" s="72"/>
    </row>
    <row r="399" spans="1:20" ht="18.75" customHeight="1" x14ac:dyDescent="0.2">
      <c r="A399" s="79"/>
      <c r="B399" s="79"/>
      <c r="C399" s="80"/>
      <c r="D399" s="66"/>
      <c r="E399" s="97" t="s">
        <v>841</v>
      </c>
      <c r="F399" s="97" t="s">
        <v>841</v>
      </c>
      <c r="G399" s="97" t="s">
        <v>381</v>
      </c>
      <c r="H399" s="82" t="s">
        <v>349</v>
      </c>
      <c r="I399" s="98">
        <v>15.9</v>
      </c>
      <c r="J399" s="84"/>
      <c r="K399" s="91"/>
      <c r="L399" s="66"/>
      <c r="M399" s="66"/>
      <c r="N399" s="66"/>
      <c r="R399" s="72"/>
      <c r="T399" s="72"/>
    </row>
    <row r="400" spans="1:20" ht="18.75" customHeight="1" x14ac:dyDescent="0.2">
      <c r="A400" s="79"/>
      <c r="B400" s="79"/>
      <c r="C400" s="80"/>
      <c r="D400" s="66"/>
      <c r="E400" s="86"/>
      <c r="F400" s="66"/>
      <c r="G400" s="66" t="s">
        <v>353</v>
      </c>
      <c r="H400" s="82"/>
      <c r="I400" s="87"/>
      <c r="J400" s="84"/>
      <c r="K400" s="91"/>
      <c r="L400" s="66"/>
      <c r="M400" s="66"/>
      <c r="N400" s="66"/>
      <c r="R400" s="72"/>
    </row>
    <row r="401" spans="1:20" s="101" customFormat="1" ht="18.75" customHeight="1" x14ac:dyDescent="0.2">
      <c r="A401" s="70">
        <v>36653</v>
      </c>
      <c r="B401" s="70">
        <v>36667</v>
      </c>
      <c r="C401" s="71">
        <v>13402</v>
      </c>
      <c r="D401" s="72" t="s">
        <v>139</v>
      </c>
      <c r="E401" s="92" t="s">
        <v>21</v>
      </c>
      <c r="F401" s="92" t="s">
        <v>842</v>
      </c>
      <c r="G401" s="92" t="s">
        <v>360</v>
      </c>
      <c r="H401" s="74" t="s">
        <v>349</v>
      </c>
      <c r="I401" s="93">
        <v>66.599999999999994</v>
      </c>
      <c r="J401" s="76"/>
      <c r="K401" s="76">
        <v>44.8</v>
      </c>
      <c r="L401" s="76"/>
      <c r="M401" s="70">
        <v>36814</v>
      </c>
      <c r="N401" s="89">
        <v>39735</v>
      </c>
      <c r="R401" s="72"/>
      <c r="S401" s="72"/>
    </row>
    <row r="402" spans="1:20" ht="18.75" customHeight="1" x14ac:dyDescent="0.2">
      <c r="A402" s="79"/>
      <c r="B402" s="79"/>
      <c r="C402" s="80"/>
      <c r="D402" s="66"/>
      <c r="E402" s="97" t="s">
        <v>19</v>
      </c>
      <c r="F402" s="97" t="s">
        <v>843</v>
      </c>
      <c r="G402" s="97" t="s">
        <v>655</v>
      </c>
      <c r="H402" s="82" t="s">
        <v>349</v>
      </c>
      <c r="I402" s="98">
        <v>33.4</v>
      </c>
      <c r="J402" s="84"/>
      <c r="K402" s="91"/>
      <c r="L402" s="66"/>
      <c r="M402" s="66"/>
      <c r="N402" s="66"/>
      <c r="R402" s="72"/>
    </row>
    <row r="403" spans="1:20" ht="18.75" customHeight="1" x14ac:dyDescent="0.2">
      <c r="A403" s="79"/>
      <c r="B403" s="79"/>
      <c r="C403" s="80"/>
      <c r="D403" s="66"/>
      <c r="E403" s="86"/>
      <c r="F403" s="66"/>
      <c r="G403" s="66" t="s">
        <v>353</v>
      </c>
      <c r="H403" s="82"/>
      <c r="I403" s="87"/>
      <c r="J403" s="84"/>
      <c r="K403" s="91"/>
      <c r="L403" s="66"/>
      <c r="M403" s="66"/>
      <c r="N403" s="66"/>
      <c r="R403" s="72"/>
    </row>
    <row r="404" spans="1:20" s="101" customFormat="1" ht="18.75" customHeight="1" x14ac:dyDescent="0.2">
      <c r="A404" s="70">
        <v>36660</v>
      </c>
      <c r="B404" s="70">
        <v>36674</v>
      </c>
      <c r="C404" s="71">
        <v>33905</v>
      </c>
      <c r="D404" s="72" t="s">
        <v>844</v>
      </c>
      <c r="E404" s="92" t="s">
        <v>19</v>
      </c>
      <c r="F404" s="92" t="s">
        <v>845</v>
      </c>
      <c r="G404" s="92" t="s">
        <v>846</v>
      </c>
      <c r="H404" s="74" t="s">
        <v>349</v>
      </c>
      <c r="I404" s="93">
        <v>53.79</v>
      </c>
      <c r="J404" s="76"/>
      <c r="K404" s="76">
        <v>49.3</v>
      </c>
      <c r="L404" s="76"/>
      <c r="M404" s="70">
        <v>36800</v>
      </c>
      <c r="N404" s="89">
        <v>39721</v>
      </c>
      <c r="R404" s="72"/>
      <c r="S404" s="72"/>
    </row>
    <row r="405" spans="1:20" ht="18.75" customHeight="1" x14ac:dyDescent="0.2">
      <c r="A405" s="79"/>
      <c r="B405" s="79"/>
      <c r="C405" s="80"/>
      <c r="D405" s="66"/>
      <c r="E405" s="97" t="s">
        <v>21</v>
      </c>
      <c r="F405" s="97" t="s">
        <v>847</v>
      </c>
      <c r="G405" s="97" t="s">
        <v>848</v>
      </c>
      <c r="H405" s="82" t="s">
        <v>349</v>
      </c>
      <c r="I405" s="98">
        <v>28.95</v>
      </c>
      <c r="J405" s="84"/>
      <c r="K405" s="91"/>
      <c r="L405" s="66"/>
      <c r="M405" s="66"/>
      <c r="N405" s="66"/>
      <c r="R405" s="72"/>
    </row>
    <row r="406" spans="1:20" ht="18.75" customHeight="1" x14ac:dyDescent="0.2">
      <c r="A406" s="79"/>
      <c r="B406" s="79"/>
      <c r="C406" s="80"/>
      <c r="D406" s="66"/>
      <c r="E406" s="97" t="s">
        <v>849</v>
      </c>
      <c r="F406" s="97" t="s">
        <v>849</v>
      </c>
      <c r="G406" s="97" t="s">
        <v>850</v>
      </c>
      <c r="H406" s="82" t="s">
        <v>349</v>
      </c>
      <c r="I406" s="98">
        <v>9.65</v>
      </c>
      <c r="J406" s="84"/>
      <c r="K406" s="91"/>
      <c r="L406" s="66"/>
      <c r="M406" s="66"/>
      <c r="N406" s="66"/>
      <c r="R406" s="72"/>
      <c r="T406" s="72"/>
    </row>
    <row r="407" spans="1:20" ht="18.75" customHeight="1" x14ac:dyDescent="0.2">
      <c r="A407" s="79"/>
      <c r="B407" s="79"/>
      <c r="C407" s="80"/>
      <c r="D407" s="66"/>
      <c r="E407" s="97" t="s">
        <v>83</v>
      </c>
      <c r="F407" s="97" t="s">
        <v>851</v>
      </c>
      <c r="G407" s="97" t="s">
        <v>466</v>
      </c>
      <c r="H407" s="82" t="s">
        <v>349</v>
      </c>
      <c r="I407" s="98">
        <v>7.61</v>
      </c>
      <c r="J407" s="84"/>
      <c r="K407" s="91"/>
      <c r="L407" s="66"/>
      <c r="M407" s="66"/>
      <c r="N407" s="66"/>
      <c r="R407" s="72"/>
    </row>
    <row r="408" spans="1:20" ht="18.75" customHeight="1" x14ac:dyDescent="0.2">
      <c r="A408" s="79"/>
      <c r="B408" s="79"/>
      <c r="C408" s="80"/>
      <c r="D408" s="66"/>
      <c r="E408" s="86"/>
      <c r="F408" s="66"/>
      <c r="G408" s="66" t="s">
        <v>353</v>
      </c>
      <c r="H408" s="82"/>
      <c r="I408" s="87"/>
      <c r="J408" s="84"/>
      <c r="K408" s="91"/>
      <c r="L408" s="66"/>
      <c r="M408" s="66"/>
      <c r="N408" s="66"/>
      <c r="R408" s="72"/>
    </row>
    <row r="409" spans="1:20" s="101" customFormat="1" ht="18.75" customHeight="1" x14ac:dyDescent="0.2">
      <c r="A409" s="70">
        <v>36681</v>
      </c>
      <c r="B409" s="70">
        <v>36695</v>
      </c>
      <c r="C409" s="71">
        <v>13706</v>
      </c>
      <c r="D409" s="72" t="s">
        <v>852</v>
      </c>
      <c r="E409" s="92" t="s">
        <v>55</v>
      </c>
      <c r="F409" s="92" t="s">
        <v>853</v>
      </c>
      <c r="G409" s="92" t="s">
        <v>854</v>
      </c>
      <c r="H409" s="74" t="s">
        <v>349</v>
      </c>
      <c r="I409" s="93">
        <v>42.39</v>
      </c>
      <c r="J409" s="99">
        <v>64.28</v>
      </c>
      <c r="K409" s="76">
        <v>44.6</v>
      </c>
      <c r="L409" s="76">
        <v>50.1</v>
      </c>
      <c r="M409" s="70">
        <v>36951</v>
      </c>
      <c r="N409" s="89">
        <v>39872</v>
      </c>
      <c r="R409" s="72"/>
      <c r="S409" s="72"/>
    </row>
    <row r="410" spans="1:20" ht="18.75" customHeight="1" x14ac:dyDescent="0.2">
      <c r="A410" s="79"/>
      <c r="B410" s="79"/>
      <c r="C410" s="80"/>
      <c r="D410" s="66"/>
      <c r="E410" s="97" t="s">
        <v>19</v>
      </c>
      <c r="F410" s="97" t="s">
        <v>450</v>
      </c>
      <c r="G410" s="97" t="s">
        <v>368</v>
      </c>
      <c r="H410" s="82" t="s">
        <v>349</v>
      </c>
      <c r="I410" s="98">
        <v>42.81</v>
      </c>
      <c r="J410" s="100">
        <v>35.72</v>
      </c>
      <c r="K410" s="91"/>
      <c r="L410" s="66"/>
      <c r="M410" s="66"/>
      <c r="N410" s="66"/>
      <c r="R410" s="72"/>
    </row>
    <row r="411" spans="1:20" ht="18.75" customHeight="1" x14ac:dyDescent="0.2">
      <c r="A411" s="79"/>
      <c r="B411" s="79"/>
      <c r="C411" s="80"/>
      <c r="D411" s="66"/>
      <c r="E411" s="97" t="s">
        <v>21</v>
      </c>
      <c r="F411" s="97" t="s">
        <v>855</v>
      </c>
      <c r="G411" s="97" t="s">
        <v>368</v>
      </c>
      <c r="H411" s="82" t="s">
        <v>349</v>
      </c>
      <c r="I411" s="98">
        <v>14.8</v>
      </c>
      <c r="J411" s="84"/>
      <c r="K411" s="91"/>
      <c r="L411" s="66"/>
      <c r="M411" s="66"/>
      <c r="N411" s="66"/>
      <c r="R411" s="72"/>
    </row>
    <row r="412" spans="1:20" ht="18.75" customHeight="1" x14ac:dyDescent="0.2">
      <c r="A412" s="79"/>
      <c r="B412" s="79"/>
      <c r="C412" s="80"/>
      <c r="D412" s="66"/>
      <c r="E412" s="86"/>
      <c r="F412" s="66"/>
      <c r="G412" s="66" t="s">
        <v>353</v>
      </c>
      <c r="H412" s="82"/>
      <c r="I412" s="87"/>
      <c r="J412" s="84"/>
      <c r="K412" s="91"/>
      <c r="L412" s="66"/>
      <c r="M412" s="66"/>
      <c r="N412" s="66"/>
      <c r="R412" s="72"/>
    </row>
    <row r="413" spans="1:20" s="101" customFormat="1" ht="18.75" customHeight="1" x14ac:dyDescent="0.2">
      <c r="A413" s="70">
        <v>36758</v>
      </c>
      <c r="B413" s="70">
        <v>36772</v>
      </c>
      <c r="C413" s="71">
        <v>14006</v>
      </c>
      <c r="D413" s="72" t="s">
        <v>856</v>
      </c>
      <c r="E413" s="92" t="s">
        <v>19</v>
      </c>
      <c r="F413" s="92" t="s">
        <v>771</v>
      </c>
      <c r="G413" s="92" t="s">
        <v>476</v>
      </c>
      <c r="H413" s="74" t="s">
        <v>349</v>
      </c>
      <c r="I413" s="93">
        <v>63.79</v>
      </c>
      <c r="J413" s="76"/>
      <c r="K413" s="76">
        <v>59.5</v>
      </c>
      <c r="L413" s="76"/>
      <c r="M413" s="70">
        <v>37012</v>
      </c>
      <c r="N413" s="89">
        <v>39933</v>
      </c>
      <c r="R413" s="72"/>
      <c r="S413" s="72"/>
    </row>
    <row r="414" spans="1:20" ht="18.75" customHeight="1" x14ac:dyDescent="0.2">
      <c r="A414" s="79"/>
      <c r="B414" s="79"/>
      <c r="C414" s="80"/>
      <c r="D414" s="66"/>
      <c r="E414" s="97" t="s">
        <v>857</v>
      </c>
      <c r="F414" s="97" t="s">
        <v>858</v>
      </c>
      <c r="G414" s="97" t="s">
        <v>565</v>
      </c>
      <c r="H414" s="82" t="s">
        <v>349</v>
      </c>
      <c r="I414" s="98">
        <v>36.21</v>
      </c>
      <c r="J414" s="84"/>
      <c r="K414" s="91"/>
      <c r="L414" s="66"/>
      <c r="M414" s="66"/>
      <c r="N414" s="66"/>
      <c r="R414" s="72"/>
    </row>
    <row r="415" spans="1:20" ht="18.75" customHeight="1" x14ac:dyDescent="0.2">
      <c r="A415" s="79"/>
      <c r="B415" s="79"/>
      <c r="C415" s="80"/>
      <c r="D415" s="66"/>
      <c r="E415" s="86"/>
      <c r="F415" s="66"/>
      <c r="G415" s="66" t="s">
        <v>353</v>
      </c>
      <c r="H415" s="82"/>
      <c r="I415" s="87"/>
      <c r="J415" s="84"/>
      <c r="K415" s="91"/>
      <c r="L415" s="66"/>
      <c r="M415" s="66"/>
      <c r="N415" s="66"/>
      <c r="R415" s="72"/>
    </row>
    <row r="416" spans="1:20" s="101" customFormat="1" ht="18.75" customHeight="1" x14ac:dyDescent="0.2">
      <c r="A416" s="70">
        <v>36772</v>
      </c>
      <c r="B416" s="70">
        <v>36786</v>
      </c>
      <c r="C416" s="71">
        <v>13705</v>
      </c>
      <c r="D416" s="72" t="s">
        <v>859</v>
      </c>
      <c r="E416" s="92" t="s">
        <v>19</v>
      </c>
      <c r="F416" s="92" t="s">
        <v>860</v>
      </c>
      <c r="G416" s="92" t="s">
        <v>861</v>
      </c>
      <c r="H416" s="74" t="s">
        <v>349</v>
      </c>
      <c r="I416" s="93">
        <v>62.97</v>
      </c>
      <c r="J416" s="76"/>
      <c r="K416" s="76">
        <v>47.9</v>
      </c>
      <c r="L416" s="76"/>
      <c r="M416" s="70">
        <v>36982</v>
      </c>
      <c r="N416" s="68">
        <v>39082</v>
      </c>
      <c r="R416" s="72"/>
      <c r="S416" s="72"/>
    </row>
    <row r="417" spans="1:20" ht="18.75" customHeight="1" x14ac:dyDescent="0.2">
      <c r="A417" s="79"/>
      <c r="B417" s="79"/>
      <c r="C417" s="80"/>
      <c r="D417" s="66"/>
      <c r="E417" s="97" t="s">
        <v>21</v>
      </c>
      <c r="F417" s="97" t="s">
        <v>862</v>
      </c>
      <c r="G417" s="97" t="s">
        <v>371</v>
      </c>
      <c r="H417" s="82" t="s">
        <v>349</v>
      </c>
      <c r="I417" s="98">
        <v>37.03</v>
      </c>
      <c r="J417" s="84"/>
      <c r="K417" s="91"/>
      <c r="L417" s="66"/>
      <c r="M417" s="66"/>
      <c r="N417" s="66"/>
      <c r="R417" s="72"/>
    </row>
    <row r="418" spans="1:20" ht="18.75" customHeight="1" x14ac:dyDescent="0.2">
      <c r="A418" s="79"/>
      <c r="B418" s="79"/>
      <c r="C418" s="80"/>
      <c r="D418" s="66"/>
      <c r="E418" s="86"/>
      <c r="F418" s="66"/>
      <c r="G418" s="66" t="s">
        <v>353</v>
      </c>
      <c r="H418" s="82"/>
      <c r="I418" s="87"/>
      <c r="J418" s="84"/>
      <c r="K418" s="91"/>
      <c r="L418" s="66"/>
      <c r="M418" s="66"/>
      <c r="N418" s="66"/>
      <c r="R418" s="72"/>
    </row>
    <row r="419" spans="1:20" s="101" customFormat="1" ht="18.75" customHeight="1" x14ac:dyDescent="0.2">
      <c r="A419" s="70">
        <v>36779</v>
      </c>
      <c r="B419" s="70">
        <v>36793</v>
      </c>
      <c r="C419" s="71">
        <v>33404</v>
      </c>
      <c r="D419" s="72" t="s">
        <v>863</v>
      </c>
      <c r="E419" s="92" t="s">
        <v>21</v>
      </c>
      <c r="F419" s="92" t="s">
        <v>864</v>
      </c>
      <c r="G419" s="92" t="s">
        <v>379</v>
      </c>
      <c r="H419" s="74" t="s">
        <v>349</v>
      </c>
      <c r="I419" s="93">
        <v>53.57</v>
      </c>
      <c r="J419" s="76"/>
      <c r="K419" s="76">
        <v>52</v>
      </c>
      <c r="L419" s="76"/>
      <c r="M419" s="70">
        <v>36982</v>
      </c>
      <c r="N419" s="89">
        <v>39903</v>
      </c>
      <c r="R419" s="72"/>
      <c r="S419" s="72"/>
    </row>
    <row r="420" spans="1:20" ht="18.75" customHeight="1" x14ac:dyDescent="0.2">
      <c r="A420" s="79"/>
      <c r="B420" s="79"/>
      <c r="C420" s="80"/>
      <c r="D420" s="66"/>
      <c r="E420" s="97" t="s">
        <v>19</v>
      </c>
      <c r="F420" s="97" t="s">
        <v>865</v>
      </c>
      <c r="G420" s="97" t="s">
        <v>591</v>
      </c>
      <c r="H420" s="82" t="s">
        <v>349</v>
      </c>
      <c r="I420" s="98">
        <v>30.69</v>
      </c>
      <c r="J420" s="84"/>
      <c r="K420" s="91"/>
      <c r="L420" s="66"/>
      <c r="M420" s="66"/>
      <c r="N420" s="66"/>
      <c r="R420" s="72"/>
    </row>
    <row r="421" spans="1:20" ht="18.75" customHeight="1" x14ac:dyDescent="0.2">
      <c r="A421" s="79"/>
      <c r="B421" s="79"/>
      <c r="C421" s="80"/>
      <c r="D421" s="66"/>
      <c r="E421" s="97" t="s">
        <v>866</v>
      </c>
      <c r="F421" s="97" t="s">
        <v>866</v>
      </c>
      <c r="G421" s="97" t="s">
        <v>368</v>
      </c>
      <c r="H421" s="82" t="s">
        <v>349</v>
      </c>
      <c r="I421" s="98">
        <v>8.32</v>
      </c>
      <c r="J421" s="84"/>
      <c r="K421" s="91"/>
      <c r="L421" s="66"/>
      <c r="M421" s="66"/>
      <c r="N421" s="66"/>
      <c r="R421" s="72"/>
      <c r="T421" s="72"/>
    </row>
    <row r="422" spans="1:20" ht="18.75" customHeight="1" x14ac:dyDescent="0.2">
      <c r="A422" s="79"/>
      <c r="B422" s="79"/>
      <c r="C422" s="80"/>
      <c r="D422" s="66"/>
      <c r="E422" s="97" t="s">
        <v>34</v>
      </c>
      <c r="F422" s="97" t="s">
        <v>867</v>
      </c>
      <c r="G422" s="97" t="s">
        <v>868</v>
      </c>
      <c r="H422" s="82" t="s">
        <v>419</v>
      </c>
      <c r="I422" s="98">
        <v>7.42</v>
      </c>
      <c r="J422" s="84"/>
      <c r="K422" s="91"/>
      <c r="L422" s="66"/>
      <c r="M422" s="66"/>
      <c r="N422" s="66"/>
      <c r="R422" s="72"/>
    </row>
    <row r="423" spans="1:20" ht="18.75" customHeight="1" x14ac:dyDescent="0.2">
      <c r="A423" s="79"/>
      <c r="B423" s="79"/>
      <c r="C423" s="80"/>
      <c r="D423" s="66"/>
      <c r="E423" s="86"/>
      <c r="F423" s="66"/>
      <c r="G423" s="66" t="s">
        <v>353</v>
      </c>
      <c r="H423" s="82"/>
      <c r="I423" s="87"/>
      <c r="J423" s="84"/>
      <c r="K423" s="91"/>
      <c r="L423" s="66"/>
      <c r="M423" s="66"/>
      <c r="N423" s="66"/>
      <c r="R423" s="72"/>
    </row>
    <row r="424" spans="1:20" s="101" customFormat="1" ht="18.75" customHeight="1" x14ac:dyDescent="0.2">
      <c r="A424" s="70">
        <v>36793</v>
      </c>
      <c r="B424" s="70">
        <v>36814</v>
      </c>
      <c r="C424" s="71">
        <v>33301</v>
      </c>
      <c r="D424" s="72" t="s">
        <v>869</v>
      </c>
      <c r="E424" s="92" t="s">
        <v>870</v>
      </c>
      <c r="F424" s="92" t="s">
        <v>870</v>
      </c>
      <c r="G424" s="92" t="s">
        <v>871</v>
      </c>
      <c r="H424" s="74" t="s">
        <v>349</v>
      </c>
      <c r="I424" s="93">
        <v>67.73</v>
      </c>
      <c r="J424" s="76"/>
      <c r="K424" s="76">
        <v>61</v>
      </c>
      <c r="L424" s="76"/>
      <c r="M424" s="70">
        <v>36892</v>
      </c>
      <c r="N424" s="89">
        <v>39813</v>
      </c>
      <c r="R424" s="72"/>
      <c r="S424" s="72"/>
      <c r="T424" s="72"/>
    </row>
    <row r="425" spans="1:20" ht="18.75" customHeight="1" x14ac:dyDescent="0.2">
      <c r="A425" s="79"/>
      <c r="B425" s="79"/>
      <c r="C425" s="80"/>
      <c r="D425" s="66"/>
      <c r="E425" s="97" t="s">
        <v>21</v>
      </c>
      <c r="F425" s="97" t="s">
        <v>564</v>
      </c>
      <c r="G425" s="97" t="s">
        <v>512</v>
      </c>
      <c r="H425" s="82" t="s">
        <v>349</v>
      </c>
      <c r="I425" s="98">
        <v>25.9</v>
      </c>
      <c r="J425" s="84"/>
      <c r="K425" s="91"/>
      <c r="L425" s="66"/>
      <c r="M425" s="66"/>
      <c r="N425" s="66"/>
      <c r="R425" s="72"/>
    </row>
    <row r="426" spans="1:20" ht="18.75" customHeight="1" x14ac:dyDescent="0.2">
      <c r="A426" s="79"/>
      <c r="B426" s="79"/>
      <c r="C426" s="80"/>
      <c r="D426" s="66"/>
      <c r="E426" s="97" t="s">
        <v>83</v>
      </c>
      <c r="F426" s="97" t="s">
        <v>872</v>
      </c>
      <c r="G426" s="97" t="s">
        <v>360</v>
      </c>
      <c r="H426" s="82" t="s">
        <v>349</v>
      </c>
      <c r="I426" s="98">
        <v>6.37</v>
      </c>
      <c r="J426" s="84"/>
      <c r="K426" s="91"/>
      <c r="L426" s="66"/>
      <c r="M426" s="66"/>
      <c r="N426" s="66"/>
      <c r="R426" s="72"/>
    </row>
    <row r="427" spans="1:20" ht="18.75" customHeight="1" x14ac:dyDescent="0.2">
      <c r="A427" s="79"/>
      <c r="B427" s="79"/>
      <c r="C427" s="80"/>
      <c r="D427" s="66"/>
      <c r="E427" s="86"/>
      <c r="F427" s="66"/>
      <c r="G427" s="66" t="s">
        <v>353</v>
      </c>
      <c r="H427" s="82"/>
      <c r="I427" s="87"/>
      <c r="J427" s="84"/>
      <c r="K427" s="91"/>
      <c r="L427" s="66"/>
      <c r="M427" s="66"/>
      <c r="N427" s="66"/>
      <c r="R427" s="72"/>
    </row>
    <row r="428" spans="1:20" s="101" customFormat="1" ht="18.75" customHeight="1" x14ac:dyDescent="0.2">
      <c r="A428" s="70">
        <v>36835</v>
      </c>
      <c r="B428" s="70">
        <v>36849</v>
      </c>
      <c r="C428" s="71">
        <v>23105</v>
      </c>
      <c r="D428" s="72" t="s">
        <v>873</v>
      </c>
      <c r="E428" s="92" t="s">
        <v>276</v>
      </c>
      <c r="F428" s="92" t="s">
        <v>276</v>
      </c>
      <c r="G428" s="92" t="s">
        <v>585</v>
      </c>
      <c r="H428" s="74" t="s">
        <v>349</v>
      </c>
      <c r="I428" s="93">
        <v>32.42</v>
      </c>
      <c r="J428" s="99">
        <v>60</v>
      </c>
      <c r="K428" s="76">
        <v>65.8</v>
      </c>
      <c r="L428" s="76">
        <v>66.099999999999994</v>
      </c>
      <c r="M428" s="70">
        <v>37012</v>
      </c>
      <c r="N428" s="89">
        <v>39055</v>
      </c>
      <c r="R428" s="72"/>
      <c r="S428" s="72"/>
      <c r="T428" s="72"/>
    </row>
    <row r="429" spans="1:20" ht="18.75" customHeight="1" x14ac:dyDescent="0.2">
      <c r="A429" s="79"/>
      <c r="B429" s="79"/>
      <c r="C429" s="80"/>
      <c r="D429" s="66"/>
      <c r="E429" s="97" t="s">
        <v>19</v>
      </c>
      <c r="F429" s="97" t="s">
        <v>874</v>
      </c>
      <c r="G429" s="97" t="s">
        <v>355</v>
      </c>
      <c r="H429" s="82" t="s">
        <v>349</v>
      </c>
      <c r="I429" s="98">
        <v>33.03</v>
      </c>
      <c r="J429" s="100">
        <v>40</v>
      </c>
      <c r="K429" s="91"/>
      <c r="L429" s="66"/>
      <c r="M429" s="66"/>
      <c r="N429" s="66"/>
      <c r="R429" s="72"/>
    </row>
    <row r="430" spans="1:20" ht="18.75" customHeight="1" x14ac:dyDescent="0.2">
      <c r="A430" s="79"/>
      <c r="B430" s="79"/>
      <c r="C430" s="80"/>
      <c r="D430" s="66"/>
      <c r="E430" s="97" t="s">
        <v>21</v>
      </c>
      <c r="F430" s="97" t="s">
        <v>875</v>
      </c>
      <c r="G430" s="97" t="s">
        <v>611</v>
      </c>
      <c r="H430" s="82" t="s">
        <v>349</v>
      </c>
      <c r="I430" s="98">
        <v>25.72</v>
      </c>
      <c r="J430" s="84"/>
      <c r="K430" s="91"/>
      <c r="L430" s="66"/>
      <c r="M430" s="66"/>
      <c r="N430" s="66"/>
      <c r="R430" s="72"/>
    </row>
    <row r="431" spans="1:20" ht="18.75" customHeight="1" x14ac:dyDescent="0.2">
      <c r="A431" s="79"/>
      <c r="B431" s="79"/>
      <c r="C431" s="80"/>
      <c r="D431" s="66"/>
      <c r="E431" s="97" t="s">
        <v>876</v>
      </c>
      <c r="F431" s="97" t="s">
        <v>876</v>
      </c>
      <c r="G431" s="97" t="s">
        <v>877</v>
      </c>
      <c r="H431" s="82" t="s">
        <v>349</v>
      </c>
      <c r="I431" s="98">
        <v>8.83</v>
      </c>
      <c r="J431" s="84"/>
      <c r="K431" s="91"/>
      <c r="L431" s="66"/>
      <c r="M431" s="66"/>
      <c r="N431" s="66"/>
      <c r="R431" s="72"/>
      <c r="T431" s="72"/>
    </row>
    <row r="432" spans="1:20" ht="18.75" customHeight="1" x14ac:dyDescent="0.2">
      <c r="A432" s="79"/>
      <c r="B432" s="79"/>
      <c r="C432" s="80"/>
      <c r="D432" s="66"/>
      <c r="E432" s="86"/>
      <c r="F432" s="66"/>
      <c r="G432" s="66" t="s">
        <v>353</v>
      </c>
      <c r="H432" s="82"/>
      <c r="I432" s="87"/>
      <c r="J432" s="84"/>
      <c r="K432" s="91"/>
      <c r="L432" s="66"/>
      <c r="M432" s="66"/>
      <c r="N432" s="66"/>
      <c r="R432" s="72"/>
    </row>
    <row r="433" spans="1:20" s="101" customFormat="1" ht="18.75" customHeight="1" x14ac:dyDescent="0.2">
      <c r="A433" s="70">
        <v>36835</v>
      </c>
      <c r="B433" s="70">
        <v>36856</v>
      </c>
      <c r="C433" s="71">
        <v>34001</v>
      </c>
      <c r="D433" s="72" t="s">
        <v>878</v>
      </c>
      <c r="E433" s="92" t="s">
        <v>19</v>
      </c>
      <c r="F433" s="92" t="s">
        <v>879</v>
      </c>
      <c r="G433" s="92" t="s">
        <v>348</v>
      </c>
      <c r="H433" s="74" t="s">
        <v>349</v>
      </c>
      <c r="I433" s="93">
        <v>86.38</v>
      </c>
      <c r="J433" s="76"/>
      <c r="K433" s="76">
        <v>29</v>
      </c>
      <c r="L433" s="76"/>
      <c r="M433" s="70">
        <v>36982</v>
      </c>
      <c r="N433" s="89">
        <v>39903</v>
      </c>
      <c r="R433" s="72"/>
      <c r="S433" s="72"/>
    </row>
    <row r="434" spans="1:20" ht="18.75" customHeight="1" x14ac:dyDescent="0.2">
      <c r="A434" s="79"/>
      <c r="B434" s="79"/>
      <c r="C434" s="80"/>
      <c r="D434" s="66"/>
      <c r="E434" s="86"/>
      <c r="F434" s="66"/>
      <c r="G434" s="66" t="s">
        <v>353</v>
      </c>
      <c r="H434" s="82"/>
      <c r="I434" s="87"/>
      <c r="J434" s="84"/>
      <c r="K434" s="91"/>
      <c r="L434" s="66"/>
      <c r="M434" s="66"/>
      <c r="N434" s="66"/>
      <c r="R434" s="72"/>
    </row>
    <row r="435" spans="1:20" s="101" customFormat="1" ht="18.75" customHeight="1" x14ac:dyDescent="0.2">
      <c r="A435" s="70">
        <v>36842</v>
      </c>
      <c r="B435" s="70">
        <v>36856</v>
      </c>
      <c r="C435" s="71">
        <v>33802</v>
      </c>
      <c r="D435" s="72" t="s">
        <v>880</v>
      </c>
      <c r="E435" s="92" t="s">
        <v>19</v>
      </c>
      <c r="F435" s="92" t="s">
        <v>881</v>
      </c>
      <c r="G435" s="92" t="s">
        <v>882</v>
      </c>
      <c r="H435" s="74" t="s">
        <v>349</v>
      </c>
      <c r="I435" s="93">
        <v>57.48</v>
      </c>
      <c r="J435" s="76"/>
      <c r="K435" s="76">
        <v>57</v>
      </c>
      <c r="L435" s="76"/>
      <c r="M435" s="70">
        <v>36967</v>
      </c>
      <c r="N435" s="89">
        <v>39888</v>
      </c>
      <c r="R435" s="72"/>
      <c r="S435" s="72"/>
    </row>
    <row r="436" spans="1:20" ht="18.75" customHeight="1" x14ac:dyDescent="0.2">
      <c r="A436" s="102"/>
      <c r="B436" s="102"/>
      <c r="C436" s="102"/>
      <c r="D436" s="66"/>
      <c r="E436" s="97" t="s">
        <v>21</v>
      </c>
      <c r="F436" s="97" t="s">
        <v>883</v>
      </c>
      <c r="G436" s="97" t="s">
        <v>884</v>
      </c>
      <c r="H436" s="82" t="s">
        <v>419</v>
      </c>
      <c r="I436" s="98">
        <v>42.52</v>
      </c>
      <c r="J436" s="103"/>
      <c r="K436" s="66"/>
      <c r="L436" s="66"/>
      <c r="M436" s="66"/>
      <c r="N436" s="66"/>
      <c r="R436" s="72"/>
    </row>
    <row r="437" spans="1:20" ht="18.75" customHeight="1" x14ac:dyDescent="0.2">
      <c r="A437" s="102"/>
      <c r="B437" s="102"/>
      <c r="C437" s="102"/>
      <c r="D437" s="66"/>
      <c r="E437" s="66"/>
      <c r="F437" s="66"/>
      <c r="G437" s="66" t="s">
        <v>353</v>
      </c>
      <c r="H437" s="82"/>
      <c r="I437" s="84"/>
      <c r="J437" s="103"/>
      <c r="K437" s="66"/>
      <c r="L437" s="66"/>
      <c r="M437" s="66"/>
      <c r="N437" s="66"/>
      <c r="R437" s="72"/>
    </row>
    <row r="438" spans="1:20" ht="18.75" customHeight="1" x14ac:dyDescent="0.2">
      <c r="A438" s="104">
        <v>36975</v>
      </c>
      <c r="B438" s="104">
        <v>36989</v>
      </c>
      <c r="C438" s="105">
        <v>13306</v>
      </c>
      <c r="D438" s="106" t="s">
        <v>885</v>
      </c>
      <c r="E438" s="72" t="s">
        <v>21</v>
      </c>
      <c r="F438" s="72" t="s">
        <v>886</v>
      </c>
      <c r="G438" s="72" t="s">
        <v>348</v>
      </c>
      <c r="H438" s="74" t="s">
        <v>349</v>
      </c>
      <c r="I438" s="107">
        <v>59.29</v>
      </c>
      <c r="J438" s="108"/>
      <c r="K438" s="108">
        <v>71.7</v>
      </c>
      <c r="L438" s="108"/>
      <c r="M438" s="104">
        <v>37087</v>
      </c>
      <c r="N438" s="109">
        <v>40008</v>
      </c>
      <c r="O438" s="110"/>
      <c r="P438" s="106"/>
      <c r="Q438" s="106"/>
      <c r="R438" s="72"/>
      <c r="S438" s="111"/>
      <c r="T438" s="112"/>
    </row>
    <row r="439" spans="1:20" ht="18.75" customHeight="1" x14ac:dyDescent="0.2">
      <c r="A439" s="113"/>
      <c r="B439" s="113"/>
      <c r="C439" s="114"/>
      <c r="D439" s="111"/>
      <c r="E439" s="66" t="s">
        <v>19</v>
      </c>
      <c r="F439" s="66" t="s">
        <v>887</v>
      </c>
      <c r="G439" s="66" t="s">
        <v>500</v>
      </c>
      <c r="H439" s="82" t="s">
        <v>349</v>
      </c>
      <c r="I439" s="115">
        <v>28.48</v>
      </c>
      <c r="J439" s="116"/>
      <c r="K439" s="117"/>
      <c r="L439" s="118"/>
      <c r="M439" s="111"/>
      <c r="N439" s="111"/>
      <c r="O439" s="111"/>
      <c r="P439" s="111"/>
      <c r="Q439" s="111"/>
      <c r="R439" s="72"/>
      <c r="S439" s="106"/>
      <c r="T439" s="119"/>
    </row>
    <row r="440" spans="1:20" ht="18.75" customHeight="1" x14ac:dyDescent="0.2">
      <c r="A440" s="113"/>
      <c r="B440" s="113"/>
      <c r="C440" s="114"/>
      <c r="D440" s="111"/>
      <c r="E440" s="66" t="s">
        <v>55</v>
      </c>
      <c r="F440" s="66" t="s">
        <v>888</v>
      </c>
      <c r="G440" s="66" t="s">
        <v>889</v>
      </c>
      <c r="H440" s="82" t="s">
        <v>349</v>
      </c>
      <c r="I440" s="115">
        <v>12.22</v>
      </c>
      <c r="J440" s="116"/>
      <c r="K440" s="117"/>
      <c r="L440" s="118"/>
      <c r="M440" s="111"/>
      <c r="N440" s="111"/>
      <c r="O440" s="111"/>
      <c r="P440" s="111"/>
      <c r="Q440" s="111"/>
      <c r="R440" s="72"/>
      <c r="S440" s="111"/>
      <c r="T440" s="112"/>
    </row>
    <row r="441" spans="1:20" ht="18.75" customHeight="1" x14ac:dyDescent="0.2">
      <c r="A441" s="113"/>
      <c r="B441" s="113"/>
      <c r="C441" s="114"/>
      <c r="D441" s="111"/>
      <c r="E441" s="66"/>
      <c r="F441" s="66"/>
      <c r="G441" s="66" t="s">
        <v>353</v>
      </c>
      <c r="H441" s="82"/>
      <c r="I441" s="120"/>
      <c r="J441" s="116"/>
      <c r="K441" s="117"/>
      <c r="L441" s="118"/>
      <c r="M441" s="111"/>
      <c r="N441" s="111"/>
      <c r="O441" s="111"/>
      <c r="P441" s="111"/>
      <c r="Q441" s="111"/>
      <c r="R441" s="72"/>
      <c r="S441" s="111"/>
      <c r="T441" s="112"/>
    </row>
    <row r="442" spans="1:20" ht="18.75" customHeight="1" x14ac:dyDescent="0.2">
      <c r="A442" s="104">
        <v>36975</v>
      </c>
      <c r="B442" s="104">
        <v>36989</v>
      </c>
      <c r="C442" s="105">
        <v>13307</v>
      </c>
      <c r="D442" s="106" t="s">
        <v>890</v>
      </c>
      <c r="E442" s="72" t="s">
        <v>21</v>
      </c>
      <c r="F442" s="72" t="s">
        <v>891</v>
      </c>
      <c r="G442" s="72" t="s">
        <v>892</v>
      </c>
      <c r="H442" s="74" t="s">
        <v>349</v>
      </c>
      <c r="I442" s="107">
        <v>46.7</v>
      </c>
      <c r="J442" s="121">
        <v>56.45</v>
      </c>
      <c r="K442" s="108">
        <v>68.2</v>
      </c>
      <c r="L442" s="108">
        <v>50.9</v>
      </c>
      <c r="M442" s="104">
        <v>37104</v>
      </c>
      <c r="N442" s="122">
        <v>39082</v>
      </c>
      <c r="O442" s="110"/>
      <c r="P442" s="106"/>
      <c r="Q442" s="106"/>
      <c r="R442" s="72"/>
      <c r="S442" s="111"/>
      <c r="T442" s="112"/>
    </row>
    <row r="443" spans="1:20" ht="18.75" customHeight="1" x14ac:dyDescent="0.2">
      <c r="A443" s="113"/>
      <c r="B443" s="113"/>
      <c r="C443" s="114"/>
      <c r="D443" s="111"/>
      <c r="E443" s="66" t="s">
        <v>19</v>
      </c>
      <c r="F443" s="66" t="s">
        <v>117</v>
      </c>
      <c r="G443" s="66" t="s">
        <v>464</v>
      </c>
      <c r="H443" s="82" t="s">
        <v>349</v>
      </c>
      <c r="I443" s="115">
        <v>33.89</v>
      </c>
      <c r="J443" s="123">
        <v>43.55</v>
      </c>
      <c r="K443" s="117"/>
      <c r="L443" s="118"/>
      <c r="M443" s="111"/>
      <c r="N443" s="111"/>
      <c r="O443" s="111"/>
      <c r="P443" s="111"/>
      <c r="Q443" s="111"/>
      <c r="R443" s="72"/>
      <c r="S443" s="106"/>
      <c r="T443" s="119"/>
    </row>
    <row r="444" spans="1:20" ht="18.75" customHeight="1" x14ac:dyDescent="0.2">
      <c r="A444" s="113"/>
      <c r="B444" s="113"/>
      <c r="C444" s="114"/>
      <c r="D444" s="111"/>
      <c r="E444" s="66" t="s">
        <v>34</v>
      </c>
      <c r="F444" s="66" t="s">
        <v>893</v>
      </c>
      <c r="G444" s="66" t="s">
        <v>894</v>
      </c>
      <c r="H444" s="82" t="s">
        <v>419</v>
      </c>
      <c r="I444" s="115">
        <v>19.420000000000002</v>
      </c>
      <c r="J444" s="116"/>
      <c r="K444" s="117"/>
      <c r="L444" s="118"/>
      <c r="M444" s="111"/>
      <c r="N444" s="111"/>
      <c r="O444" s="111"/>
      <c r="P444" s="111"/>
      <c r="Q444" s="111"/>
      <c r="R444" s="72"/>
      <c r="S444" s="111"/>
      <c r="T444" s="112"/>
    </row>
    <row r="445" spans="1:20" ht="18.75" customHeight="1" x14ac:dyDescent="0.2">
      <c r="A445" s="113"/>
      <c r="B445" s="113"/>
      <c r="C445" s="114"/>
      <c r="D445" s="111"/>
      <c r="E445" s="66"/>
      <c r="F445" s="66"/>
      <c r="G445" s="66" t="s">
        <v>353</v>
      </c>
      <c r="H445" s="82"/>
      <c r="I445" s="120"/>
      <c r="J445" s="116"/>
      <c r="K445" s="117"/>
      <c r="L445" s="118"/>
      <c r="M445" s="111"/>
      <c r="N445" s="111"/>
      <c r="O445" s="111"/>
      <c r="P445" s="111"/>
      <c r="Q445" s="111"/>
      <c r="R445" s="72"/>
      <c r="S445" s="111"/>
      <c r="T445" s="112"/>
    </row>
    <row r="446" spans="1:20" ht="18.75" customHeight="1" x14ac:dyDescent="0.2">
      <c r="A446" s="104">
        <v>36975</v>
      </c>
      <c r="B446" s="104">
        <v>36989</v>
      </c>
      <c r="C446" s="105">
        <v>13702</v>
      </c>
      <c r="D446" s="106" t="s">
        <v>895</v>
      </c>
      <c r="E446" s="72" t="s">
        <v>19</v>
      </c>
      <c r="F446" s="72" t="s">
        <v>896</v>
      </c>
      <c r="G446" s="72" t="s">
        <v>897</v>
      </c>
      <c r="H446" s="74" t="s">
        <v>419</v>
      </c>
      <c r="I446" s="107">
        <v>55.57</v>
      </c>
      <c r="J446" s="108"/>
      <c r="K446" s="108">
        <v>63.6</v>
      </c>
      <c r="L446" s="108"/>
      <c r="M446" s="104">
        <v>37165</v>
      </c>
      <c r="N446" s="109">
        <v>40086</v>
      </c>
      <c r="O446" s="110"/>
      <c r="P446" s="106"/>
      <c r="Q446" s="106"/>
      <c r="R446" s="72"/>
      <c r="S446" s="106"/>
      <c r="T446" s="119"/>
    </row>
    <row r="447" spans="1:20" ht="18.75" customHeight="1" x14ac:dyDescent="0.2">
      <c r="A447" s="113"/>
      <c r="B447" s="113"/>
      <c r="C447" s="114"/>
      <c r="D447" s="111"/>
      <c r="E447" s="66" t="s">
        <v>21</v>
      </c>
      <c r="F447" s="66" t="s">
        <v>898</v>
      </c>
      <c r="G447" s="66" t="s">
        <v>899</v>
      </c>
      <c r="H447" s="82" t="s">
        <v>349</v>
      </c>
      <c r="I447" s="115">
        <v>44.43</v>
      </c>
      <c r="J447" s="116"/>
      <c r="K447" s="117"/>
      <c r="L447" s="118"/>
      <c r="M447" s="111"/>
      <c r="N447" s="111"/>
      <c r="O447" s="111"/>
      <c r="P447" s="111"/>
      <c r="Q447" s="111"/>
      <c r="R447" s="72"/>
      <c r="S447" s="111"/>
      <c r="T447" s="112"/>
    </row>
    <row r="448" spans="1:20" ht="18.75" customHeight="1" x14ac:dyDescent="0.2">
      <c r="A448" s="113"/>
      <c r="B448" s="113"/>
      <c r="C448" s="114"/>
      <c r="D448" s="111"/>
      <c r="E448" s="66"/>
      <c r="F448" s="66"/>
      <c r="G448" s="66" t="s">
        <v>353</v>
      </c>
      <c r="H448" s="82"/>
      <c r="I448" s="120"/>
      <c r="J448" s="116"/>
      <c r="K448" s="117"/>
      <c r="L448" s="118"/>
      <c r="M448" s="111"/>
      <c r="N448" s="111"/>
      <c r="O448" s="111"/>
      <c r="P448" s="111"/>
      <c r="Q448" s="111"/>
      <c r="R448" s="72"/>
      <c r="S448" s="111"/>
      <c r="T448" s="112"/>
    </row>
    <row r="449" spans="1:20" ht="18.75" customHeight="1" x14ac:dyDescent="0.2">
      <c r="A449" s="104">
        <v>36975</v>
      </c>
      <c r="B449" s="104">
        <v>36989</v>
      </c>
      <c r="C449" s="105">
        <v>13808</v>
      </c>
      <c r="D449" s="106" t="s">
        <v>900</v>
      </c>
      <c r="E449" s="72" t="s">
        <v>19</v>
      </c>
      <c r="F449" s="72" t="s">
        <v>533</v>
      </c>
      <c r="G449" s="72" t="s">
        <v>361</v>
      </c>
      <c r="H449" s="74" t="s">
        <v>349</v>
      </c>
      <c r="I449" s="107">
        <v>64.45</v>
      </c>
      <c r="J449" s="108"/>
      <c r="K449" s="108">
        <v>62</v>
      </c>
      <c r="L449" s="108"/>
      <c r="M449" s="104">
        <v>37165</v>
      </c>
      <c r="N449" s="122">
        <v>39933</v>
      </c>
      <c r="O449" s="110"/>
      <c r="P449" s="106"/>
      <c r="Q449" s="106"/>
      <c r="R449" s="72"/>
      <c r="S449" s="106"/>
      <c r="T449" s="119"/>
    </row>
    <row r="450" spans="1:20" ht="18.75" customHeight="1" x14ac:dyDescent="0.2">
      <c r="A450" s="113"/>
      <c r="B450" s="113"/>
      <c r="C450" s="114"/>
      <c r="D450" s="111"/>
      <c r="E450" s="66" t="s">
        <v>901</v>
      </c>
      <c r="F450" s="66" t="s">
        <v>901</v>
      </c>
      <c r="G450" s="66" t="s">
        <v>474</v>
      </c>
      <c r="H450" s="82" t="s">
        <v>349</v>
      </c>
      <c r="I450" s="115">
        <v>35.549999999999997</v>
      </c>
      <c r="J450" s="116"/>
      <c r="K450" s="117"/>
      <c r="L450" s="118"/>
      <c r="M450" s="111"/>
      <c r="N450" s="111"/>
      <c r="O450" s="111"/>
      <c r="P450" s="111"/>
      <c r="Q450" s="111"/>
      <c r="R450" s="72"/>
      <c r="S450" s="111"/>
      <c r="T450" s="72"/>
    </row>
    <row r="451" spans="1:20" ht="18.75" customHeight="1" x14ac:dyDescent="0.2">
      <c r="A451" s="113"/>
      <c r="B451" s="113"/>
      <c r="C451" s="114"/>
      <c r="D451" s="111"/>
      <c r="E451" s="124"/>
      <c r="F451" s="111"/>
      <c r="G451" s="111" t="s">
        <v>353</v>
      </c>
      <c r="H451" s="82"/>
      <c r="I451" s="125"/>
      <c r="J451" s="116"/>
      <c r="K451" s="117"/>
      <c r="L451" s="118"/>
      <c r="M451" s="111"/>
      <c r="N451" s="111"/>
      <c r="O451" s="111"/>
      <c r="P451" s="111"/>
      <c r="Q451" s="111"/>
      <c r="R451" s="72"/>
      <c r="S451" s="106"/>
      <c r="T451" s="119"/>
    </row>
    <row r="452" spans="1:20" ht="18.75" customHeight="1" x14ac:dyDescent="0.2">
      <c r="A452" s="104">
        <v>36975</v>
      </c>
      <c r="B452" s="104">
        <v>36989</v>
      </c>
      <c r="C452" s="105">
        <v>14108</v>
      </c>
      <c r="D452" s="106" t="s">
        <v>902</v>
      </c>
      <c r="E452" s="72" t="s">
        <v>21</v>
      </c>
      <c r="F452" s="72" t="s">
        <v>903</v>
      </c>
      <c r="G452" s="72" t="s">
        <v>355</v>
      </c>
      <c r="H452" s="74" t="s">
        <v>349</v>
      </c>
      <c r="I452" s="107">
        <v>90.03</v>
      </c>
      <c r="J452" s="108"/>
      <c r="K452" s="108">
        <v>68.3</v>
      </c>
      <c r="L452" s="108"/>
      <c r="M452" s="104">
        <v>37180</v>
      </c>
      <c r="N452" s="122">
        <v>37927</v>
      </c>
      <c r="O452" s="110"/>
      <c r="P452" s="106"/>
      <c r="Q452" s="106"/>
      <c r="R452" s="72"/>
      <c r="S452" s="111"/>
      <c r="T452" s="112"/>
    </row>
    <row r="453" spans="1:20" ht="18.75" customHeight="1" x14ac:dyDescent="0.2">
      <c r="A453" s="113"/>
      <c r="B453" s="113"/>
      <c r="C453" s="114"/>
      <c r="D453" s="111"/>
      <c r="E453" s="124"/>
      <c r="F453" s="111"/>
      <c r="G453" s="111" t="s">
        <v>353</v>
      </c>
      <c r="H453" s="82"/>
      <c r="I453" s="125"/>
      <c r="J453" s="116"/>
      <c r="K453" s="117"/>
      <c r="L453" s="118"/>
      <c r="M453" s="111"/>
      <c r="N453" s="111"/>
      <c r="O453" s="111"/>
      <c r="P453" s="111"/>
      <c r="Q453" s="111"/>
      <c r="R453" s="72"/>
      <c r="S453" s="106"/>
      <c r="T453" s="119"/>
    </row>
    <row r="454" spans="1:20" ht="18.75" customHeight="1" x14ac:dyDescent="0.2">
      <c r="A454" s="104">
        <v>36975</v>
      </c>
      <c r="B454" s="104">
        <v>36989</v>
      </c>
      <c r="C454" s="105">
        <v>14303</v>
      </c>
      <c r="D454" s="106" t="s">
        <v>904</v>
      </c>
      <c r="E454" s="72" t="s">
        <v>905</v>
      </c>
      <c r="F454" s="72" t="s">
        <v>905</v>
      </c>
      <c r="G454" s="72" t="s">
        <v>477</v>
      </c>
      <c r="H454" s="74" t="s">
        <v>349</v>
      </c>
      <c r="I454" s="107">
        <v>85.78</v>
      </c>
      <c r="J454" s="108"/>
      <c r="K454" s="108">
        <v>59.3</v>
      </c>
      <c r="L454" s="108"/>
      <c r="M454" s="104">
        <v>37104</v>
      </c>
      <c r="N454" s="109">
        <v>40025</v>
      </c>
      <c r="O454" s="110"/>
      <c r="P454" s="106"/>
      <c r="Q454" s="106"/>
      <c r="R454" s="72"/>
      <c r="S454" s="111"/>
      <c r="T454" s="72"/>
    </row>
    <row r="455" spans="1:20" ht="18.75" customHeight="1" x14ac:dyDescent="0.2">
      <c r="A455" s="113"/>
      <c r="B455" s="113"/>
      <c r="C455" s="114"/>
      <c r="D455" s="111"/>
      <c r="E455" s="124"/>
      <c r="F455" s="111"/>
      <c r="G455" s="111" t="s">
        <v>353</v>
      </c>
      <c r="H455" s="82"/>
      <c r="I455" s="125"/>
      <c r="J455" s="116"/>
      <c r="K455" s="117"/>
      <c r="L455" s="118"/>
      <c r="M455" s="111"/>
      <c r="N455" s="111"/>
      <c r="O455" s="111"/>
      <c r="P455" s="111"/>
      <c r="Q455" s="111"/>
      <c r="R455" s="72"/>
      <c r="S455" s="106"/>
      <c r="T455" s="119"/>
    </row>
    <row r="456" spans="1:20" ht="18.75" customHeight="1" x14ac:dyDescent="0.2">
      <c r="A456" s="104">
        <v>36975</v>
      </c>
      <c r="B456" s="104">
        <v>36989</v>
      </c>
      <c r="C456" s="105">
        <v>23206</v>
      </c>
      <c r="D456" s="106" t="s">
        <v>906</v>
      </c>
      <c r="E456" s="72" t="s">
        <v>19</v>
      </c>
      <c r="F456" s="72" t="s">
        <v>907</v>
      </c>
      <c r="G456" s="72" t="s">
        <v>908</v>
      </c>
      <c r="H456" s="74" t="s">
        <v>349</v>
      </c>
      <c r="I456" s="107">
        <v>84.33</v>
      </c>
      <c r="J456" s="108"/>
      <c r="K456" s="108">
        <v>61.8</v>
      </c>
      <c r="L456" s="108"/>
      <c r="M456" s="104">
        <v>37165</v>
      </c>
      <c r="N456" s="109">
        <v>40086</v>
      </c>
      <c r="O456" s="110"/>
      <c r="P456" s="106"/>
      <c r="Q456" s="106"/>
      <c r="R456" s="72"/>
      <c r="S456" s="111"/>
      <c r="T456" s="112"/>
    </row>
    <row r="457" spans="1:20" ht="18.75" customHeight="1" x14ac:dyDescent="0.2">
      <c r="A457" s="113"/>
      <c r="B457" s="113"/>
      <c r="C457" s="114"/>
      <c r="D457" s="111"/>
      <c r="E457" s="124"/>
      <c r="F457" s="111"/>
      <c r="G457" s="111" t="s">
        <v>353</v>
      </c>
      <c r="H457" s="82"/>
      <c r="I457" s="125"/>
      <c r="J457" s="116"/>
      <c r="K457" s="117"/>
      <c r="L457" s="118"/>
      <c r="M457" s="111"/>
      <c r="N457" s="111"/>
      <c r="O457" s="111"/>
      <c r="P457" s="111"/>
      <c r="Q457" s="111"/>
      <c r="R457" s="72"/>
      <c r="S457" s="111"/>
      <c r="T457" s="112"/>
    </row>
    <row r="458" spans="1:20" ht="18.75" customHeight="1" x14ac:dyDescent="0.2">
      <c r="A458" s="104">
        <v>36975</v>
      </c>
      <c r="B458" s="104">
        <v>36989</v>
      </c>
      <c r="C458" s="105">
        <v>33406</v>
      </c>
      <c r="D458" s="106" t="s">
        <v>909</v>
      </c>
      <c r="E458" s="72" t="s">
        <v>19</v>
      </c>
      <c r="F458" s="72" t="s">
        <v>910</v>
      </c>
      <c r="G458" s="72" t="s">
        <v>374</v>
      </c>
      <c r="H458" s="74" t="s">
        <v>349</v>
      </c>
      <c r="I458" s="107">
        <v>54.38</v>
      </c>
      <c r="J458" s="108"/>
      <c r="K458" s="108">
        <v>71.099999999999994</v>
      </c>
      <c r="L458" s="108"/>
      <c r="M458" s="104">
        <v>37165</v>
      </c>
      <c r="N458" s="122">
        <v>39021</v>
      </c>
      <c r="O458" s="110"/>
      <c r="P458" s="106"/>
      <c r="Q458" s="106"/>
      <c r="R458" s="72"/>
      <c r="S458" s="106"/>
      <c r="T458" s="119"/>
    </row>
    <row r="459" spans="1:20" ht="18.75" customHeight="1" x14ac:dyDescent="0.2">
      <c r="A459" s="113"/>
      <c r="B459" s="113"/>
      <c r="C459" s="114"/>
      <c r="D459" s="111"/>
      <c r="E459" s="66" t="s">
        <v>83</v>
      </c>
      <c r="F459" s="66" t="s">
        <v>911</v>
      </c>
      <c r="G459" s="66" t="s">
        <v>352</v>
      </c>
      <c r="H459" s="82" t="s">
        <v>349</v>
      </c>
      <c r="I459" s="115">
        <v>45.62</v>
      </c>
      <c r="J459" s="116"/>
      <c r="K459" s="117"/>
      <c r="L459" s="118"/>
      <c r="M459" s="111"/>
      <c r="N459" s="111"/>
      <c r="O459" s="111"/>
      <c r="P459" s="111"/>
      <c r="Q459" s="111"/>
      <c r="R459" s="72"/>
      <c r="S459" s="111"/>
      <c r="T459" s="112"/>
    </row>
    <row r="460" spans="1:20" ht="18.75" customHeight="1" x14ac:dyDescent="0.2">
      <c r="A460" s="113"/>
      <c r="B460" s="113"/>
      <c r="C460" s="114"/>
      <c r="D460" s="111"/>
      <c r="E460" s="124"/>
      <c r="F460" s="111"/>
      <c r="G460" s="111" t="s">
        <v>353</v>
      </c>
      <c r="H460" s="82"/>
      <c r="I460" s="125"/>
      <c r="J460" s="116"/>
      <c r="K460" s="117"/>
      <c r="L460" s="118"/>
      <c r="M460" s="111"/>
      <c r="N460" s="111"/>
      <c r="O460" s="111"/>
      <c r="P460" s="111"/>
      <c r="Q460" s="111"/>
      <c r="R460" s="72"/>
      <c r="S460" s="111"/>
      <c r="T460" s="112"/>
    </row>
    <row r="461" spans="1:20" ht="18.75" customHeight="1" x14ac:dyDescent="0.2">
      <c r="A461" s="104">
        <v>36975</v>
      </c>
      <c r="B461" s="104">
        <v>36989</v>
      </c>
      <c r="C461" s="105">
        <v>33603</v>
      </c>
      <c r="D461" s="106" t="s">
        <v>155</v>
      </c>
      <c r="E461" s="72" t="s">
        <v>19</v>
      </c>
      <c r="F461" s="72" t="s">
        <v>912</v>
      </c>
      <c r="G461" s="72" t="s">
        <v>392</v>
      </c>
      <c r="H461" s="74" t="s">
        <v>349</v>
      </c>
      <c r="I461" s="107">
        <v>43.22</v>
      </c>
      <c r="J461" s="121">
        <v>57.27</v>
      </c>
      <c r="K461" s="108">
        <v>68.900000000000006</v>
      </c>
      <c r="L461" s="108">
        <v>59</v>
      </c>
      <c r="M461" s="104">
        <v>37257</v>
      </c>
      <c r="N461" s="122">
        <v>39963</v>
      </c>
      <c r="O461" s="110"/>
      <c r="P461" s="106"/>
      <c r="Q461" s="106"/>
      <c r="R461" s="72"/>
      <c r="S461" s="111"/>
      <c r="T461" s="112"/>
    </row>
    <row r="462" spans="1:20" ht="18.75" customHeight="1" x14ac:dyDescent="0.2">
      <c r="A462" s="113"/>
      <c r="B462" s="113"/>
      <c r="C462" s="114"/>
      <c r="D462" s="111"/>
      <c r="E462" s="66" t="s">
        <v>21</v>
      </c>
      <c r="F462" s="66" t="s">
        <v>913</v>
      </c>
      <c r="G462" s="66" t="s">
        <v>695</v>
      </c>
      <c r="H462" s="82" t="s">
        <v>349</v>
      </c>
      <c r="I462" s="115">
        <v>42.87</v>
      </c>
      <c r="J462" s="123">
        <v>42.73</v>
      </c>
      <c r="K462" s="117"/>
      <c r="L462" s="118"/>
      <c r="M462" s="111"/>
      <c r="N462" s="111"/>
      <c r="O462" s="111"/>
      <c r="P462" s="111"/>
      <c r="Q462" s="111"/>
      <c r="R462" s="72"/>
      <c r="S462" s="106"/>
      <c r="T462" s="119"/>
    </row>
    <row r="463" spans="1:20" ht="18.75" customHeight="1" x14ac:dyDescent="0.2">
      <c r="A463" s="113"/>
      <c r="B463" s="113"/>
      <c r="C463" s="114"/>
      <c r="D463" s="111"/>
      <c r="E463" s="66" t="s">
        <v>34</v>
      </c>
      <c r="F463" s="66" t="s">
        <v>914</v>
      </c>
      <c r="G463" s="66" t="s">
        <v>915</v>
      </c>
      <c r="H463" s="82" t="s">
        <v>349</v>
      </c>
      <c r="I463" s="115">
        <v>13.91</v>
      </c>
      <c r="J463" s="116"/>
      <c r="K463" s="117"/>
      <c r="L463" s="118"/>
      <c r="M463" s="111"/>
      <c r="N463" s="111"/>
      <c r="O463" s="111"/>
      <c r="P463" s="111"/>
      <c r="Q463" s="111"/>
      <c r="R463" s="72"/>
      <c r="S463" s="111"/>
      <c r="T463" s="112"/>
    </row>
    <row r="464" spans="1:20" ht="18.75" customHeight="1" x14ac:dyDescent="0.2">
      <c r="A464" s="113"/>
      <c r="B464" s="113"/>
      <c r="C464" s="114"/>
      <c r="D464" s="111"/>
      <c r="E464" s="66"/>
      <c r="F464" s="66"/>
      <c r="G464" s="66" t="s">
        <v>353</v>
      </c>
      <c r="H464" s="82"/>
      <c r="I464" s="120"/>
      <c r="J464" s="116"/>
      <c r="K464" s="117"/>
      <c r="L464" s="118"/>
      <c r="M464" s="111"/>
      <c r="N464" s="111"/>
      <c r="O464" s="111"/>
      <c r="P464" s="111"/>
      <c r="Q464" s="111"/>
      <c r="R464" s="72"/>
      <c r="S464" s="111"/>
      <c r="T464" s="112"/>
    </row>
    <row r="465" spans="1:20" ht="18.75" customHeight="1" x14ac:dyDescent="0.2">
      <c r="A465" s="104">
        <v>36989</v>
      </c>
      <c r="B465" s="104">
        <v>37003</v>
      </c>
      <c r="C465" s="105">
        <v>33401</v>
      </c>
      <c r="D465" s="106" t="s">
        <v>916</v>
      </c>
      <c r="E465" s="72" t="s">
        <v>917</v>
      </c>
      <c r="F465" s="72" t="s">
        <v>918</v>
      </c>
      <c r="G465" s="72" t="s">
        <v>516</v>
      </c>
      <c r="H465" s="74" t="s">
        <v>349</v>
      </c>
      <c r="I465" s="107">
        <v>62.43</v>
      </c>
      <c r="J465" s="108"/>
      <c r="K465" s="108">
        <v>67.599999999999994</v>
      </c>
      <c r="L465" s="108"/>
      <c r="M465" s="104">
        <v>37257</v>
      </c>
      <c r="N465" s="109">
        <v>40178</v>
      </c>
      <c r="O465" s="110"/>
      <c r="P465" s="106"/>
      <c r="Q465" s="106"/>
      <c r="R465" s="72"/>
      <c r="S465" s="106"/>
      <c r="T465" s="119"/>
    </row>
    <row r="466" spans="1:20" ht="18.75" customHeight="1" x14ac:dyDescent="0.2">
      <c r="A466" s="113"/>
      <c r="B466" s="113"/>
      <c r="C466" s="114"/>
      <c r="D466" s="111"/>
      <c r="E466" s="66" t="s">
        <v>19</v>
      </c>
      <c r="F466" s="66" t="s">
        <v>919</v>
      </c>
      <c r="G466" s="66" t="s">
        <v>474</v>
      </c>
      <c r="H466" s="82" t="s">
        <v>349</v>
      </c>
      <c r="I466" s="115">
        <v>37.57</v>
      </c>
      <c r="J466" s="116"/>
      <c r="K466" s="117"/>
      <c r="L466" s="118"/>
      <c r="M466" s="111"/>
      <c r="N466" s="111"/>
      <c r="O466" s="111"/>
      <c r="P466" s="111"/>
      <c r="Q466" s="111"/>
      <c r="R466" s="72"/>
      <c r="S466" s="111"/>
      <c r="T466" s="112"/>
    </row>
    <row r="467" spans="1:20" ht="18.75" customHeight="1" x14ac:dyDescent="0.2">
      <c r="A467" s="113"/>
      <c r="B467" s="113"/>
      <c r="C467" s="114"/>
      <c r="D467" s="111"/>
      <c r="E467" s="66"/>
      <c r="F467" s="66"/>
      <c r="G467" s="66" t="s">
        <v>353</v>
      </c>
      <c r="H467" s="82"/>
      <c r="I467" s="120"/>
      <c r="J467" s="116"/>
      <c r="K467" s="117"/>
      <c r="L467" s="118"/>
      <c r="M467" s="111"/>
      <c r="N467" s="111"/>
      <c r="O467" s="111"/>
      <c r="P467" s="111"/>
      <c r="Q467" s="111"/>
      <c r="R467" s="72"/>
      <c r="S467" s="111"/>
      <c r="T467" s="112"/>
    </row>
    <row r="468" spans="1:20" ht="18.75" customHeight="1" x14ac:dyDescent="0.2">
      <c r="A468" s="104">
        <v>37010</v>
      </c>
      <c r="B468" s="104">
        <v>37024</v>
      </c>
      <c r="C468" s="105">
        <v>33903</v>
      </c>
      <c r="D468" s="106" t="s">
        <v>920</v>
      </c>
      <c r="E468" s="72" t="s">
        <v>921</v>
      </c>
      <c r="F468" s="72" t="s">
        <v>921</v>
      </c>
      <c r="G468" s="72" t="s">
        <v>516</v>
      </c>
      <c r="H468" s="74" t="s">
        <v>349</v>
      </c>
      <c r="I468" s="107">
        <v>58.85</v>
      </c>
      <c r="J468" s="108"/>
      <c r="K468" s="108">
        <v>53.1</v>
      </c>
      <c r="L468" s="108"/>
      <c r="M468" s="104">
        <v>37257</v>
      </c>
      <c r="N468" s="109">
        <v>40178</v>
      </c>
      <c r="O468" s="110"/>
      <c r="P468" s="106"/>
      <c r="Q468" s="106"/>
      <c r="R468" s="72"/>
      <c r="S468" s="111"/>
      <c r="T468" s="72"/>
    </row>
    <row r="469" spans="1:20" ht="18.75" customHeight="1" x14ac:dyDescent="0.2">
      <c r="A469" s="113"/>
      <c r="B469" s="113"/>
      <c r="C469" s="114"/>
      <c r="D469" s="111"/>
      <c r="E469" s="66" t="s">
        <v>19</v>
      </c>
      <c r="F469" s="66" t="s">
        <v>922</v>
      </c>
      <c r="G469" s="66" t="s">
        <v>440</v>
      </c>
      <c r="H469" s="82" t="s">
        <v>349</v>
      </c>
      <c r="I469" s="115">
        <v>38.869999999999997</v>
      </c>
      <c r="J469" s="116"/>
      <c r="K469" s="117"/>
      <c r="L469" s="118"/>
      <c r="M469" s="111"/>
      <c r="N469" s="111"/>
      <c r="O469" s="111"/>
      <c r="P469" s="111"/>
      <c r="Q469" s="111"/>
      <c r="R469" s="72"/>
      <c r="S469" s="106"/>
      <c r="T469" s="119"/>
    </row>
    <row r="470" spans="1:20" ht="18.75" customHeight="1" x14ac:dyDescent="0.2">
      <c r="A470" s="113"/>
      <c r="B470" s="113"/>
      <c r="C470" s="114"/>
      <c r="D470" s="111"/>
      <c r="E470" s="66" t="s">
        <v>38</v>
      </c>
      <c r="F470" s="66" t="s">
        <v>923</v>
      </c>
      <c r="G470" s="66" t="s">
        <v>924</v>
      </c>
      <c r="H470" s="82" t="s">
        <v>349</v>
      </c>
      <c r="I470" s="115">
        <v>2.27</v>
      </c>
      <c r="J470" s="116"/>
      <c r="K470" s="117"/>
      <c r="L470" s="118"/>
      <c r="M470" s="111"/>
      <c r="N470" s="111"/>
      <c r="O470" s="111"/>
      <c r="P470" s="111"/>
      <c r="Q470" s="111"/>
      <c r="R470" s="72"/>
      <c r="S470" s="111"/>
      <c r="T470" s="112"/>
    </row>
    <row r="471" spans="1:20" ht="18.75" customHeight="1" x14ac:dyDescent="0.2">
      <c r="A471" s="113"/>
      <c r="B471" s="113"/>
      <c r="C471" s="114"/>
      <c r="D471" s="111"/>
      <c r="E471" s="66"/>
      <c r="F471" s="66"/>
      <c r="G471" s="66" t="s">
        <v>353</v>
      </c>
      <c r="H471" s="82"/>
      <c r="I471" s="120"/>
      <c r="J471" s="116"/>
      <c r="K471" s="117"/>
      <c r="L471" s="118"/>
      <c r="M471" s="111"/>
      <c r="N471" s="111"/>
      <c r="O471" s="111"/>
      <c r="P471" s="111"/>
      <c r="Q471" s="111"/>
      <c r="R471" s="72"/>
      <c r="S471" s="111"/>
      <c r="T471" s="112"/>
    </row>
    <row r="472" spans="1:20" ht="18.75" customHeight="1" x14ac:dyDescent="0.2">
      <c r="A472" s="104">
        <v>37010</v>
      </c>
      <c r="B472" s="104">
        <v>37024</v>
      </c>
      <c r="C472" s="105">
        <v>33904</v>
      </c>
      <c r="D472" s="106" t="s">
        <v>925</v>
      </c>
      <c r="E472" s="72" t="s">
        <v>19</v>
      </c>
      <c r="F472" s="72" t="s">
        <v>926</v>
      </c>
      <c r="G472" s="72" t="s">
        <v>927</v>
      </c>
      <c r="H472" s="74" t="s">
        <v>349</v>
      </c>
      <c r="I472" s="107">
        <v>43.67</v>
      </c>
      <c r="J472" s="121">
        <v>50.46</v>
      </c>
      <c r="K472" s="108">
        <v>54.9</v>
      </c>
      <c r="L472" s="108">
        <v>54.1</v>
      </c>
      <c r="M472" s="104">
        <v>37257</v>
      </c>
      <c r="N472" s="109">
        <v>39970</v>
      </c>
      <c r="O472" s="110"/>
      <c r="P472" s="106"/>
      <c r="Q472" s="106"/>
      <c r="R472" s="72"/>
      <c r="S472" s="111"/>
      <c r="T472" s="112"/>
    </row>
    <row r="473" spans="1:20" ht="18.75" customHeight="1" x14ac:dyDescent="0.2">
      <c r="A473" s="113"/>
      <c r="B473" s="113"/>
      <c r="C473" s="114"/>
      <c r="D473" s="111"/>
      <c r="E473" s="66" t="s">
        <v>21</v>
      </c>
      <c r="F473" s="66" t="s">
        <v>928</v>
      </c>
      <c r="G473" s="66" t="s">
        <v>562</v>
      </c>
      <c r="H473" s="82" t="s">
        <v>349</v>
      </c>
      <c r="I473" s="115">
        <v>38.89</v>
      </c>
      <c r="J473" s="123">
        <v>49.54</v>
      </c>
      <c r="K473" s="117"/>
      <c r="L473" s="118"/>
      <c r="M473" s="111"/>
      <c r="N473" s="111"/>
      <c r="O473" s="111"/>
      <c r="P473" s="111"/>
      <c r="Q473" s="111"/>
      <c r="R473" s="72"/>
      <c r="S473" s="111"/>
      <c r="T473" s="112"/>
    </row>
    <row r="474" spans="1:20" ht="18.75" customHeight="1" x14ac:dyDescent="0.2">
      <c r="A474" s="113"/>
      <c r="B474" s="113"/>
      <c r="C474" s="114"/>
      <c r="D474" s="111"/>
      <c r="E474" s="66" t="s">
        <v>428</v>
      </c>
      <c r="F474" s="66" t="s">
        <v>428</v>
      </c>
      <c r="G474" s="66" t="s">
        <v>379</v>
      </c>
      <c r="H474" s="82" t="s">
        <v>349</v>
      </c>
      <c r="I474" s="115">
        <v>7.31</v>
      </c>
      <c r="J474" s="116"/>
      <c r="K474" s="117"/>
      <c r="L474" s="118"/>
      <c r="M474" s="111"/>
      <c r="N474" s="111"/>
      <c r="O474" s="111"/>
      <c r="P474" s="111"/>
      <c r="Q474" s="111"/>
      <c r="R474" s="72"/>
      <c r="S474" s="111"/>
      <c r="T474" s="72"/>
    </row>
    <row r="475" spans="1:20" ht="18.75" customHeight="1" x14ac:dyDescent="0.2">
      <c r="A475" s="113"/>
      <c r="B475" s="113"/>
      <c r="C475" s="114"/>
      <c r="D475" s="111"/>
      <c r="E475" s="66" t="s">
        <v>83</v>
      </c>
      <c r="F475" s="66" t="s">
        <v>276</v>
      </c>
      <c r="G475" s="66" t="s">
        <v>352</v>
      </c>
      <c r="H475" s="82" t="s">
        <v>349</v>
      </c>
      <c r="I475" s="115">
        <v>6.73</v>
      </c>
      <c r="J475" s="116"/>
      <c r="K475" s="117"/>
      <c r="L475" s="118"/>
      <c r="M475" s="111"/>
      <c r="N475" s="111"/>
      <c r="O475" s="111"/>
      <c r="P475" s="111"/>
      <c r="Q475" s="111"/>
      <c r="R475" s="72"/>
      <c r="S475" s="106"/>
      <c r="T475" s="119"/>
    </row>
    <row r="476" spans="1:20" ht="18.75" customHeight="1" x14ac:dyDescent="0.2">
      <c r="A476" s="113"/>
      <c r="B476" s="113"/>
      <c r="C476" s="114"/>
      <c r="D476" s="111"/>
      <c r="E476" s="66" t="s">
        <v>929</v>
      </c>
      <c r="F476" s="66" t="s">
        <v>929</v>
      </c>
      <c r="G476" s="66" t="s">
        <v>723</v>
      </c>
      <c r="H476" s="82" t="s">
        <v>349</v>
      </c>
      <c r="I476" s="115">
        <v>3.4</v>
      </c>
      <c r="J476" s="116"/>
      <c r="K476" s="117"/>
      <c r="L476" s="118"/>
      <c r="M476" s="111"/>
      <c r="N476" s="111"/>
      <c r="O476" s="111"/>
      <c r="P476" s="111"/>
      <c r="Q476" s="111"/>
      <c r="R476" s="72"/>
      <c r="S476" s="111"/>
      <c r="T476" s="72"/>
    </row>
    <row r="477" spans="1:20" ht="18.75" customHeight="1" x14ac:dyDescent="0.2">
      <c r="A477" s="113"/>
      <c r="B477" s="113"/>
      <c r="C477" s="114"/>
      <c r="D477" s="111"/>
      <c r="E477" s="66"/>
      <c r="F477" s="66"/>
      <c r="G477" s="66" t="s">
        <v>353</v>
      </c>
      <c r="H477" s="82"/>
      <c r="I477" s="120"/>
      <c r="J477" s="116"/>
      <c r="K477" s="117"/>
      <c r="L477" s="118"/>
      <c r="M477" s="111"/>
      <c r="N477" s="111"/>
      <c r="O477" s="111"/>
      <c r="P477" s="111"/>
      <c r="Q477" s="111"/>
      <c r="R477" s="72"/>
      <c r="S477" s="111"/>
      <c r="T477" s="112"/>
    </row>
    <row r="478" spans="1:20" ht="18.75" customHeight="1" x14ac:dyDescent="0.2">
      <c r="A478" s="104">
        <v>37017</v>
      </c>
      <c r="B478" s="104">
        <v>37031</v>
      </c>
      <c r="C478" s="105">
        <v>14102</v>
      </c>
      <c r="D478" s="106" t="s">
        <v>930</v>
      </c>
      <c r="E478" s="72" t="s">
        <v>19</v>
      </c>
      <c r="F478" s="72" t="s">
        <v>551</v>
      </c>
      <c r="G478" s="72" t="s">
        <v>368</v>
      </c>
      <c r="H478" s="74" t="s">
        <v>349</v>
      </c>
      <c r="I478" s="107">
        <v>32.25</v>
      </c>
      <c r="J478" s="121">
        <v>51.9</v>
      </c>
      <c r="K478" s="108">
        <v>65</v>
      </c>
      <c r="L478" s="108">
        <v>62.3</v>
      </c>
      <c r="M478" s="104">
        <v>37257</v>
      </c>
      <c r="N478" s="109">
        <v>40178</v>
      </c>
      <c r="O478" s="110"/>
      <c r="P478" s="106"/>
      <c r="Q478" s="106"/>
      <c r="R478" s="72"/>
      <c r="S478" s="111"/>
      <c r="T478" s="112"/>
    </row>
    <row r="479" spans="1:20" ht="18.75" customHeight="1" x14ac:dyDescent="0.2">
      <c r="A479" s="113"/>
      <c r="B479" s="113"/>
      <c r="C479" s="114"/>
      <c r="D479" s="111"/>
      <c r="E479" s="66" t="s">
        <v>21</v>
      </c>
      <c r="F479" s="66" t="s">
        <v>931</v>
      </c>
      <c r="G479" s="66" t="s">
        <v>776</v>
      </c>
      <c r="H479" s="82" t="s">
        <v>349</v>
      </c>
      <c r="I479" s="115">
        <v>42.66</v>
      </c>
      <c r="J479" s="123">
        <v>48.1</v>
      </c>
      <c r="K479" s="117"/>
      <c r="L479" s="118"/>
      <c r="M479" s="111"/>
      <c r="N479" s="111"/>
      <c r="O479" s="111"/>
      <c r="P479" s="111"/>
      <c r="Q479" s="111"/>
      <c r="R479" s="72"/>
      <c r="S479" s="106"/>
      <c r="T479" s="119"/>
    </row>
    <row r="480" spans="1:20" ht="18.75" customHeight="1" x14ac:dyDescent="0.2">
      <c r="A480" s="113"/>
      <c r="B480" s="113"/>
      <c r="C480" s="114"/>
      <c r="D480" s="111"/>
      <c r="E480" s="66" t="s">
        <v>83</v>
      </c>
      <c r="F480" s="66" t="s">
        <v>932</v>
      </c>
      <c r="G480" s="66" t="s">
        <v>481</v>
      </c>
      <c r="H480" s="82" t="s">
        <v>349</v>
      </c>
      <c r="I480" s="115">
        <v>25.09</v>
      </c>
      <c r="J480" s="116"/>
      <c r="K480" s="117"/>
      <c r="L480" s="118"/>
      <c r="M480" s="111"/>
      <c r="N480" s="111"/>
      <c r="O480" s="111"/>
      <c r="P480" s="111"/>
      <c r="Q480" s="111"/>
      <c r="R480" s="72"/>
      <c r="S480" s="111"/>
      <c r="T480" s="112"/>
    </row>
    <row r="481" spans="1:20" ht="18.75" customHeight="1" x14ac:dyDescent="0.2">
      <c r="A481" s="113"/>
      <c r="B481" s="113"/>
      <c r="C481" s="114"/>
      <c r="D481" s="111"/>
      <c r="E481" s="66"/>
      <c r="F481" s="66"/>
      <c r="G481" s="66" t="s">
        <v>353</v>
      </c>
      <c r="H481" s="82"/>
      <c r="I481" s="120"/>
      <c r="J481" s="116"/>
      <c r="K481" s="117"/>
      <c r="L481" s="118"/>
      <c r="M481" s="111"/>
      <c r="N481" s="111"/>
      <c r="O481" s="111"/>
      <c r="P481" s="111"/>
      <c r="Q481" s="111"/>
      <c r="R481" s="72"/>
      <c r="S481" s="111"/>
      <c r="T481" s="112"/>
    </row>
    <row r="482" spans="1:20" ht="18.75" customHeight="1" x14ac:dyDescent="0.2">
      <c r="A482" s="104">
        <v>37017</v>
      </c>
      <c r="B482" s="104">
        <v>37031</v>
      </c>
      <c r="C482" s="105">
        <v>23103</v>
      </c>
      <c r="D482" s="106" t="s">
        <v>933</v>
      </c>
      <c r="E482" s="72" t="s">
        <v>19</v>
      </c>
      <c r="F482" s="72" t="s">
        <v>766</v>
      </c>
      <c r="G482" s="72" t="s">
        <v>348</v>
      </c>
      <c r="H482" s="74" t="s">
        <v>349</v>
      </c>
      <c r="I482" s="107">
        <v>65.56</v>
      </c>
      <c r="J482" s="108"/>
      <c r="K482" s="108">
        <v>58.1</v>
      </c>
      <c r="L482" s="108"/>
      <c r="M482" s="104">
        <v>37257</v>
      </c>
      <c r="N482" s="109">
        <v>40178</v>
      </c>
      <c r="O482" s="110"/>
      <c r="P482" s="106"/>
      <c r="Q482" s="106"/>
      <c r="R482" s="72"/>
      <c r="S482" s="111"/>
      <c r="T482" s="112"/>
    </row>
    <row r="483" spans="1:20" ht="18.75" customHeight="1" x14ac:dyDescent="0.2">
      <c r="A483" s="113"/>
      <c r="B483" s="113"/>
      <c r="C483" s="114"/>
      <c r="D483" s="111"/>
      <c r="E483" s="66" t="s">
        <v>21</v>
      </c>
      <c r="F483" s="66" t="s">
        <v>934</v>
      </c>
      <c r="G483" s="66" t="s">
        <v>935</v>
      </c>
      <c r="H483" s="82" t="s">
        <v>349</v>
      </c>
      <c r="I483" s="115">
        <v>24.72</v>
      </c>
      <c r="J483" s="116"/>
      <c r="K483" s="117"/>
      <c r="L483" s="118"/>
      <c r="M483" s="111"/>
      <c r="N483" s="111"/>
      <c r="O483" s="111"/>
      <c r="P483" s="111"/>
      <c r="Q483" s="111"/>
      <c r="R483" s="72"/>
      <c r="S483" s="106"/>
      <c r="T483" s="119"/>
    </row>
    <row r="484" spans="1:20" ht="18.75" customHeight="1" x14ac:dyDescent="0.2">
      <c r="A484" s="113"/>
      <c r="B484" s="113"/>
      <c r="C484" s="114"/>
      <c r="D484" s="111"/>
      <c r="E484" s="66" t="s">
        <v>936</v>
      </c>
      <c r="F484" s="66" t="s">
        <v>936</v>
      </c>
      <c r="G484" s="66" t="s">
        <v>516</v>
      </c>
      <c r="H484" s="82" t="s">
        <v>349</v>
      </c>
      <c r="I484" s="115">
        <v>9.73</v>
      </c>
      <c r="J484" s="116"/>
      <c r="K484" s="117"/>
      <c r="L484" s="118"/>
      <c r="M484" s="111"/>
      <c r="N484" s="111"/>
      <c r="O484" s="111"/>
      <c r="P484" s="111"/>
      <c r="Q484" s="111"/>
      <c r="R484" s="72"/>
      <c r="S484" s="111"/>
      <c r="T484" s="72"/>
    </row>
    <row r="485" spans="1:20" ht="18.75" customHeight="1" x14ac:dyDescent="0.2">
      <c r="A485" s="113"/>
      <c r="B485" s="113"/>
      <c r="C485" s="114"/>
      <c r="D485" s="111"/>
      <c r="E485" s="124"/>
      <c r="F485" s="111"/>
      <c r="G485" s="111" t="s">
        <v>353</v>
      </c>
      <c r="H485" s="82"/>
      <c r="I485" s="125"/>
      <c r="J485" s="116"/>
      <c r="K485" s="117"/>
      <c r="L485" s="118"/>
      <c r="M485" s="111"/>
      <c r="N485" s="111"/>
      <c r="O485" s="111"/>
      <c r="P485" s="111"/>
      <c r="Q485" s="111"/>
      <c r="R485" s="72"/>
      <c r="S485" s="111"/>
      <c r="T485" s="112"/>
    </row>
    <row r="486" spans="1:20" ht="18.75" customHeight="1" x14ac:dyDescent="0.2">
      <c r="A486" s="104">
        <v>37017</v>
      </c>
      <c r="B486" s="104">
        <v>37031</v>
      </c>
      <c r="C486" s="105">
        <v>23107</v>
      </c>
      <c r="D486" s="106" t="s">
        <v>937</v>
      </c>
      <c r="E486" s="72" t="s">
        <v>19</v>
      </c>
      <c r="F486" s="72" t="s">
        <v>938</v>
      </c>
      <c r="G486" s="72" t="s">
        <v>371</v>
      </c>
      <c r="H486" s="74" t="s">
        <v>349</v>
      </c>
      <c r="I486" s="107">
        <v>50.15</v>
      </c>
      <c r="J486" s="108"/>
      <c r="K486" s="108">
        <v>57.9</v>
      </c>
      <c r="L486" s="108"/>
      <c r="M486" s="104">
        <v>37257</v>
      </c>
      <c r="N486" s="109">
        <v>40178</v>
      </c>
      <c r="O486" s="110"/>
      <c r="P486" s="106"/>
      <c r="Q486" s="106"/>
      <c r="R486" s="72"/>
      <c r="S486" s="111"/>
      <c r="T486" s="112"/>
    </row>
    <row r="487" spans="1:20" ht="18.75" customHeight="1" x14ac:dyDescent="0.2">
      <c r="A487" s="113"/>
      <c r="B487" s="113"/>
      <c r="C487" s="114"/>
      <c r="D487" s="111"/>
      <c r="E487" s="66" t="s">
        <v>21</v>
      </c>
      <c r="F487" s="66" t="s">
        <v>938</v>
      </c>
      <c r="G487" s="66" t="s">
        <v>416</v>
      </c>
      <c r="H487" s="82" t="s">
        <v>349</v>
      </c>
      <c r="I487" s="115">
        <v>27.44</v>
      </c>
      <c r="J487" s="116"/>
      <c r="K487" s="117"/>
      <c r="L487" s="118"/>
      <c r="M487" s="111"/>
      <c r="N487" s="111"/>
      <c r="O487" s="111"/>
      <c r="P487" s="111"/>
      <c r="Q487" s="111"/>
      <c r="R487" s="72"/>
      <c r="S487" s="106"/>
      <c r="T487" s="119"/>
    </row>
    <row r="488" spans="1:20" ht="18.75" customHeight="1" x14ac:dyDescent="0.2">
      <c r="A488" s="113"/>
      <c r="B488" s="113"/>
      <c r="C488" s="114"/>
      <c r="D488" s="111"/>
      <c r="E488" s="66" t="s">
        <v>939</v>
      </c>
      <c r="F488" s="66" t="s">
        <v>939</v>
      </c>
      <c r="G488" s="66" t="s">
        <v>940</v>
      </c>
      <c r="H488" s="82" t="s">
        <v>349</v>
      </c>
      <c r="I488" s="115">
        <v>22.41</v>
      </c>
      <c r="J488" s="116"/>
      <c r="K488" s="117"/>
      <c r="L488" s="118"/>
      <c r="M488" s="111"/>
      <c r="N488" s="111"/>
      <c r="O488" s="111"/>
      <c r="P488" s="111"/>
      <c r="Q488" s="111"/>
      <c r="R488" s="72"/>
      <c r="S488" s="111"/>
      <c r="T488" s="72"/>
    </row>
    <row r="489" spans="1:20" ht="18.75" customHeight="1" x14ac:dyDescent="0.2">
      <c r="A489" s="113"/>
      <c r="B489" s="113"/>
      <c r="C489" s="114"/>
      <c r="D489" s="111"/>
      <c r="E489" s="124"/>
      <c r="F489" s="111"/>
      <c r="G489" s="111" t="s">
        <v>353</v>
      </c>
      <c r="H489" s="82"/>
      <c r="I489" s="125"/>
      <c r="J489" s="116"/>
      <c r="K489" s="117"/>
      <c r="L489" s="118"/>
      <c r="M489" s="111"/>
      <c r="N489" s="111"/>
      <c r="O489" s="111"/>
      <c r="P489" s="111"/>
      <c r="Q489" s="111"/>
      <c r="R489" s="72"/>
      <c r="S489" s="111"/>
      <c r="T489" s="112"/>
    </row>
    <row r="490" spans="1:20" ht="18.75" customHeight="1" x14ac:dyDescent="0.2">
      <c r="A490" s="104">
        <v>37017</v>
      </c>
      <c r="B490" s="104">
        <v>37031</v>
      </c>
      <c r="C490" s="105">
        <v>23108</v>
      </c>
      <c r="D490" s="106" t="s">
        <v>941</v>
      </c>
      <c r="E490" s="72" t="s">
        <v>19</v>
      </c>
      <c r="F490" s="72" t="s">
        <v>942</v>
      </c>
      <c r="G490" s="72" t="s">
        <v>899</v>
      </c>
      <c r="H490" s="74" t="s">
        <v>349</v>
      </c>
      <c r="I490" s="107">
        <v>69.900000000000006</v>
      </c>
      <c r="J490" s="108"/>
      <c r="K490" s="108">
        <v>35.299999999999997</v>
      </c>
      <c r="L490" s="108"/>
      <c r="M490" s="104">
        <v>37165</v>
      </c>
      <c r="N490" s="109">
        <v>40086</v>
      </c>
      <c r="O490" s="110"/>
      <c r="P490" s="106"/>
      <c r="Q490" s="106"/>
      <c r="R490" s="72"/>
      <c r="S490" s="106"/>
      <c r="T490" s="119"/>
    </row>
    <row r="491" spans="1:20" ht="18.75" customHeight="1" x14ac:dyDescent="0.2">
      <c r="A491" s="113"/>
      <c r="B491" s="113"/>
      <c r="C491" s="114"/>
      <c r="D491" s="111"/>
      <c r="E491" s="66" t="s">
        <v>21</v>
      </c>
      <c r="F491" s="66" t="s">
        <v>943</v>
      </c>
      <c r="G491" s="66" t="s">
        <v>556</v>
      </c>
      <c r="H491" s="82" t="s">
        <v>349</v>
      </c>
      <c r="I491" s="115">
        <v>30.1</v>
      </c>
      <c r="J491" s="116"/>
      <c r="K491" s="117"/>
      <c r="L491" s="118"/>
      <c r="M491" s="111"/>
      <c r="N491" s="111"/>
      <c r="O491" s="111"/>
      <c r="P491" s="111"/>
      <c r="Q491" s="111"/>
      <c r="R491" s="72"/>
      <c r="S491" s="111"/>
      <c r="T491" s="112"/>
    </row>
    <row r="492" spans="1:20" ht="18.75" customHeight="1" x14ac:dyDescent="0.2">
      <c r="A492" s="113"/>
      <c r="B492" s="113"/>
      <c r="C492" s="114"/>
      <c r="D492" s="111"/>
      <c r="E492" s="124"/>
      <c r="F492" s="111"/>
      <c r="G492" s="111" t="s">
        <v>353</v>
      </c>
      <c r="H492" s="82"/>
      <c r="I492" s="125"/>
      <c r="J492" s="116"/>
      <c r="K492" s="117"/>
      <c r="L492" s="118"/>
      <c r="M492" s="111"/>
      <c r="N492" s="111"/>
      <c r="O492" s="111"/>
      <c r="P492" s="111"/>
      <c r="Q492" s="111"/>
      <c r="R492" s="72"/>
      <c r="S492" s="111"/>
      <c r="T492" s="112"/>
    </row>
    <row r="493" spans="1:20" ht="18.75" customHeight="1" x14ac:dyDescent="0.2">
      <c r="A493" s="104">
        <v>37017</v>
      </c>
      <c r="B493" s="104">
        <v>37031</v>
      </c>
      <c r="C493" s="105">
        <v>33202</v>
      </c>
      <c r="D493" s="106" t="s">
        <v>944</v>
      </c>
      <c r="E493" s="72" t="s">
        <v>21</v>
      </c>
      <c r="F493" s="72" t="s">
        <v>945</v>
      </c>
      <c r="G493" s="72" t="s">
        <v>348</v>
      </c>
      <c r="H493" s="74" t="s">
        <v>349</v>
      </c>
      <c r="I493" s="107">
        <v>53.97</v>
      </c>
      <c r="J493" s="108"/>
      <c r="K493" s="108">
        <v>47.4</v>
      </c>
      <c r="L493" s="108"/>
      <c r="M493" s="104">
        <v>37257</v>
      </c>
      <c r="N493" s="109">
        <v>40178</v>
      </c>
      <c r="O493" s="110"/>
      <c r="P493" s="106"/>
      <c r="Q493" s="106"/>
      <c r="R493" s="72"/>
      <c r="S493" s="106"/>
      <c r="T493" s="119"/>
    </row>
    <row r="494" spans="1:20" ht="18.75" customHeight="1" x14ac:dyDescent="0.2">
      <c r="A494" s="113"/>
      <c r="B494" s="113"/>
      <c r="C494" s="114"/>
      <c r="D494" s="111"/>
      <c r="E494" s="66" t="s">
        <v>19</v>
      </c>
      <c r="F494" s="66" t="s">
        <v>946</v>
      </c>
      <c r="G494" s="66" t="s">
        <v>947</v>
      </c>
      <c r="H494" s="82" t="s">
        <v>349</v>
      </c>
      <c r="I494" s="115">
        <v>46.03</v>
      </c>
      <c r="J494" s="116"/>
      <c r="K494" s="117"/>
      <c r="L494" s="118"/>
      <c r="M494" s="111"/>
      <c r="N494" s="111"/>
      <c r="O494" s="111"/>
      <c r="P494" s="111"/>
      <c r="Q494" s="111"/>
      <c r="R494" s="72"/>
      <c r="S494" s="111"/>
      <c r="T494" s="112"/>
    </row>
    <row r="495" spans="1:20" ht="18.75" customHeight="1" x14ac:dyDescent="0.2">
      <c r="A495" s="113"/>
      <c r="B495" s="113"/>
      <c r="C495" s="114"/>
      <c r="D495" s="111"/>
      <c r="E495" s="66"/>
      <c r="F495" s="66"/>
      <c r="G495" s="66" t="s">
        <v>353</v>
      </c>
      <c r="H495" s="82"/>
      <c r="I495" s="120"/>
      <c r="J495" s="116"/>
      <c r="K495" s="117"/>
      <c r="L495" s="118"/>
      <c r="M495" s="111"/>
      <c r="N495" s="111"/>
      <c r="O495" s="111"/>
      <c r="P495" s="111"/>
      <c r="Q495" s="111"/>
      <c r="R495" s="72"/>
      <c r="S495" s="111"/>
      <c r="T495" s="112"/>
    </row>
    <row r="496" spans="1:20" ht="18.75" customHeight="1" x14ac:dyDescent="0.2">
      <c r="A496" s="104">
        <v>37017</v>
      </c>
      <c r="B496" s="104">
        <v>37031</v>
      </c>
      <c r="C496" s="105">
        <v>34004</v>
      </c>
      <c r="D496" s="106" t="s">
        <v>948</v>
      </c>
      <c r="E496" s="72" t="s">
        <v>19</v>
      </c>
      <c r="F496" s="72" t="s">
        <v>533</v>
      </c>
      <c r="G496" s="72" t="s">
        <v>368</v>
      </c>
      <c r="H496" s="74" t="s">
        <v>349</v>
      </c>
      <c r="I496" s="107">
        <v>55.18</v>
      </c>
      <c r="J496" s="108"/>
      <c r="K496" s="108">
        <v>51.9</v>
      </c>
      <c r="L496" s="108"/>
      <c r="M496" s="104">
        <v>37257</v>
      </c>
      <c r="N496" s="109">
        <v>40178</v>
      </c>
      <c r="O496" s="110"/>
      <c r="P496" s="106"/>
      <c r="Q496" s="106"/>
      <c r="R496" s="72"/>
      <c r="S496" s="111"/>
      <c r="T496" s="112"/>
    </row>
    <row r="497" spans="1:20" ht="18.75" customHeight="1" x14ac:dyDescent="0.2">
      <c r="A497" s="113"/>
      <c r="B497" s="113"/>
      <c r="C497" s="114"/>
      <c r="D497" s="111"/>
      <c r="E497" s="66" t="s">
        <v>21</v>
      </c>
      <c r="F497" s="66" t="s">
        <v>949</v>
      </c>
      <c r="G497" s="66" t="s">
        <v>358</v>
      </c>
      <c r="H497" s="82" t="s">
        <v>349</v>
      </c>
      <c r="I497" s="115">
        <v>25.02</v>
      </c>
      <c r="J497" s="116"/>
      <c r="K497" s="117"/>
      <c r="L497" s="118"/>
      <c r="M497" s="111"/>
      <c r="N497" s="111"/>
      <c r="O497" s="111"/>
      <c r="P497" s="111"/>
      <c r="Q497" s="111"/>
      <c r="R497" s="72"/>
      <c r="S497" s="111"/>
      <c r="T497" s="112"/>
    </row>
    <row r="498" spans="1:20" ht="18.75" customHeight="1" x14ac:dyDescent="0.2">
      <c r="A498" s="113"/>
      <c r="B498" s="113"/>
      <c r="C498" s="114"/>
      <c r="D498" s="111"/>
      <c r="E498" s="66" t="s">
        <v>950</v>
      </c>
      <c r="F498" s="66" t="s">
        <v>951</v>
      </c>
      <c r="G498" s="66" t="s">
        <v>389</v>
      </c>
      <c r="H498" s="82" t="s">
        <v>349</v>
      </c>
      <c r="I498" s="115">
        <v>15.32</v>
      </c>
      <c r="J498" s="116"/>
      <c r="K498" s="117"/>
      <c r="L498" s="118"/>
      <c r="M498" s="111"/>
      <c r="N498" s="111"/>
      <c r="O498" s="111"/>
      <c r="P498" s="111"/>
      <c r="Q498" s="111"/>
      <c r="R498" s="72"/>
      <c r="S498" s="106"/>
      <c r="T498" s="119"/>
    </row>
    <row r="499" spans="1:20" ht="18.75" customHeight="1" x14ac:dyDescent="0.2">
      <c r="A499" s="113"/>
      <c r="B499" s="113"/>
      <c r="C499" s="114"/>
      <c r="D499" s="111"/>
      <c r="E499" s="66" t="s">
        <v>952</v>
      </c>
      <c r="F499" s="66" t="s">
        <v>952</v>
      </c>
      <c r="G499" s="66" t="s">
        <v>407</v>
      </c>
      <c r="H499" s="82" t="s">
        <v>349</v>
      </c>
      <c r="I499" s="115">
        <v>4.4800000000000004</v>
      </c>
      <c r="J499" s="116"/>
      <c r="K499" s="117"/>
      <c r="L499" s="118"/>
      <c r="M499" s="111"/>
      <c r="N499" s="111"/>
      <c r="O499" s="111"/>
      <c r="P499" s="111"/>
      <c r="Q499" s="111"/>
      <c r="R499" s="72"/>
      <c r="S499" s="111"/>
      <c r="T499" s="72"/>
    </row>
    <row r="500" spans="1:20" ht="18.75" customHeight="1" x14ac:dyDescent="0.2">
      <c r="A500" s="113"/>
      <c r="B500" s="113"/>
      <c r="C500" s="114"/>
      <c r="D500" s="111"/>
      <c r="E500" s="66"/>
      <c r="F500" s="66"/>
      <c r="G500" s="66" t="s">
        <v>353</v>
      </c>
      <c r="H500" s="82"/>
      <c r="I500" s="120"/>
      <c r="J500" s="116"/>
      <c r="K500" s="117"/>
      <c r="L500" s="118"/>
      <c r="M500" s="111"/>
      <c r="N500" s="111"/>
      <c r="O500" s="111"/>
      <c r="P500" s="111"/>
      <c r="Q500" s="111"/>
      <c r="R500" s="72"/>
      <c r="S500" s="111"/>
      <c r="T500" s="112"/>
    </row>
    <row r="501" spans="1:20" ht="18.75" customHeight="1" x14ac:dyDescent="0.2">
      <c r="A501" s="104">
        <v>37017</v>
      </c>
      <c r="B501" s="104">
        <v>37031</v>
      </c>
      <c r="C501" s="105">
        <v>34008</v>
      </c>
      <c r="D501" s="106" t="s">
        <v>953</v>
      </c>
      <c r="E501" s="72" t="s">
        <v>21</v>
      </c>
      <c r="F501" s="72" t="s">
        <v>954</v>
      </c>
      <c r="G501" s="72" t="s">
        <v>407</v>
      </c>
      <c r="H501" s="74" t="s">
        <v>349</v>
      </c>
      <c r="I501" s="107">
        <v>69.739999999999995</v>
      </c>
      <c r="J501" s="108"/>
      <c r="K501" s="108">
        <v>46.6</v>
      </c>
      <c r="L501" s="108"/>
      <c r="M501" s="104">
        <v>37257</v>
      </c>
      <c r="N501" s="109">
        <v>40178</v>
      </c>
      <c r="O501" s="110"/>
      <c r="P501" s="106"/>
      <c r="Q501" s="106"/>
      <c r="R501" s="72"/>
      <c r="S501" s="106"/>
      <c r="T501" s="119"/>
    </row>
    <row r="502" spans="1:20" ht="18.75" customHeight="1" x14ac:dyDescent="0.2">
      <c r="A502" s="113"/>
      <c r="B502" s="113"/>
      <c r="C502" s="114"/>
      <c r="D502" s="111"/>
      <c r="E502" s="66" t="s">
        <v>19</v>
      </c>
      <c r="F502" s="66" t="s">
        <v>955</v>
      </c>
      <c r="G502" s="66" t="s">
        <v>556</v>
      </c>
      <c r="H502" s="82" t="s">
        <v>349</v>
      </c>
      <c r="I502" s="115">
        <v>30.26</v>
      </c>
      <c r="J502" s="116"/>
      <c r="K502" s="117"/>
      <c r="L502" s="118"/>
      <c r="M502" s="111"/>
      <c r="N502" s="111"/>
      <c r="O502" s="111"/>
      <c r="P502" s="111"/>
      <c r="Q502" s="111"/>
      <c r="R502" s="72"/>
      <c r="S502" s="111"/>
      <c r="T502" s="112"/>
    </row>
    <row r="503" spans="1:20" ht="18.75" customHeight="1" x14ac:dyDescent="0.2">
      <c r="A503" s="113"/>
      <c r="B503" s="113"/>
      <c r="C503" s="114"/>
      <c r="D503" s="111"/>
      <c r="E503" s="66"/>
      <c r="F503" s="66"/>
      <c r="G503" s="66" t="s">
        <v>353</v>
      </c>
      <c r="H503" s="82"/>
      <c r="I503" s="120"/>
      <c r="J503" s="116"/>
      <c r="K503" s="117"/>
      <c r="L503" s="118"/>
      <c r="M503" s="111"/>
      <c r="N503" s="111"/>
      <c r="O503" s="111"/>
      <c r="P503" s="111"/>
      <c r="Q503" s="111"/>
      <c r="R503" s="72"/>
      <c r="S503" s="111"/>
      <c r="T503" s="112"/>
    </row>
    <row r="504" spans="1:20" ht="18.75" customHeight="1" x14ac:dyDescent="0.2">
      <c r="A504" s="104">
        <v>37031</v>
      </c>
      <c r="B504" s="104">
        <v>37052</v>
      </c>
      <c r="C504" s="105">
        <v>33805</v>
      </c>
      <c r="D504" s="106" t="s">
        <v>956</v>
      </c>
      <c r="E504" s="72" t="s">
        <v>19</v>
      </c>
      <c r="F504" s="72" t="s">
        <v>957</v>
      </c>
      <c r="G504" s="72" t="s">
        <v>587</v>
      </c>
      <c r="H504" s="74" t="s">
        <v>349</v>
      </c>
      <c r="I504" s="107">
        <v>73.16</v>
      </c>
      <c r="J504" s="108"/>
      <c r="K504" s="108">
        <v>50.3</v>
      </c>
      <c r="L504" s="108"/>
      <c r="M504" s="104">
        <v>37257</v>
      </c>
      <c r="N504" s="109">
        <v>40178</v>
      </c>
      <c r="O504" s="110"/>
      <c r="P504" s="106"/>
      <c r="Q504" s="106"/>
      <c r="R504" s="72"/>
      <c r="S504" s="106"/>
      <c r="T504" s="119"/>
    </row>
    <row r="505" spans="1:20" ht="18.75" customHeight="1" x14ac:dyDescent="0.2">
      <c r="A505" s="113"/>
      <c r="B505" s="113"/>
      <c r="C505" s="114"/>
      <c r="D505" s="111"/>
      <c r="E505" s="66" t="s">
        <v>21</v>
      </c>
      <c r="F505" s="66" t="s">
        <v>776</v>
      </c>
      <c r="G505" s="66" t="s">
        <v>958</v>
      </c>
      <c r="H505" s="82" t="s">
        <v>349</v>
      </c>
      <c r="I505" s="115">
        <v>26.84</v>
      </c>
      <c r="J505" s="116"/>
      <c r="K505" s="117"/>
      <c r="L505" s="118"/>
      <c r="M505" s="111"/>
      <c r="N505" s="111"/>
      <c r="O505" s="111"/>
      <c r="P505" s="111"/>
      <c r="Q505" s="111"/>
      <c r="R505" s="72"/>
      <c r="S505" s="111"/>
      <c r="T505" s="112"/>
    </row>
    <row r="506" spans="1:20" ht="18.75" customHeight="1" x14ac:dyDescent="0.2">
      <c r="A506" s="113"/>
      <c r="B506" s="113"/>
      <c r="C506" s="114"/>
      <c r="D506" s="111"/>
      <c r="E506" s="124"/>
      <c r="F506" s="111"/>
      <c r="G506" s="111" t="s">
        <v>353</v>
      </c>
      <c r="H506" s="82"/>
      <c r="I506" s="125"/>
      <c r="J506" s="116"/>
      <c r="K506" s="117"/>
      <c r="L506" s="118"/>
      <c r="M506" s="111"/>
      <c r="N506" s="111"/>
      <c r="O506" s="111"/>
      <c r="P506" s="111"/>
      <c r="Q506" s="111"/>
      <c r="R506" s="72"/>
      <c r="S506" s="106"/>
      <c r="T506" s="119"/>
    </row>
    <row r="507" spans="1:20" ht="18.75" customHeight="1" x14ac:dyDescent="0.2">
      <c r="A507" s="104">
        <v>37052</v>
      </c>
      <c r="B507" s="104">
        <v>37066</v>
      </c>
      <c r="C507" s="105">
        <v>13201</v>
      </c>
      <c r="D507" s="106" t="s">
        <v>959</v>
      </c>
      <c r="E507" s="72" t="s">
        <v>21</v>
      </c>
      <c r="F507" s="72" t="s">
        <v>753</v>
      </c>
      <c r="G507" s="72" t="s">
        <v>960</v>
      </c>
      <c r="H507" s="74" t="s">
        <v>349</v>
      </c>
      <c r="I507" s="107">
        <v>87.17</v>
      </c>
      <c r="J507" s="108"/>
      <c r="K507" s="108">
        <v>28.5</v>
      </c>
      <c r="L507" s="108"/>
      <c r="M507" s="104">
        <v>37257</v>
      </c>
      <c r="N507" s="109">
        <v>40178</v>
      </c>
      <c r="O507" s="110"/>
      <c r="P507" s="106"/>
      <c r="Q507" s="106"/>
      <c r="R507" s="72"/>
      <c r="S507" s="111"/>
      <c r="T507" s="112"/>
    </row>
    <row r="508" spans="1:20" ht="18.75" customHeight="1" x14ac:dyDescent="0.2">
      <c r="A508" s="113"/>
      <c r="B508" s="113"/>
      <c r="C508" s="114"/>
      <c r="D508" s="111"/>
      <c r="E508" s="124"/>
      <c r="F508" s="111"/>
      <c r="G508" s="111" t="s">
        <v>353</v>
      </c>
      <c r="H508" s="82"/>
      <c r="I508" s="125"/>
      <c r="J508" s="116"/>
      <c r="K508" s="117"/>
      <c r="L508" s="118"/>
      <c r="M508" s="111"/>
      <c r="N508" s="111"/>
      <c r="O508" s="111"/>
      <c r="P508" s="111"/>
      <c r="Q508" s="111"/>
      <c r="R508" s="72"/>
      <c r="S508" s="111"/>
      <c r="T508" s="112"/>
    </row>
    <row r="509" spans="1:20" ht="18.75" customHeight="1" x14ac:dyDescent="0.2">
      <c r="A509" s="104">
        <v>37052</v>
      </c>
      <c r="B509" s="104">
        <v>37066</v>
      </c>
      <c r="C509" s="105">
        <v>13206</v>
      </c>
      <c r="D509" s="106" t="s">
        <v>961</v>
      </c>
      <c r="E509" s="72" t="s">
        <v>962</v>
      </c>
      <c r="F509" s="72" t="s">
        <v>962</v>
      </c>
      <c r="G509" s="72" t="s">
        <v>570</v>
      </c>
      <c r="H509" s="74" t="s">
        <v>349</v>
      </c>
      <c r="I509" s="107">
        <v>55.16</v>
      </c>
      <c r="J509" s="108"/>
      <c r="K509" s="108">
        <v>45.8</v>
      </c>
      <c r="L509" s="108"/>
      <c r="M509" s="104">
        <v>37257</v>
      </c>
      <c r="N509" s="109">
        <v>40178</v>
      </c>
      <c r="O509" s="110"/>
      <c r="P509" s="106"/>
      <c r="Q509" s="106"/>
      <c r="R509" s="72"/>
      <c r="S509" s="111"/>
      <c r="T509" s="72"/>
    </row>
    <row r="510" spans="1:20" ht="18.75" customHeight="1" x14ac:dyDescent="0.2">
      <c r="A510" s="113"/>
      <c r="B510" s="113"/>
      <c r="C510" s="114"/>
      <c r="D510" s="111"/>
      <c r="E510" s="66" t="s">
        <v>21</v>
      </c>
      <c r="F510" s="66" t="s">
        <v>963</v>
      </c>
      <c r="G510" s="66" t="s">
        <v>477</v>
      </c>
      <c r="H510" s="82" t="s">
        <v>349</v>
      </c>
      <c r="I510" s="115">
        <v>34.6</v>
      </c>
      <c r="J510" s="116"/>
      <c r="K510" s="117"/>
      <c r="L510" s="118"/>
      <c r="M510" s="111"/>
      <c r="N510" s="111"/>
      <c r="O510" s="111"/>
      <c r="P510" s="111"/>
      <c r="Q510" s="111"/>
      <c r="R510" s="72"/>
      <c r="S510" s="106"/>
      <c r="T510" s="119"/>
    </row>
    <row r="511" spans="1:20" ht="18.75" customHeight="1" x14ac:dyDescent="0.2">
      <c r="A511" s="113"/>
      <c r="B511" s="113"/>
      <c r="C511" s="114"/>
      <c r="D511" s="111"/>
      <c r="E511" s="66" t="s">
        <v>38</v>
      </c>
      <c r="F511" s="66" t="s">
        <v>964</v>
      </c>
      <c r="G511" s="66" t="s">
        <v>965</v>
      </c>
      <c r="H511" s="82" t="s">
        <v>349</v>
      </c>
      <c r="I511" s="115">
        <v>10.23</v>
      </c>
      <c r="J511" s="116"/>
      <c r="K511" s="117"/>
      <c r="L511" s="118"/>
      <c r="M511" s="111"/>
      <c r="N511" s="111"/>
      <c r="O511" s="111"/>
      <c r="P511" s="111"/>
      <c r="Q511" s="111"/>
      <c r="R511" s="72"/>
      <c r="S511" s="111"/>
      <c r="T511" s="112"/>
    </row>
    <row r="512" spans="1:20" ht="18.75" customHeight="1" x14ac:dyDescent="0.2">
      <c r="A512" s="113"/>
      <c r="B512" s="113"/>
      <c r="C512" s="114"/>
      <c r="D512" s="111"/>
      <c r="E512" s="66"/>
      <c r="F512" s="66"/>
      <c r="G512" s="66" t="s">
        <v>353</v>
      </c>
      <c r="H512" s="82"/>
      <c r="I512" s="120"/>
      <c r="J512" s="116"/>
      <c r="K512" s="117"/>
      <c r="L512" s="118"/>
      <c r="M512" s="111"/>
      <c r="N512" s="111"/>
      <c r="O512" s="111"/>
      <c r="P512" s="111"/>
      <c r="Q512" s="111"/>
      <c r="R512" s="72"/>
      <c r="S512" s="111"/>
      <c r="T512" s="112"/>
    </row>
    <row r="513" spans="1:20" ht="18.75" customHeight="1" x14ac:dyDescent="0.2">
      <c r="A513" s="104">
        <v>37052</v>
      </c>
      <c r="B513" s="104">
        <v>37066</v>
      </c>
      <c r="C513" s="105">
        <v>13207</v>
      </c>
      <c r="D513" s="106" t="s">
        <v>966</v>
      </c>
      <c r="E513" s="72" t="s">
        <v>19</v>
      </c>
      <c r="F513" s="72" t="s">
        <v>716</v>
      </c>
      <c r="G513" s="72" t="s">
        <v>348</v>
      </c>
      <c r="H513" s="74" t="s">
        <v>349</v>
      </c>
      <c r="I513" s="107">
        <v>53.11</v>
      </c>
      <c r="J513" s="108"/>
      <c r="K513" s="108">
        <v>35.299999999999997</v>
      </c>
      <c r="L513" s="108"/>
      <c r="M513" s="104">
        <v>37257</v>
      </c>
      <c r="N513" s="109">
        <v>40178</v>
      </c>
      <c r="O513" s="110"/>
      <c r="P513" s="106"/>
      <c r="Q513" s="106"/>
      <c r="R513" s="72"/>
      <c r="S513" s="111"/>
      <c r="T513" s="112"/>
    </row>
    <row r="514" spans="1:20" ht="18.75" customHeight="1" x14ac:dyDescent="0.2">
      <c r="A514" s="113"/>
      <c r="B514" s="113"/>
      <c r="C514" s="114"/>
      <c r="D514" s="111"/>
      <c r="E514" s="66" t="s">
        <v>21</v>
      </c>
      <c r="F514" s="66" t="s">
        <v>967</v>
      </c>
      <c r="G514" s="66" t="s">
        <v>968</v>
      </c>
      <c r="H514" s="82" t="s">
        <v>349</v>
      </c>
      <c r="I514" s="115">
        <v>26.73</v>
      </c>
      <c r="J514" s="116"/>
      <c r="K514" s="117"/>
      <c r="L514" s="118"/>
      <c r="M514" s="111"/>
      <c r="N514" s="111"/>
      <c r="O514" s="111"/>
      <c r="P514" s="111"/>
      <c r="Q514" s="111"/>
      <c r="R514" s="72"/>
      <c r="S514" s="111"/>
      <c r="T514" s="112"/>
    </row>
    <row r="515" spans="1:20" ht="18.75" customHeight="1" x14ac:dyDescent="0.2">
      <c r="A515" s="113"/>
      <c r="B515" s="113"/>
      <c r="C515" s="114"/>
      <c r="D515" s="111"/>
      <c r="E515" s="66" t="s">
        <v>969</v>
      </c>
      <c r="F515" s="66" t="s">
        <v>969</v>
      </c>
      <c r="G515" s="66" t="s">
        <v>366</v>
      </c>
      <c r="H515" s="82" t="s">
        <v>349</v>
      </c>
      <c r="I515" s="115">
        <v>13.7</v>
      </c>
      <c r="J515" s="116"/>
      <c r="K515" s="117"/>
      <c r="L515" s="118"/>
      <c r="M515" s="111"/>
      <c r="N515" s="111"/>
      <c r="O515" s="111"/>
      <c r="P515" s="111"/>
      <c r="Q515" s="111"/>
      <c r="R515" s="72"/>
      <c r="S515" s="106"/>
      <c r="T515" s="72"/>
    </row>
    <row r="516" spans="1:20" ht="18.75" customHeight="1" x14ac:dyDescent="0.2">
      <c r="A516" s="113"/>
      <c r="B516" s="113"/>
      <c r="C516" s="114"/>
      <c r="D516" s="111"/>
      <c r="E516" s="66" t="s">
        <v>970</v>
      </c>
      <c r="F516" s="66" t="s">
        <v>970</v>
      </c>
      <c r="G516" s="66" t="s">
        <v>971</v>
      </c>
      <c r="H516" s="82" t="s">
        <v>349</v>
      </c>
      <c r="I516" s="115">
        <v>6.46</v>
      </c>
      <c r="J516" s="116"/>
      <c r="K516" s="117"/>
      <c r="L516" s="118"/>
      <c r="M516" s="111"/>
      <c r="N516" s="111"/>
      <c r="O516" s="111"/>
      <c r="P516" s="126"/>
      <c r="Q516" s="111"/>
      <c r="R516" s="72"/>
      <c r="S516" s="111"/>
      <c r="T516" s="72"/>
    </row>
    <row r="517" spans="1:20" ht="18.75" customHeight="1" x14ac:dyDescent="0.2">
      <c r="A517" s="113"/>
      <c r="B517" s="113"/>
      <c r="C517" s="114"/>
      <c r="D517" s="111"/>
      <c r="E517" s="66"/>
      <c r="F517" s="66"/>
      <c r="G517" s="66" t="s">
        <v>353</v>
      </c>
      <c r="H517" s="82"/>
      <c r="I517" s="120"/>
      <c r="J517" s="116"/>
      <c r="K517" s="117"/>
      <c r="L517" s="118"/>
      <c r="M517" s="111"/>
      <c r="N517" s="111"/>
      <c r="O517" s="111"/>
      <c r="P517" s="111"/>
      <c r="Q517" s="111"/>
      <c r="R517" s="72"/>
      <c r="S517" s="111"/>
      <c r="T517" s="112"/>
    </row>
    <row r="518" spans="1:20" ht="18.75" customHeight="1" x14ac:dyDescent="0.2">
      <c r="A518" s="104">
        <v>37052</v>
      </c>
      <c r="B518" s="104">
        <v>37066</v>
      </c>
      <c r="C518" s="105">
        <v>13704</v>
      </c>
      <c r="D518" s="106" t="s">
        <v>972</v>
      </c>
      <c r="E518" s="72" t="s">
        <v>19</v>
      </c>
      <c r="F518" s="72" t="s">
        <v>973</v>
      </c>
      <c r="G518" s="72" t="s">
        <v>723</v>
      </c>
      <c r="H518" s="74" t="s">
        <v>349</v>
      </c>
      <c r="I518" s="107">
        <v>56.09</v>
      </c>
      <c r="J518" s="108"/>
      <c r="K518" s="108">
        <v>51.5</v>
      </c>
      <c r="L518" s="108"/>
      <c r="M518" s="104">
        <v>37257</v>
      </c>
      <c r="N518" s="109">
        <v>40178</v>
      </c>
      <c r="O518" s="110"/>
      <c r="P518" s="106"/>
      <c r="Q518" s="106"/>
      <c r="R518" s="72"/>
      <c r="S518" s="106"/>
      <c r="T518" s="119"/>
    </row>
    <row r="519" spans="1:20" ht="18.75" customHeight="1" x14ac:dyDescent="0.2">
      <c r="A519" s="113"/>
      <c r="B519" s="113"/>
      <c r="C519" s="114"/>
      <c r="D519" s="111"/>
      <c r="E519" s="66" t="s">
        <v>21</v>
      </c>
      <c r="F519" s="66" t="s">
        <v>974</v>
      </c>
      <c r="G519" s="66" t="s">
        <v>562</v>
      </c>
      <c r="H519" s="82" t="s">
        <v>349</v>
      </c>
      <c r="I519" s="115">
        <v>43.91</v>
      </c>
      <c r="J519" s="116"/>
      <c r="K519" s="117"/>
      <c r="L519" s="118"/>
      <c r="M519" s="111"/>
      <c r="N519" s="111"/>
      <c r="O519" s="111"/>
      <c r="P519" s="111"/>
      <c r="Q519" s="111"/>
      <c r="R519" s="72"/>
      <c r="S519" s="111"/>
      <c r="T519" s="112"/>
    </row>
    <row r="520" spans="1:20" ht="18.75" customHeight="1" x14ac:dyDescent="0.2">
      <c r="A520" s="113"/>
      <c r="B520" s="113"/>
      <c r="C520" s="114"/>
      <c r="D520" s="111"/>
      <c r="E520" s="124"/>
      <c r="F520" s="111"/>
      <c r="G520" s="111" t="s">
        <v>353</v>
      </c>
      <c r="H520" s="82"/>
      <c r="I520" s="125"/>
      <c r="J520" s="116"/>
      <c r="K520" s="117"/>
      <c r="L520" s="118"/>
      <c r="M520" s="111"/>
      <c r="N520" s="111"/>
      <c r="O520" s="111"/>
      <c r="P520" s="111"/>
      <c r="Q520" s="111"/>
      <c r="R520" s="72"/>
      <c r="S520" s="106"/>
      <c r="T520" s="119"/>
    </row>
    <row r="521" spans="1:20" ht="18.75" customHeight="1" x14ac:dyDescent="0.2">
      <c r="A521" s="104">
        <v>37052</v>
      </c>
      <c r="B521" s="104">
        <v>37066</v>
      </c>
      <c r="C521" s="105">
        <v>13801</v>
      </c>
      <c r="D521" s="106" t="s">
        <v>975</v>
      </c>
      <c r="E521" s="72" t="s">
        <v>19</v>
      </c>
      <c r="F521" s="72" t="s">
        <v>976</v>
      </c>
      <c r="G521" s="72" t="s">
        <v>455</v>
      </c>
      <c r="H521" s="74" t="s">
        <v>349</v>
      </c>
      <c r="I521" s="107">
        <v>86.83</v>
      </c>
      <c r="J521" s="108"/>
      <c r="K521" s="108">
        <v>36.9</v>
      </c>
      <c r="L521" s="108"/>
      <c r="M521" s="104">
        <v>37257</v>
      </c>
      <c r="N521" s="109">
        <v>40178</v>
      </c>
      <c r="O521" s="110"/>
      <c r="P521" s="106"/>
      <c r="Q521" s="106"/>
      <c r="R521" s="72"/>
      <c r="S521" s="111"/>
      <c r="T521" s="112"/>
    </row>
    <row r="522" spans="1:20" ht="18.75" customHeight="1" x14ac:dyDescent="0.2">
      <c r="A522" s="113"/>
      <c r="B522" s="113"/>
      <c r="C522" s="114"/>
      <c r="D522" s="111"/>
      <c r="E522" s="124"/>
      <c r="F522" s="111"/>
      <c r="G522" s="111" t="s">
        <v>353</v>
      </c>
      <c r="H522" s="82"/>
      <c r="I522" s="125"/>
      <c r="J522" s="116"/>
      <c r="K522" s="117"/>
      <c r="L522" s="118"/>
      <c r="M522" s="111"/>
      <c r="N522" s="111"/>
      <c r="O522" s="111"/>
      <c r="P522" s="111"/>
      <c r="Q522" s="111"/>
      <c r="R522" s="72"/>
      <c r="S522" s="111"/>
      <c r="T522" s="112"/>
    </row>
    <row r="523" spans="1:20" ht="18.75" customHeight="1" x14ac:dyDescent="0.2">
      <c r="A523" s="104">
        <v>37052</v>
      </c>
      <c r="B523" s="104">
        <v>37066</v>
      </c>
      <c r="C523" s="105">
        <v>14101</v>
      </c>
      <c r="D523" s="106" t="s">
        <v>977</v>
      </c>
      <c r="E523" s="72" t="s">
        <v>19</v>
      </c>
      <c r="F523" s="72" t="s">
        <v>493</v>
      </c>
      <c r="G523" s="72" t="s">
        <v>487</v>
      </c>
      <c r="H523" s="74" t="s">
        <v>349</v>
      </c>
      <c r="I523" s="107">
        <v>52.31</v>
      </c>
      <c r="J523" s="108"/>
      <c r="K523" s="108">
        <v>46.1</v>
      </c>
      <c r="L523" s="108"/>
      <c r="M523" s="104">
        <v>37257</v>
      </c>
      <c r="N523" s="109">
        <v>40178</v>
      </c>
      <c r="O523" s="110"/>
      <c r="P523" s="106"/>
      <c r="Q523" s="106"/>
      <c r="R523" s="72"/>
      <c r="S523" s="111"/>
      <c r="T523" s="112"/>
    </row>
    <row r="524" spans="1:20" ht="18.75" customHeight="1" x14ac:dyDescent="0.2">
      <c r="A524" s="113"/>
      <c r="B524" s="113"/>
      <c r="C524" s="114"/>
      <c r="D524" s="111"/>
      <c r="E524" s="66" t="s">
        <v>21</v>
      </c>
      <c r="F524" s="66" t="s">
        <v>978</v>
      </c>
      <c r="G524" s="66" t="s">
        <v>979</v>
      </c>
      <c r="H524" s="82" t="s">
        <v>349</v>
      </c>
      <c r="I524" s="115">
        <v>39.06</v>
      </c>
      <c r="J524" s="116"/>
      <c r="K524" s="117"/>
      <c r="L524" s="118"/>
      <c r="M524" s="111"/>
      <c r="N524" s="111"/>
      <c r="O524" s="111"/>
      <c r="P524" s="111"/>
      <c r="Q524" s="111"/>
      <c r="R524" s="72"/>
      <c r="S524" s="111"/>
      <c r="T524" s="112"/>
    </row>
    <row r="525" spans="1:20" ht="18.75" customHeight="1" x14ac:dyDescent="0.2">
      <c r="A525" s="113"/>
      <c r="B525" s="113"/>
      <c r="C525" s="114"/>
      <c r="D525" s="111"/>
      <c r="E525" s="66" t="s">
        <v>55</v>
      </c>
      <c r="F525" s="66" t="s">
        <v>533</v>
      </c>
      <c r="G525" s="66" t="s">
        <v>980</v>
      </c>
      <c r="H525" s="82" t="s">
        <v>349</v>
      </c>
      <c r="I525" s="115">
        <v>7.4</v>
      </c>
      <c r="J525" s="116"/>
      <c r="K525" s="117"/>
      <c r="L525" s="118"/>
      <c r="M525" s="111"/>
      <c r="N525" s="111"/>
      <c r="O525" s="111"/>
      <c r="P525" s="111"/>
      <c r="Q525" s="111"/>
      <c r="R525" s="72"/>
      <c r="S525" s="106"/>
      <c r="T525" s="119"/>
    </row>
    <row r="526" spans="1:20" ht="18.75" customHeight="1" x14ac:dyDescent="0.2">
      <c r="A526" s="113"/>
      <c r="B526" s="113"/>
      <c r="C526" s="114"/>
      <c r="D526" s="111"/>
      <c r="E526" s="66" t="s">
        <v>981</v>
      </c>
      <c r="F526" s="66" t="s">
        <v>981</v>
      </c>
      <c r="G526" s="66" t="s">
        <v>366</v>
      </c>
      <c r="H526" s="82" t="s">
        <v>349</v>
      </c>
      <c r="I526" s="115">
        <v>1.23</v>
      </c>
      <c r="J526" s="116"/>
      <c r="K526" s="117"/>
      <c r="L526" s="118"/>
      <c r="M526" s="111"/>
      <c r="N526" s="111"/>
      <c r="O526" s="111"/>
      <c r="P526" s="111"/>
      <c r="Q526" s="111"/>
      <c r="R526" s="72"/>
      <c r="S526" s="111"/>
      <c r="T526" s="72"/>
    </row>
    <row r="527" spans="1:20" ht="18.75" customHeight="1" x14ac:dyDescent="0.2">
      <c r="A527" s="113"/>
      <c r="B527" s="113"/>
      <c r="C527" s="114"/>
      <c r="D527" s="111"/>
      <c r="E527" s="124"/>
      <c r="F527" s="111"/>
      <c r="G527" s="111" t="s">
        <v>353</v>
      </c>
      <c r="H527" s="82"/>
      <c r="I527" s="125"/>
      <c r="J527" s="116"/>
      <c r="K527" s="117"/>
      <c r="L527" s="118"/>
      <c r="M527" s="111"/>
      <c r="N527" s="111"/>
      <c r="O527" s="111"/>
      <c r="P527" s="111"/>
      <c r="Q527" s="111"/>
      <c r="R527" s="72"/>
      <c r="S527" s="106"/>
      <c r="T527" s="119"/>
    </row>
    <row r="528" spans="1:20" ht="18.75" customHeight="1" x14ac:dyDescent="0.2">
      <c r="A528" s="104">
        <v>37052</v>
      </c>
      <c r="B528" s="104">
        <v>37066</v>
      </c>
      <c r="C528" s="105">
        <v>14301</v>
      </c>
      <c r="D528" s="106" t="s">
        <v>982</v>
      </c>
      <c r="E528" s="72" t="s">
        <v>955</v>
      </c>
      <c r="F528" s="72" t="s">
        <v>955</v>
      </c>
      <c r="G528" s="72" t="s">
        <v>477</v>
      </c>
      <c r="H528" s="74" t="s">
        <v>349</v>
      </c>
      <c r="I528" s="107">
        <v>89.72</v>
      </c>
      <c r="J528" s="108"/>
      <c r="K528" s="108">
        <v>30.2</v>
      </c>
      <c r="L528" s="108"/>
      <c r="M528" s="104">
        <v>37257</v>
      </c>
      <c r="N528" s="109">
        <v>40178</v>
      </c>
      <c r="O528" s="110"/>
      <c r="P528" s="106"/>
      <c r="Q528" s="106"/>
      <c r="R528" s="72"/>
      <c r="S528" s="111"/>
      <c r="T528" s="72"/>
    </row>
    <row r="529" spans="1:20" ht="18.75" customHeight="1" x14ac:dyDescent="0.2">
      <c r="A529" s="113"/>
      <c r="B529" s="113"/>
      <c r="C529" s="114"/>
      <c r="D529" s="111"/>
      <c r="E529" s="124"/>
      <c r="F529" s="111"/>
      <c r="G529" s="111" t="s">
        <v>353</v>
      </c>
      <c r="H529" s="82"/>
      <c r="I529" s="125"/>
      <c r="J529" s="116"/>
      <c r="K529" s="117"/>
      <c r="L529" s="118"/>
      <c r="M529" s="111"/>
      <c r="N529" s="111"/>
      <c r="O529" s="111"/>
      <c r="P529" s="111"/>
      <c r="Q529" s="111"/>
      <c r="R529" s="72"/>
      <c r="S529" s="111"/>
      <c r="T529" s="112"/>
    </row>
    <row r="530" spans="1:20" ht="18.75" customHeight="1" x14ac:dyDescent="0.2">
      <c r="A530" s="104">
        <v>37052</v>
      </c>
      <c r="B530" s="104">
        <v>37066</v>
      </c>
      <c r="C530" s="105">
        <v>14304</v>
      </c>
      <c r="D530" s="106" t="s">
        <v>983</v>
      </c>
      <c r="E530" s="72" t="s">
        <v>19</v>
      </c>
      <c r="F530" s="72" t="s">
        <v>984</v>
      </c>
      <c r="G530" s="72" t="s">
        <v>985</v>
      </c>
      <c r="H530" s="74" t="s">
        <v>349</v>
      </c>
      <c r="I530" s="107">
        <v>76.239999999999995</v>
      </c>
      <c r="J530" s="108"/>
      <c r="K530" s="108">
        <v>39.799999999999997</v>
      </c>
      <c r="L530" s="108"/>
      <c r="M530" s="104">
        <v>37257</v>
      </c>
      <c r="N530" s="109">
        <v>40178</v>
      </c>
      <c r="O530" s="110"/>
      <c r="P530" s="106"/>
      <c r="Q530" s="106"/>
      <c r="R530" s="72"/>
      <c r="S530" s="106"/>
      <c r="T530" s="119"/>
    </row>
    <row r="531" spans="1:20" ht="18.75" customHeight="1" x14ac:dyDescent="0.2">
      <c r="A531" s="113"/>
      <c r="B531" s="113"/>
      <c r="C531" s="114"/>
      <c r="D531" s="111"/>
      <c r="E531" s="66" t="s">
        <v>21</v>
      </c>
      <c r="F531" s="66" t="s">
        <v>955</v>
      </c>
      <c r="G531" s="66" t="s">
        <v>371</v>
      </c>
      <c r="H531" s="82" t="s">
        <v>349</v>
      </c>
      <c r="I531" s="115">
        <v>23.76</v>
      </c>
      <c r="J531" s="116"/>
      <c r="K531" s="117"/>
      <c r="L531" s="118"/>
      <c r="M531" s="111"/>
      <c r="N531" s="111"/>
      <c r="O531" s="111"/>
      <c r="P531" s="111"/>
      <c r="Q531" s="111"/>
      <c r="R531" s="72"/>
      <c r="S531" s="111"/>
      <c r="T531" s="112"/>
    </row>
    <row r="532" spans="1:20" ht="18.75" customHeight="1" x14ac:dyDescent="0.2">
      <c r="A532" s="113"/>
      <c r="B532" s="113"/>
      <c r="C532" s="114"/>
      <c r="D532" s="111"/>
      <c r="E532" s="124"/>
      <c r="F532" s="111"/>
      <c r="G532" s="111" t="s">
        <v>353</v>
      </c>
      <c r="H532" s="82"/>
      <c r="I532" s="125"/>
      <c r="J532" s="116"/>
      <c r="K532" s="117"/>
      <c r="L532" s="118"/>
      <c r="M532" s="111"/>
      <c r="N532" s="111"/>
      <c r="O532" s="111"/>
      <c r="P532" s="111"/>
      <c r="Q532" s="111"/>
      <c r="R532" s="72"/>
      <c r="S532" s="106"/>
      <c r="T532" s="119"/>
    </row>
    <row r="533" spans="1:20" ht="18.75" customHeight="1" x14ac:dyDescent="0.2">
      <c r="A533" s="104">
        <v>37052</v>
      </c>
      <c r="B533" s="104">
        <v>37066</v>
      </c>
      <c r="C533" s="105">
        <v>14306</v>
      </c>
      <c r="D533" s="106" t="s">
        <v>986</v>
      </c>
      <c r="E533" s="72" t="s">
        <v>19</v>
      </c>
      <c r="F533" s="72" t="s">
        <v>987</v>
      </c>
      <c r="G533" s="72" t="s">
        <v>368</v>
      </c>
      <c r="H533" s="74" t="s">
        <v>349</v>
      </c>
      <c r="I533" s="107">
        <v>94.51</v>
      </c>
      <c r="J533" s="108"/>
      <c r="K533" s="108">
        <v>27.9</v>
      </c>
      <c r="L533" s="108"/>
      <c r="M533" s="104">
        <v>37257</v>
      </c>
      <c r="N533" s="109">
        <v>40178</v>
      </c>
      <c r="O533" s="110"/>
      <c r="P533" s="106"/>
      <c r="Q533" s="106"/>
      <c r="R533" s="72"/>
      <c r="S533" s="111"/>
      <c r="T533" s="112"/>
    </row>
    <row r="534" spans="1:20" ht="18.75" customHeight="1" x14ac:dyDescent="0.2">
      <c r="A534" s="113"/>
      <c r="B534" s="113"/>
      <c r="C534" s="114"/>
      <c r="D534" s="111"/>
      <c r="E534" s="124"/>
      <c r="F534" s="111"/>
      <c r="G534" s="111" t="s">
        <v>353</v>
      </c>
      <c r="H534" s="82"/>
      <c r="I534" s="125"/>
      <c r="J534" s="116"/>
      <c r="K534" s="117"/>
      <c r="L534" s="118"/>
      <c r="M534" s="111"/>
      <c r="N534" s="111"/>
      <c r="O534" s="111"/>
      <c r="P534" s="111"/>
      <c r="Q534" s="111"/>
      <c r="R534" s="72"/>
      <c r="S534" s="106"/>
      <c r="T534" s="119"/>
    </row>
    <row r="535" spans="1:20" ht="18.75" customHeight="1" x14ac:dyDescent="0.2">
      <c r="A535" s="104">
        <v>37052</v>
      </c>
      <c r="B535" s="104">
        <v>37066</v>
      </c>
      <c r="C535" s="105">
        <v>14308</v>
      </c>
      <c r="D535" s="106" t="s">
        <v>988</v>
      </c>
      <c r="E535" s="72" t="s">
        <v>19</v>
      </c>
      <c r="F535" s="72" t="s">
        <v>989</v>
      </c>
      <c r="G535" s="72" t="s">
        <v>477</v>
      </c>
      <c r="H535" s="74" t="s">
        <v>349</v>
      </c>
      <c r="I535" s="107">
        <v>88.98</v>
      </c>
      <c r="J535" s="108"/>
      <c r="K535" s="108">
        <v>33.1</v>
      </c>
      <c r="L535" s="108"/>
      <c r="M535" s="104">
        <v>37257</v>
      </c>
      <c r="N535" s="109">
        <v>40178</v>
      </c>
      <c r="O535" s="110"/>
      <c r="P535" s="106"/>
      <c r="Q535" s="106"/>
      <c r="R535" s="72"/>
      <c r="S535" s="111"/>
      <c r="T535" s="112"/>
    </row>
    <row r="536" spans="1:20" ht="18.75" customHeight="1" x14ac:dyDescent="0.2">
      <c r="A536" s="113"/>
      <c r="B536" s="113"/>
      <c r="C536" s="114"/>
      <c r="D536" s="111"/>
      <c r="E536" s="124"/>
      <c r="F536" s="111"/>
      <c r="G536" s="111" t="s">
        <v>353</v>
      </c>
      <c r="H536" s="82"/>
      <c r="I536" s="125"/>
      <c r="J536" s="116"/>
      <c r="K536" s="117"/>
      <c r="L536" s="118"/>
      <c r="M536" s="111"/>
      <c r="N536" s="111"/>
      <c r="O536" s="111"/>
      <c r="P536" s="111"/>
      <c r="Q536" s="111"/>
      <c r="R536" s="72"/>
      <c r="S536" s="111"/>
      <c r="T536" s="112"/>
    </row>
    <row r="537" spans="1:20" ht="18.75" customHeight="1" x14ac:dyDescent="0.2">
      <c r="A537" s="104">
        <v>37052</v>
      </c>
      <c r="B537" s="104">
        <v>37066</v>
      </c>
      <c r="C537" s="105">
        <v>23202</v>
      </c>
      <c r="D537" s="106" t="s">
        <v>990</v>
      </c>
      <c r="E537" s="72" t="s">
        <v>19</v>
      </c>
      <c r="F537" s="72" t="s">
        <v>991</v>
      </c>
      <c r="G537" s="72" t="s">
        <v>477</v>
      </c>
      <c r="H537" s="74" t="s">
        <v>349</v>
      </c>
      <c r="I537" s="107">
        <v>35.299999999999997</v>
      </c>
      <c r="J537" s="121">
        <v>54.44</v>
      </c>
      <c r="K537" s="108">
        <v>51.1</v>
      </c>
      <c r="L537" s="108">
        <v>48.7</v>
      </c>
      <c r="M537" s="104">
        <v>37257</v>
      </c>
      <c r="N537" s="109">
        <v>40178</v>
      </c>
      <c r="O537" s="110"/>
      <c r="P537" s="106"/>
      <c r="Q537" s="106"/>
      <c r="R537" s="72"/>
      <c r="S537" s="111"/>
      <c r="T537" s="112"/>
    </row>
    <row r="538" spans="1:20" ht="18.75" customHeight="1" x14ac:dyDescent="0.2">
      <c r="A538" s="113"/>
      <c r="B538" s="113"/>
      <c r="C538" s="114"/>
      <c r="D538" s="111"/>
      <c r="E538" s="66" t="s">
        <v>21</v>
      </c>
      <c r="F538" s="66" t="s">
        <v>992</v>
      </c>
      <c r="G538" s="66" t="s">
        <v>993</v>
      </c>
      <c r="H538" s="82" t="s">
        <v>349</v>
      </c>
      <c r="I538" s="115">
        <v>29.2</v>
      </c>
      <c r="J538" s="123">
        <v>45.56</v>
      </c>
      <c r="K538" s="117"/>
      <c r="L538" s="118"/>
      <c r="M538" s="111"/>
      <c r="N538" s="111"/>
      <c r="O538" s="111"/>
      <c r="P538" s="111"/>
      <c r="Q538" s="111"/>
      <c r="R538" s="72"/>
      <c r="S538" s="111"/>
      <c r="T538" s="112"/>
    </row>
    <row r="539" spans="1:20" ht="18.75" customHeight="1" x14ac:dyDescent="0.2">
      <c r="A539" s="113"/>
      <c r="B539" s="113"/>
      <c r="C539" s="114"/>
      <c r="D539" s="111"/>
      <c r="E539" s="66" t="s">
        <v>994</v>
      </c>
      <c r="F539" s="66" t="s">
        <v>994</v>
      </c>
      <c r="G539" s="66" t="s">
        <v>995</v>
      </c>
      <c r="H539" s="82" t="s">
        <v>419</v>
      </c>
      <c r="I539" s="115">
        <v>17.059999999999999</v>
      </c>
      <c r="J539" s="116"/>
      <c r="K539" s="117"/>
      <c r="L539" s="118"/>
      <c r="M539" s="111"/>
      <c r="N539" s="111"/>
      <c r="O539" s="111"/>
      <c r="P539" s="111"/>
      <c r="Q539" s="111"/>
      <c r="R539" s="72"/>
      <c r="S539" s="111"/>
      <c r="T539" s="72"/>
    </row>
    <row r="540" spans="1:20" ht="18.75" customHeight="1" x14ac:dyDescent="0.2">
      <c r="A540" s="113"/>
      <c r="B540" s="113"/>
      <c r="C540" s="114"/>
      <c r="D540" s="111"/>
      <c r="E540" s="66" t="s">
        <v>996</v>
      </c>
      <c r="F540" s="66" t="s">
        <v>996</v>
      </c>
      <c r="G540" s="66" t="s">
        <v>358</v>
      </c>
      <c r="H540" s="82" t="s">
        <v>349</v>
      </c>
      <c r="I540" s="115">
        <v>12.05</v>
      </c>
      <c r="J540" s="116"/>
      <c r="K540" s="117"/>
      <c r="L540" s="118"/>
      <c r="M540" s="111"/>
      <c r="N540" s="111"/>
      <c r="O540" s="111"/>
      <c r="P540" s="111"/>
      <c r="Q540" s="111"/>
      <c r="R540" s="72"/>
      <c r="S540" s="106"/>
      <c r="T540" s="72"/>
    </row>
    <row r="541" spans="1:20" ht="18.75" customHeight="1" x14ac:dyDescent="0.2">
      <c r="A541" s="113"/>
      <c r="B541" s="113"/>
      <c r="C541" s="114"/>
      <c r="D541" s="111"/>
      <c r="E541" s="66" t="s">
        <v>55</v>
      </c>
      <c r="F541" s="66" t="s">
        <v>997</v>
      </c>
      <c r="G541" s="66" t="s">
        <v>998</v>
      </c>
      <c r="H541" s="82" t="s">
        <v>349</v>
      </c>
      <c r="I541" s="115">
        <v>6.4</v>
      </c>
      <c r="J541" s="116"/>
      <c r="K541" s="117"/>
      <c r="L541" s="118"/>
      <c r="M541" s="111"/>
      <c r="N541" s="111"/>
      <c r="O541" s="111"/>
      <c r="P541" s="111"/>
      <c r="Q541" s="111"/>
      <c r="R541" s="72"/>
      <c r="S541" s="111"/>
      <c r="T541" s="112"/>
    </row>
    <row r="542" spans="1:20" ht="18.75" customHeight="1" x14ac:dyDescent="0.2">
      <c r="A542" s="113"/>
      <c r="B542" s="113"/>
      <c r="C542" s="114"/>
      <c r="D542" s="111"/>
      <c r="E542" s="66"/>
      <c r="F542" s="66"/>
      <c r="G542" s="66" t="s">
        <v>353</v>
      </c>
      <c r="H542" s="82"/>
      <c r="I542" s="120"/>
      <c r="J542" s="116"/>
      <c r="K542" s="117"/>
      <c r="L542" s="118"/>
      <c r="M542" s="111"/>
      <c r="N542" s="111"/>
      <c r="O542" s="111"/>
      <c r="P542" s="111"/>
      <c r="Q542" s="111"/>
      <c r="R542" s="72"/>
      <c r="S542" s="106"/>
      <c r="T542" s="119"/>
    </row>
    <row r="543" spans="1:20" ht="18.75" customHeight="1" x14ac:dyDescent="0.2">
      <c r="A543" s="104">
        <v>37052</v>
      </c>
      <c r="B543" s="104">
        <v>37066</v>
      </c>
      <c r="C543" s="105">
        <v>23203</v>
      </c>
      <c r="D543" s="106" t="s">
        <v>999</v>
      </c>
      <c r="E543" s="72" t="s">
        <v>19</v>
      </c>
      <c r="F543" s="72" t="s">
        <v>1000</v>
      </c>
      <c r="G543" s="72" t="s">
        <v>1001</v>
      </c>
      <c r="H543" s="74" t="s">
        <v>349</v>
      </c>
      <c r="I543" s="107">
        <v>91.72</v>
      </c>
      <c r="J543" s="108"/>
      <c r="K543" s="108">
        <v>40.1</v>
      </c>
      <c r="L543" s="108"/>
      <c r="M543" s="104">
        <v>37257</v>
      </c>
      <c r="N543" s="109">
        <v>40178</v>
      </c>
      <c r="O543" s="110"/>
      <c r="P543" s="106"/>
      <c r="Q543" s="106"/>
      <c r="R543" s="72"/>
      <c r="S543" s="111"/>
      <c r="T543" s="112"/>
    </row>
    <row r="544" spans="1:20" ht="18.75" customHeight="1" x14ac:dyDescent="0.2">
      <c r="A544" s="113"/>
      <c r="B544" s="113"/>
      <c r="C544" s="114"/>
      <c r="D544" s="111"/>
      <c r="E544" s="124"/>
      <c r="F544" s="111"/>
      <c r="G544" s="111" t="s">
        <v>353</v>
      </c>
      <c r="H544" s="82"/>
      <c r="I544" s="125"/>
      <c r="J544" s="116"/>
      <c r="K544" s="117"/>
      <c r="L544" s="118"/>
      <c r="M544" s="111"/>
      <c r="N544" s="111"/>
      <c r="O544" s="111"/>
      <c r="P544" s="111"/>
      <c r="Q544" s="111"/>
      <c r="R544" s="72"/>
      <c r="S544" s="111"/>
      <c r="T544" s="112"/>
    </row>
    <row r="545" spans="1:20" ht="18.75" customHeight="1" x14ac:dyDescent="0.2">
      <c r="A545" s="104">
        <v>37052</v>
      </c>
      <c r="B545" s="104">
        <v>37066</v>
      </c>
      <c r="C545" s="105">
        <v>23205</v>
      </c>
      <c r="D545" s="106" t="s">
        <v>1002</v>
      </c>
      <c r="E545" s="72" t="s">
        <v>83</v>
      </c>
      <c r="F545" s="72" t="s">
        <v>347</v>
      </c>
      <c r="G545" s="72" t="s">
        <v>611</v>
      </c>
      <c r="H545" s="74" t="s">
        <v>349</v>
      </c>
      <c r="I545" s="107">
        <v>28.19</v>
      </c>
      <c r="J545" s="121">
        <v>58.87</v>
      </c>
      <c r="K545" s="108">
        <v>61.2</v>
      </c>
      <c r="L545" s="108">
        <v>55.8</v>
      </c>
      <c r="M545" s="104">
        <v>37257</v>
      </c>
      <c r="N545" s="109">
        <v>40178</v>
      </c>
      <c r="O545" s="110"/>
      <c r="P545" s="106"/>
      <c r="Q545" s="106"/>
      <c r="R545" s="72"/>
      <c r="S545" s="111"/>
      <c r="T545" s="112"/>
    </row>
    <row r="546" spans="1:20" ht="18.75" customHeight="1" x14ac:dyDescent="0.2">
      <c r="A546" s="113"/>
      <c r="B546" s="113"/>
      <c r="C546" s="114"/>
      <c r="D546" s="111"/>
      <c r="E546" s="66" t="s">
        <v>1003</v>
      </c>
      <c r="F546" s="66" t="s">
        <v>1003</v>
      </c>
      <c r="G546" s="66" t="s">
        <v>757</v>
      </c>
      <c r="H546" s="82" t="s">
        <v>349</v>
      </c>
      <c r="I546" s="115">
        <v>27.59</v>
      </c>
      <c r="J546" s="123">
        <v>41.13</v>
      </c>
      <c r="K546" s="117"/>
      <c r="L546" s="118"/>
      <c r="M546" s="111"/>
      <c r="N546" s="111"/>
      <c r="O546" s="111"/>
      <c r="P546" s="111"/>
      <c r="Q546" s="111"/>
      <c r="R546" s="72"/>
      <c r="S546" s="111"/>
      <c r="T546" s="72"/>
    </row>
    <row r="547" spans="1:20" ht="18.75" customHeight="1" x14ac:dyDescent="0.2">
      <c r="A547" s="113"/>
      <c r="B547" s="113"/>
      <c r="C547" s="114"/>
      <c r="D547" s="111"/>
      <c r="E547" s="66" t="s">
        <v>1004</v>
      </c>
      <c r="F547" s="66" t="s">
        <v>1004</v>
      </c>
      <c r="G547" s="66" t="s">
        <v>1005</v>
      </c>
      <c r="H547" s="82" t="s">
        <v>349</v>
      </c>
      <c r="I547" s="115">
        <v>16.260000000000002</v>
      </c>
      <c r="J547" s="116"/>
      <c r="K547" s="117"/>
      <c r="L547" s="118"/>
      <c r="M547" s="111"/>
      <c r="N547" s="111"/>
      <c r="O547" s="111"/>
      <c r="P547" s="111"/>
      <c r="Q547" s="111"/>
      <c r="R547" s="72"/>
      <c r="S547" s="111"/>
      <c r="T547" s="72"/>
    </row>
    <row r="548" spans="1:20" ht="18.75" customHeight="1" x14ac:dyDescent="0.2">
      <c r="A548" s="113"/>
      <c r="B548" s="113"/>
      <c r="C548" s="114"/>
      <c r="D548" s="111"/>
      <c r="E548" s="66" t="s">
        <v>19</v>
      </c>
      <c r="F548" s="66" t="s">
        <v>1006</v>
      </c>
      <c r="G548" s="66" t="s">
        <v>629</v>
      </c>
      <c r="H548" s="82" t="s">
        <v>349</v>
      </c>
      <c r="I548" s="115">
        <v>14.1</v>
      </c>
      <c r="J548" s="116"/>
      <c r="K548" s="117"/>
      <c r="L548" s="118"/>
      <c r="M548" s="111"/>
      <c r="N548" s="111"/>
      <c r="O548" s="111"/>
      <c r="P548" s="111"/>
      <c r="Q548" s="111"/>
      <c r="R548" s="72"/>
      <c r="S548" s="106"/>
      <c r="T548" s="119"/>
    </row>
    <row r="549" spans="1:20" ht="18.75" customHeight="1" x14ac:dyDescent="0.2">
      <c r="A549" s="113"/>
      <c r="B549" s="113"/>
      <c r="C549" s="114"/>
      <c r="D549" s="111"/>
      <c r="E549" s="66" t="s">
        <v>21</v>
      </c>
      <c r="F549" s="66" t="s">
        <v>1007</v>
      </c>
      <c r="G549" s="66" t="s">
        <v>355</v>
      </c>
      <c r="H549" s="82" t="s">
        <v>349</v>
      </c>
      <c r="I549" s="115">
        <v>13.86</v>
      </c>
      <c r="J549" s="116"/>
      <c r="K549" s="117"/>
      <c r="L549" s="118"/>
      <c r="M549" s="111"/>
      <c r="N549" s="111"/>
      <c r="O549" s="111"/>
      <c r="P549" s="111"/>
      <c r="Q549" s="111"/>
      <c r="R549" s="72"/>
      <c r="S549" s="111"/>
      <c r="T549" s="112"/>
    </row>
    <row r="550" spans="1:20" ht="18.75" customHeight="1" x14ac:dyDescent="0.2">
      <c r="A550" s="113"/>
      <c r="B550" s="113"/>
      <c r="C550" s="114"/>
      <c r="D550" s="111"/>
      <c r="E550" s="66"/>
      <c r="F550" s="66"/>
      <c r="G550" s="66" t="s">
        <v>353</v>
      </c>
      <c r="H550" s="82"/>
      <c r="I550" s="120"/>
      <c r="J550" s="116"/>
      <c r="K550" s="117"/>
      <c r="L550" s="118"/>
      <c r="M550" s="111"/>
      <c r="N550" s="111"/>
      <c r="O550" s="111"/>
      <c r="P550" s="111"/>
      <c r="Q550" s="111"/>
      <c r="R550" s="72"/>
      <c r="S550" s="111"/>
      <c r="T550" s="112"/>
    </row>
    <row r="551" spans="1:20" ht="18.75" customHeight="1" x14ac:dyDescent="0.2">
      <c r="A551" s="104">
        <v>37052</v>
      </c>
      <c r="B551" s="104">
        <v>37066</v>
      </c>
      <c r="C551" s="105">
        <v>23207</v>
      </c>
      <c r="D551" s="106" t="s">
        <v>1008</v>
      </c>
      <c r="E551" s="72" t="s">
        <v>19</v>
      </c>
      <c r="F551" s="72" t="s">
        <v>533</v>
      </c>
      <c r="G551" s="72" t="s">
        <v>958</v>
      </c>
      <c r="H551" s="74" t="s">
        <v>349</v>
      </c>
      <c r="I551" s="107">
        <v>50.43</v>
      </c>
      <c r="J551" s="108"/>
      <c r="K551" s="108">
        <v>73.3</v>
      </c>
      <c r="L551" s="108"/>
      <c r="M551" s="104">
        <v>37257</v>
      </c>
      <c r="N551" s="109">
        <v>40178</v>
      </c>
      <c r="O551" s="110"/>
      <c r="P551" s="106"/>
      <c r="Q551" s="106"/>
      <c r="R551" s="72"/>
      <c r="S551" s="111"/>
      <c r="T551" s="112"/>
    </row>
    <row r="552" spans="1:20" ht="18.75" customHeight="1" x14ac:dyDescent="0.2">
      <c r="A552" s="113"/>
      <c r="B552" s="113"/>
      <c r="C552" s="114"/>
      <c r="D552" s="111"/>
      <c r="E552" s="66" t="s">
        <v>1009</v>
      </c>
      <c r="F552" s="66" t="s">
        <v>1010</v>
      </c>
      <c r="G552" s="66" t="s">
        <v>389</v>
      </c>
      <c r="H552" s="82" t="s">
        <v>349</v>
      </c>
      <c r="I552" s="115">
        <v>29.86</v>
      </c>
      <c r="J552" s="116"/>
      <c r="K552" s="117"/>
      <c r="L552" s="118"/>
      <c r="M552" s="111"/>
      <c r="N552" s="111"/>
      <c r="O552" s="111"/>
      <c r="P552" s="111"/>
      <c r="Q552" s="111"/>
      <c r="R552" s="72"/>
      <c r="S552" s="106"/>
      <c r="T552" s="119"/>
    </row>
    <row r="553" spans="1:20" ht="18.75" customHeight="1" x14ac:dyDescent="0.2">
      <c r="A553" s="113"/>
      <c r="B553" s="113"/>
      <c r="C553" s="114"/>
      <c r="D553" s="111"/>
      <c r="E553" s="66" t="s">
        <v>34</v>
      </c>
      <c r="F553" s="66" t="s">
        <v>1011</v>
      </c>
      <c r="G553" s="66" t="s">
        <v>1012</v>
      </c>
      <c r="H553" s="82" t="s">
        <v>349</v>
      </c>
      <c r="I553" s="115">
        <v>19.71</v>
      </c>
      <c r="J553" s="116"/>
      <c r="K553" s="117"/>
      <c r="L553" s="118"/>
      <c r="M553" s="111"/>
      <c r="N553" s="111"/>
      <c r="O553" s="111"/>
      <c r="P553" s="111"/>
      <c r="Q553" s="111"/>
      <c r="R553" s="72"/>
      <c r="S553" s="111"/>
      <c r="T553" s="112"/>
    </row>
    <row r="554" spans="1:20" ht="18.75" customHeight="1" x14ac:dyDescent="0.2">
      <c r="A554" s="113"/>
      <c r="B554" s="113"/>
      <c r="C554" s="114"/>
      <c r="D554" s="111"/>
      <c r="E554" s="66"/>
      <c r="F554" s="66"/>
      <c r="G554" s="66" t="s">
        <v>353</v>
      </c>
      <c r="H554" s="82"/>
      <c r="I554" s="120"/>
      <c r="J554" s="116"/>
      <c r="K554" s="117"/>
      <c r="L554" s="118"/>
      <c r="M554" s="111"/>
      <c r="N554" s="111"/>
      <c r="O554" s="111"/>
      <c r="P554" s="111"/>
      <c r="Q554" s="111"/>
      <c r="R554" s="72"/>
      <c r="S554" s="111"/>
      <c r="T554" s="112"/>
    </row>
    <row r="555" spans="1:20" ht="18.75" customHeight="1" x14ac:dyDescent="0.2">
      <c r="A555" s="104">
        <v>37052</v>
      </c>
      <c r="B555" s="104">
        <v>37066</v>
      </c>
      <c r="C555" s="105">
        <v>33103</v>
      </c>
      <c r="D555" s="106" t="s">
        <v>1013</v>
      </c>
      <c r="E555" s="72" t="s">
        <v>21</v>
      </c>
      <c r="F555" s="72" t="s">
        <v>1014</v>
      </c>
      <c r="G555" s="72" t="s">
        <v>383</v>
      </c>
      <c r="H555" s="74" t="s">
        <v>349</v>
      </c>
      <c r="I555" s="107">
        <v>75.510000000000005</v>
      </c>
      <c r="J555" s="108"/>
      <c r="K555" s="108">
        <v>48.9</v>
      </c>
      <c r="L555" s="108"/>
      <c r="M555" s="104">
        <v>37257</v>
      </c>
      <c r="N555" s="122">
        <v>37864</v>
      </c>
      <c r="O555" s="110"/>
      <c r="P555" s="106"/>
      <c r="Q555" s="106"/>
      <c r="R555" s="72"/>
      <c r="S555" s="106"/>
      <c r="T555" s="119"/>
    </row>
    <row r="556" spans="1:20" ht="18.75" customHeight="1" x14ac:dyDescent="0.2">
      <c r="A556" s="113"/>
      <c r="B556" s="113"/>
      <c r="C556" s="114"/>
      <c r="D556" s="111"/>
      <c r="E556" s="66" t="s">
        <v>19</v>
      </c>
      <c r="F556" s="66" t="s">
        <v>1015</v>
      </c>
      <c r="G556" s="66" t="s">
        <v>1016</v>
      </c>
      <c r="H556" s="82" t="s">
        <v>419</v>
      </c>
      <c r="I556" s="115">
        <v>24.49</v>
      </c>
      <c r="J556" s="116"/>
      <c r="K556" s="117"/>
      <c r="L556" s="118"/>
      <c r="M556" s="111"/>
      <c r="N556" s="111"/>
      <c r="O556" s="111"/>
      <c r="P556" s="111"/>
      <c r="Q556" s="111"/>
      <c r="R556" s="72"/>
      <c r="S556" s="111"/>
      <c r="T556" s="112"/>
    </row>
    <row r="557" spans="1:20" ht="18.75" customHeight="1" x14ac:dyDescent="0.2">
      <c r="A557" s="113"/>
      <c r="B557" s="113"/>
      <c r="C557" s="114"/>
      <c r="D557" s="111"/>
      <c r="E557" s="124"/>
      <c r="F557" s="111"/>
      <c r="G557" s="111" t="s">
        <v>353</v>
      </c>
      <c r="H557" s="82"/>
      <c r="I557" s="125"/>
      <c r="J557" s="116"/>
      <c r="K557" s="117"/>
      <c r="L557" s="118"/>
      <c r="M557" s="111"/>
      <c r="N557" s="111"/>
      <c r="O557" s="111"/>
      <c r="P557" s="111"/>
      <c r="Q557" s="111"/>
      <c r="R557" s="72"/>
      <c r="S557" s="111"/>
      <c r="T557" s="112"/>
    </row>
    <row r="558" spans="1:20" ht="18.75" customHeight="1" x14ac:dyDescent="0.2">
      <c r="A558" s="104">
        <v>37052</v>
      </c>
      <c r="B558" s="104">
        <v>37066</v>
      </c>
      <c r="C558" s="105">
        <v>33105</v>
      </c>
      <c r="D558" s="106" t="s">
        <v>1017</v>
      </c>
      <c r="E558" s="72" t="s">
        <v>21</v>
      </c>
      <c r="F558" s="72" t="s">
        <v>1018</v>
      </c>
      <c r="G558" s="72" t="s">
        <v>376</v>
      </c>
      <c r="H558" s="74" t="s">
        <v>349</v>
      </c>
      <c r="I558" s="107">
        <v>86.12</v>
      </c>
      <c r="J558" s="108"/>
      <c r="K558" s="108">
        <v>40.799999999999997</v>
      </c>
      <c r="L558" s="108"/>
      <c r="M558" s="104">
        <v>37257</v>
      </c>
      <c r="N558" s="109">
        <v>40178</v>
      </c>
      <c r="O558" s="110"/>
      <c r="P558" s="106"/>
      <c r="Q558" s="106"/>
      <c r="R558" s="72"/>
      <c r="S558" s="111"/>
      <c r="T558" s="112"/>
    </row>
    <row r="559" spans="1:20" ht="18.75" customHeight="1" x14ac:dyDescent="0.2">
      <c r="A559" s="113"/>
      <c r="B559" s="113"/>
      <c r="C559" s="114"/>
      <c r="D559" s="111"/>
      <c r="E559" s="66" t="s">
        <v>38</v>
      </c>
      <c r="F559" s="66" t="s">
        <v>1019</v>
      </c>
      <c r="G559" s="66" t="s">
        <v>1020</v>
      </c>
      <c r="H559" s="82" t="s">
        <v>349</v>
      </c>
      <c r="I559" s="115">
        <v>11.11</v>
      </c>
      <c r="J559" s="116"/>
      <c r="K559" s="117"/>
      <c r="L559" s="118"/>
      <c r="M559" s="111"/>
      <c r="N559" s="111"/>
      <c r="O559" s="111"/>
      <c r="P559" s="111"/>
      <c r="Q559" s="111"/>
      <c r="R559" s="72"/>
      <c r="S559" s="106"/>
      <c r="T559" s="119"/>
    </row>
    <row r="560" spans="1:20" ht="18.75" customHeight="1" x14ac:dyDescent="0.2">
      <c r="A560" s="113"/>
      <c r="B560" s="113"/>
      <c r="C560" s="114"/>
      <c r="D560" s="111"/>
      <c r="E560" s="66" t="s">
        <v>1021</v>
      </c>
      <c r="F560" s="66" t="s">
        <v>1021</v>
      </c>
      <c r="G560" s="66" t="s">
        <v>1022</v>
      </c>
      <c r="H560" s="82" t="s">
        <v>349</v>
      </c>
      <c r="I560" s="115">
        <v>2.78</v>
      </c>
      <c r="J560" s="116"/>
      <c r="K560" s="117"/>
      <c r="L560" s="118"/>
      <c r="M560" s="111"/>
      <c r="N560" s="111"/>
      <c r="O560" s="111"/>
      <c r="P560" s="111"/>
      <c r="Q560" s="111"/>
      <c r="R560" s="72"/>
      <c r="S560" s="111"/>
      <c r="T560" s="72"/>
    </row>
    <row r="561" spans="1:20" ht="18.75" customHeight="1" x14ac:dyDescent="0.2">
      <c r="A561" s="113"/>
      <c r="B561" s="113"/>
      <c r="C561" s="114"/>
      <c r="D561" s="111"/>
      <c r="E561" s="66"/>
      <c r="F561" s="66"/>
      <c r="G561" s="66" t="s">
        <v>353</v>
      </c>
      <c r="H561" s="82"/>
      <c r="I561" s="120"/>
      <c r="J561" s="116"/>
      <c r="K561" s="117"/>
      <c r="L561" s="118"/>
      <c r="M561" s="111"/>
      <c r="N561" s="111"/>
      <c r="O561" s="111"/>
      <c r="P561" s="111"/>
      <c r="Q561" s="111"/>
      <c r="R561" s="72"/>
      <c r="S561" s="111"/>
      <c r="T561" s="112"/>
    </row>
    <row r="562" spans="1:20" ht="18.75" customHeight="1" x14ac:dyDescent="0.2">
      <c r="A562" s="104">
        <v>37052</v>
      </c>
      <c r="B562" s="104">
        <v>37066</v>
      </c>
      <c r="C562" s="105">
        <v>33305</v>
      </c>
      <c r="D562" s="106" t="s">
        <v>1023</v>
      </c>
      <c r="E562" s="72" t="s">
        <v>21</v>
      </c>
      <c r="F562" s="72" t="s">
        <v>459</v>
      </c>
      <c r="G562" s="72" t="s">
        <v>416</v>
      </c>
      <c r="H562" s="74" t="s">
        <v>349</v>
      </c>
      <c r="I562" s="107">
        <v>66.739999999999995</v>
      </c>
      <c r="J562" s="108"/>
      <c r="K562" s="108">
        <v>49.2</v>
      </c>
      <c r="L562" s="108"/>
      <c r="M562" s="104">
        <v>37257</v>
      </c>
      <c r="N562" s="109">
        <v>40178</v>
      </c>
      <c r="O562" s="110"/>
      <c r="P562" s="106"/>
      <c r="Q562" s="106"/>
      <c r="R562" s="72"/>
      <c r="S562" s="111"/>
      <c r="T562" s="112"/>
    </row>
    <row r="563" spans="1:20" ht="18.75" customHeight="1" x14ac:dyDescent="0.2">
      <c r="A563" s="113"/>
      <c r="B563" s="113"/>
      <c r="C563" s="114"/>
      <c r="D563" s="111"/>
      <c r="E563" s="66" t="s">
        <v>19</v>
      </c>
      <c r="F563" s="66" t="s">
        <v>1024</v>
      </c>
      <c r="G563" s="66" t="s">
        <v>1025</v>
      </c>
      <c r="H563" s="82" t="s">
        <v>349</v>
      </c>
      <c r="I563" s="115">
        <v>26.13</v>
      </c>
      <c r="J563" s="116"/>
      <c r="K563" s="117"/>
      <c r="L563" s="118"/>
      <c r="M563" s="111"/>
      <c r="N563" s="111"/>
      <c r="O563" s="111"/>
      <c r="P563" s="111"/>
      <c r="Q563" s="111"/>
      <c r="R563" s="72"/>
      <c r="S563" s="106"/>
      <c r="T563" s="119"/>
    </row>
    <row r="564" spans="1:20" ht="18.75" customHeight="1" x14ac:dyDescent="0.2">
      <c r="A564" s="113"/>
      <c r="B564" s="113"/>
      <c r="C564" s="114"/>
      <c r="D564" s="111"/>
      <c r="E564" s="66" t="s">
        <v>55</v>
      </c>
      <c r="F564" s="66" t="s">
        <v>918</v>
      </c>
      <c r="G564" s="66" t="s">
        <v>360</v>
      </c>
      <c r="H564" s="82" t="s">
        <v>349</v>
      </c>
      <c r="I564" s="115">
        <v>7.13</v>
      </c>
      <c r="J564" s="116"/>
      <c r="K564" s="117"/>
      <c r="L564" s="118"/>
      <c r="M564" s="111"/>
      <c r="N564" s="111"/>
      <c r="O564" s="111"/>
      <c r="P564" s="111"/>
      <c r="Q564" s="111"/>
      <c r="R564" s="72"/>
      <c r="S564" s="111"/>
      <c r="T564" s="112"/>
    </row>
    <row r="565" spans="1:20" ht="18.75" customHeight="1" x14ac:dyDescent="0.2">
      <c r="A565" s="113"/>
      <c r="B565" s="113"/>
      <c r="C565" s="114"/>
      <c r="D565" s="111"/>
      <c r="E565" s="66"/>
      <c r="F565" s="66"/>
      <c r="G565" s="66" t="s">
        <v>353</v>
      </c>
      <c r="H565" s="82"/>
      <c r="I565" s="120"/>
      <c r="J565" s="116"/>
      <c r="K565" s="117"/>
      <c r="L565" s="118"/>
      <c r="M565" s="111"/>
      <c r="N565" s="111"/>
      <c r="O565" s="111"/>
      <c r="P565" s="111"/>
      <c r="Q565" s="111"/>
      <c r="R565" s="72"/>
      <c r="S565" s="111"/>
      <c r="T565" s="112"/>
    </row>
    <row r="566" spans="1:20" ht="18.75" customHeight="1" x14ac:dyDescent="0.2">
      <c r="A566" s="104">
        <v>37052</v>
      </c>
      <c r="B566" s="104">
        <v>37066</v>
      </c>
      <c r="C566" s="105">
        <v>33306</v>
      </c>
      <c r="D566" s="106" t="s">
        <v>1026</v>
      </c>
      <c r="E566" s="72" t="s">
        <v>1027</v>
      </c>
      <c r="F566" s="72" t="s">
        <v>1027</v>
      </c>
      <c r="G566" s="72" t="s">
        <v>389</v>
      </c>
      <c r="H566" s="74" t="s">
        <v>349</v>
      </c>
      <c r="I566" s="107">
        <v>31.73</v>
      </c>
      <c r="J566" s="121">
        <v>50.44</v>
      </c>
      <c r="K566" s="108">
        <v>53.3</v>
      </c>
      <c r="L566" s="108">
        <v>46.8</v>
      </c>
      <c r="M566" s="104">
        <v>37257</v>
      </c>
      <c r="N566" s="122">
        <v>39538</v>
      </c>
      <c r="O566" s="110"/>
      <c r="P566" s="106"/>
      <c r="Q566" s="106"/>
      <c r="R566" s="72"/>
      <c r="S566" s="111"/>
      <c r="T566" s="72"/>
    </row>
    <row r="567" spans="1:20" ht="18.75" customHeight="1" x14ac:dyDescent="0.2">
      <c r="A567" s="113"/>
      <c r="B567" s="113"/>
      <c r="C567" s="114"/>
      <c r="D567" s="111"/>
      <c r="E567" s="66" t="s">
        <v>19</v>
      </c>
      <c r="F567" s="66" t="s">
        <v>1028</v>
      </c>
      <c r="G567" s="66" t="s">
        <v>958</v>
      </c>
      <c r="H567" s="82" t="s">
        <v>349</v>
      </c>
      <c r="I567" s="115">
        <v>25.54</v>
      </c>
      <c r="J567" s="123">
        <v>49.56</v>
      </c>
      <c r="K567" s="117"/>
      <c r="L567" s="118"/>
      <c r="M567" s="111"/>
      <c r="N567" s="111"/>
      <c r="O567" s="111"/>
      <c r="P567" s="111"/>
      <c r="Q567" s="111"/>
      <c r="R567" s="72"/>
      <c r="S567" s="111"/>
      <c r="T567" s="112"/>
    </row>
    <row r="568" spans="1:20" ht="18.75" customHeight="1" x14ac:dyDescent="0.2">
      <c r="A568" s="113"/>
      <c r="B568" s="113"/>
      <c r="C568" s="114"/>
      <c r="D568" s="111"/>
      <c r="E568" s="66" t="s">
        <v>21</v>
      </c>
      <c r="F568" s="66" t="s">
        <v>1029</v>
      </c>
      <c r="G568" s="66" t="s">
        <v>606</v>
      </c>
      <c r="H568" s="82" t="s">
        <v>349</v>
      </c>
      <c r="I568" s="115">
        <v>21.45</v>
      </c>
      <c r="J568" s="116"/>
      <c r="K568" s="117"/>
      <c r="L568" s="118"/>
      <c r="M568" s="111"/>
      <c r="N568" s="111"/>
      <c r="O568" s="111"/>
      <c r="P568" s="111"/>
      <c r="Q568" s="111"/>
      <c r="R568" s="72"/>
      <c r="S568" s="111"/>
      <c r="T568" s="112"/>
    </row>
    <row r="569" spans="1:20" ht="18.75" customHeight="1" x14ac:dyDescent="0.2">
      <c r="A569" s="113"/>
      <c r="B569" s="113"/>
      <c r="C569" s="114"/>
      <c r="D569" s="111"/>
      <c r="E569" s="66" t="s">
        <v>1030</v>
      </c>
      <c r="F569" s="66" t="s">
        <v>1030</v>
      </c>
      <c r="G569" s="66" t="s">
        <v>500</v>
      </c>
      <c r="H569" s="82" t="s">
        <v>349</v>
      </c>
      <c r="I569" s="115">
        <v>12.12</v>
      </c>
      <c r="J569" s="116"/>
      <c r="K569" s="117"/>
      <c r="L569" s="118"/>
      <c r="M569" s="111"/>
      <c r="N569" s="111"/>
      <c r="O569" s="111"/>
      <c r="P569" s="111"/>
      <c r="Q569" s="111"/>
      <c r="R569" s="72"/>
      <c r="S569" s="111"/>
      <c r="T569" s="72"/>
    </row>
    <row r="570" spans="1:20" ht="18.75" customHeight="1" x14ac:dyDescent="0.2">
      <c r="A570" s="113"/>
      <c r="B570" s="113"/>
      <c r="C570" s="114"/>
      <c r="D570" s="111"/>
      <c r="E570" s="66" t="s">
        <v>1031</v>
      </c>
      <c r="F570" s="66" t="s">
        <v>1031</v>
      </c>
      <c r="G570" s="66" t="s">
        <v>512</v>
      </c>
      <c r="H570" s="82" t="s">
        <v>349</v>
      </c>
      <c r="I570" s="115">
        <v>8.2200000000000006</v>
      </c>
      <c r="J570" s="116"/>
      <c r="K570" s="117"/>
      <c r="L570" s="118"/>
      <c r="M570" s="111"/>
      <c r="N570" s="111"/>
      <c r="O570" s="111"/>
      <c r="P570" s="111"/>
      <c r="Q570" s="111"/>
      <c r="R570" s="72"/>
      <c r="S570" s="106"/>
      <c r="T570" s="72"/>
    </row>
    <row r="571" spans="1:20" ht="18.75" customHeight="1" x14ac:dyDescent="0.2">
      <c r="A571" s="113"/>
      <c r="B571" s="113"/>
      <c r="C571" s="114"/>
      <c r="D571" s="111"/>
      <c r="E571" s="66" t="s">
        <v>1032</v>
      </c>
      <c r="F571" s="66" t="s">
        <v>1032</v>
      </c>
      <c r="G571" s="66" t="s">
        <v>383</v>
      </c>
      <c r="H571" s="82" t="s">
        <v>349</v>
      </c>
      <c r="I571" s="115">
        <v>0.93</v>
      </c>
      <c r="J571" s="116"/>
      <c r="K571" s="117"/>
      <c r="L571" s="118"/>
      <c r="M571" s="111"/>
      <c r="N571" s="111"/>
      <c r="O571" s="111"/>
      <c r="P571" s="111"/>
      <c r="Q571" s="111"/>
      <c r="R571" s="72"/>
      <c r="S571" s="111"/>
      <c r="T571" s="72"/>
    </row>
    <row r="572" spans="1:20" ht="18.75" customHeight="1" x14ac:dyDescent="0.2">
      <c r="A572" s="113"/>
      <c r="B572" s="113"/>
      <c r="C572" s="114"/>
      <c r="D572" s="111"/>
      <c r="E572" s="66"/>
      <c r="F572" s="66"/>
      <c r="G572" s="66" t="s">
        <v>353</v>
      </c>
      <c r="H572" s="82"/>
      <c r="I572" s="120"/>
      <c r="J572" s="116"/>
      <c r="K572" s="117"/>
      <c r="L572" s="118"/>
      <c r="M572" s="111"/>
      <c r="N572" s="111"/>
      <c r="O572" s="111"/>
      <c r="P572" s="111"/>
      <c r="Q572" s="111"/>
      <c r="R572" s="72"/>
      <c r="S572" s="111"/>
      <c r="T572" s="112"/>
    </row>
    <row r="573" spans="1:20" ht="18.75" customHeight="1" x14ac:dyDescent="0.2">
      <c r="A573" s="104">
        <v>37052</v>
      </c>
      <c r="B573" s="104">
        <v>37066</v>
      </c>
      <c r="C573" s="105">
        <v>33403</v>
      </c>
      <c r="D573" s="106" t="s">
        <v>1033</v>
      </c>
      <c r="E573" s="72" t="s">
        <v>21</v>
      </c>
      <c r="F573" s="72" t="s">
        <v>1034</v>
      </c>
      <c r="G573" s="72" t="s">
        <v>789</v>
      </c>
      <c r="H573" s="74" t="s">
        <v>349</v>
      </c>
      <c r="I573" s="107">
        <v>53.41</v>
      </c>
      <c r="J573" s="108"/>
      <c r="K573" s="108">
        <v>55.4</v>
      </c>
      <c r="L573" s="108"/>
      <c r="M573" s="104">
        <v>37257</v>
      </c>
      <c r="N573" s="109">
        <v>40178</v>
      </c>
      <c r="O573" s="110"/>
      <c r="P573" s="106"/>
      <c r="Q573" s="106"/>
      <c r="R573" s="72"/>
      <c r="S573" s="106"/>
      <c r="T573" s="119"/>
    </row>
    <row r="574" spans="1:20" ht="18.75" customHeight="1" x14ac:dyDescent="0.2">
      <c r="A574" s="113"/>
      <c r="B574" s="113"/>
      <c r="C574" s="114"/>
      <c r="D574" s="111"/>
      <c r="E574" s="66" t="s">
        <v>19</v>
      </c>
      <c r="F574" s="66" t="s">
        <v>1035</v>
      </c>
      <c r="G574" s="66" t="s">
        <v>389</v>
      </c>
      <c r="H574" s="82" t="s">
        <v>349</v>
      </c>
      <c r="I574" s="115">
        <v>46.59</v>
      </c>
      <c r="J574" s="116"/>
      <c r="K574" s="117"/>
      <c r="L574" s="118"/>
      <c r="M574" s="111"/>
      <c r="N574" s="111"/>
      <c r="O574" s="111"/>
      <c r="P574" s="111"/>
      <c r="Q574" s="111"/>
      <c r="R574" s="72"/>
      <c r="S574" s="111"/>
      <c r="T574" s="112"/>
    </row>
    <row r="575" spans="1:20" ht="18.75" customHeight="1" x14ac:dyDescent="0.2">
      <c r="A575" s="113"/>
      <c r="B575" s="113"/>
      <c r="C575" s="114"/>
      <c r="D575" s="111"/>
      <c r="E575" s="66"/>
      <c r="F575" s="66"/>
      <c r="G575" s="66" t="s">
        <v>353</v>
      </c>
      <c r="H575" s="82"/>
      <c r="I575" s="120"/>
      <c r="J575" s="116"/>
      <c r="K575" s="117"/>
      <c r="L575" s="118"/>
      <c r="M575" s="111"/>
      <c r="N575" s="111"/>
      <c r="O575" s="111"/>
      <c r="P575" s="111"/>
      <c r="Q575" s="111"/>
      <c r="R575" s="72"/>
      <c r="S575" s="111"/>
      <c r="T575" s="112"/>
    </row>
    <row r="576" spans="1:20" ht="18.75" customHeight="1" x14ac:dyDescent="0.2">
      <c r="A576" s="104">
        <v>37052</v>
      </c>
      <c r="B576" s="104">
        <v>37066</v>
      </c>
      <c r="C576" s="105">
        <v>33502</v>
      </c>
      <c r="D576" s="106" t="s">
        <v>1036</v>
      </c>
      <c r="E576" s="72" t="s">
        <v>21</v>
      </c>
      <c r="F576" s="72" t="s">
        <v>1037</v>
      </c>
      <c r="G576" s="72" t="s">
        <v>477</v>
      </c>
      <c r="H576" s="74" t="s">
        <v>349</v>
      </c>
      <c r="I576" s="107">
        <v>49.47</v>
      </c>
      <c r="J576" s="121">
        <v>55.09</v>
      </c>
      <c r="K576" s="108">
        <v>60.2</v>
      </c>
      <c r="L576" s="108">
        <v>59.2</v>
      </c>
      <c r="M576" s="104">
        <v>37257</v>
      </c>
      <c r="N576" s="109">
        <v>38139</v>
      </c>
      <c r="O576" s="110"/>
      <c r="P576" s="106"/>
      <c r="Q576" s="106"/>
      <c r="R576" s="72"/>
      <c r="S576" s="111"/>
      <c r="T576" s="112"/>
    </row>
    <row r="577" spans="1:20" ht="18.75" customHeight="1" x14ac:dyDescent="0.2">
      <c r="A577" s="113"/>
      <c r="B577" s="113"/>
      <c r="C577" s="114"/>
      <c r="D577" s="111"/>
      <c r="E577" s="66" t="s">
        <v>19</v>
      </c>
      <c r="F577" s="66" t="s">
        <v>1038</v>
      </c>
      <c r="G577" s="66" t="s">
        <v>477</v>
      </c>
      <c r="H577" s="82" t="s">
        <v>349</v>
      </c>
      <c r="I577" s="115">
        <v>37.4</v>
      </c>
      <c r="J577" s="123">
        <v>44.91</v>
      </c>
      <c r="K577" s="117"/>
      <c r="L577" s="118"/>
      <c r="M577" s="111"/>
      <c r="N577" s="111"/>
      <c r="O577" s="111"/>
      <c r="P577" s="111"/>
      <c r="Q577" s="111"/>
      <c r="R577" s="72"/>
      <c r="S577" s="111"/>
      <c r="T577" s="112"/>
    </row>
    <row r="578" spans="1:20" ht="18.75" customHeight="1" x14ac:dyDescent="0.2">
      <c r="A578" s="113"/>
      <c r="B578" s="113"/>
      <c r="C578" s="114"/>
      <c r="D578" s="111"/>
      <c r="E578" s="66" t="s">
        <v>1039</v>
      </c>
      <c r="F578" s="66" t="s">
        <v>790</v>
      </c>
      <c r="G578" s="66" t="s">
        <v>1040</v>
      </c>
      <c r="H578" s="82" t="s">
        <v>349</v>
      </c>
      <c r="I578" s="115">
        <v>7.27</v>
      </c>
      <c r="J578" s="116"/>
      <c r="K578" s="117"/>
      <c r="L578" s="118"/>
      <c r="M578" s="111"/>
      <c r="N578" s="111"/>
      <c r="O578" s="111"/>
      <c r="P578" s="111"/>
      <c r="Q578" s="111"/>
      <c r="R578" s="72"/>
      <c r="S578" s="106"/>
      <c r="T578" s="119"/>
    </row>
    <row r="579" spans="1:20" ht="18.75" customHeight="1" x14ac:dyDescent="0.2">
      <c r="A579" s="113"/>
      <c r="B579" s="113"/>
      <c r="C579" s="114"/>
      <c r="D579" s="111"/>
      <c r="E579" s="66" t="s">
        <v>55</v>
      </c>
      <c r="F579" s="66" t="s">
        <v>1041</v>
      </c>
      <c r="G579" s="66" t="s">
        <v>423</v>
      </c>
      <c r="H579" s="82" t="s">
        <v>349</v>
      </c>
      <c r="I579" s="115">
        <v>5.86</v>
      </c>
      <c r="J579" s="116"/>
      <c r="K579" s="117"/>
      <c r="L579" s="118"/>
      <c r="M579" s="111"/>
      <c r="N579" s="111"/>
      <c r="O579" s="111"/>
      <c r="P579" s="111"/>
      <c r="Q579" s="111"/>
      <c r="R579" s="72"/>
      <c r="S579" s="111"/>
      <c r="T579" s="112"/>
    </row>
    <row r="580" spans="1:20" ht="18.75" customHeight="1" x14ac:dyDescent="0.2">
      <c r="A580" s="113"/>
      <c r="B580" s="113"/>
      <c r="C580" s="114"/>
      <c r="D580" s="111"/>
      <c r="E580" s="66"/>
      <c r="F580" s="66"/>
      <c r="G580" s="66" t="s">
        <v>353</v>
      </c>
      <c r="H580" s="82"/>
      <c r="I580" s="120"/>
      <c r="J580" s="116"/>
      <c r="K580" s="117"/>
      <c r="L580" s="118"/>
      <c r="M580" s="111"/>
      <c r="N580" s="111"/>
      <c r="O580" s="111"/>
      <c r="P580" s="111"/>
      <c r="Q580" s="111"/>
      <c r="R580" s="72"/>
      <c r="S580" s="111"/>
      <c r="T580" s="112"/>
    </row>
    <row r="581" spans="1:20" ht="18.75" customHeight="1" x14ac:dyDescent="0.2">
      <c r="A581" s="104">
        <v>37052</v>
      </c>
      <c r="B581" s="104">
        <v>37066</v>
      </c>
      <c r="C581" s="105">
        <v>33506</v>
      </c>
      <c r="D581" s="106" t="s">
        <v>1042</v>
      </c>
      <c r="E581" s="72" t="s">
        <v>21</v>
      </c>
      <c r="F581" s="72" t="s">
        <v>1043</v>
      </c>
      <c r="G581" s="72" t="s">
        <v>481</v>
      </c>
      <c r="H581" s="74" t="s">
        <v>349</v>
      </c>
      <c r="I581" s="107">
        <v>58.89</v>
      </c>
      <c r="J581" s="108"/>
      <c r="K581" s="108">
        <v>46.3</v>
      </c>
      <c r="L581" s="108"/>
      <c r="M581" s="104">
        <v>37257</v>
      </c>
      <c r="N581" s="109">
        <v>40178</v>
      </c>
      <c r="O581" s="110"/>
      <c r="P581" s="106"/>
      <c r="Q581" s="106"/>
      <c r="R581" s="72"/>
      <c r="S581" s="106"/>
      <c r="T581" s="119"/>
    </row>
    <row r="582" spans="1:20" ht="18.75" customHeight="1" x14ac:dyDescent="0.2">
      <c r="A582" s="113"/>
      <c r="B582" s="113"/>
      <c r="C582" s="114"/>
      <c r="D582" s="111"/>
      <c r="E582" s="66" t="s">
        <v>1044</v>
      </c>
      <c r="F582" s="66" t="s">
        <v>1044</v>
      </c>
      <c r="G582" s="66" t="s">
        <v>368</v>
      </c>
      <c r="H582" s="82" t="s">
        <v>349</v>
      </c>
      <c r="I582" s="115">
        <v>41.11</v>
      </c>
      <c r="J582" s="116"/>
      <c r="K582" s="117"/>
      <c r="L582" s="118"/>
      <c r="M582" s="111"/>
      <c r="N582" s="111"/>
      <c r="O582" s="111"/>
      <c r="P582" s="111"/>
      <c r="Q582" s="111"/>
      <c r="R582" s="72"/>
      <c r="S582" s="111"/>
      <c r="T582" s="72"/>
    </row>
    <row r="583" spans="1:20" ht="18.75" customHeight="1" x14ac:dyDescent="0.2">
      <c r="A583" s="113"/>
      <c r="B583" s="113"/>
      <c r="C583" s="114"/>
      <c r="D583" s="111"/>
      <c r="E583" s="124"/>
      <c r="F583" s="111"/>
      <c r="G583" s="111" t="s">
        <v>353</v>
      </c>
      <c r="H583" s="82"/>
      <c r="I583" s="125"/>
      <c r="J583" s="116"/>
      <c r="K583" s="117"/>
      <c r="L583" s="118"/>
      <c r="M583" s="111"/>
      <c r="N583" s="111"/>
      <c r="O583" s="111"/>
      <c r="P583" s="111"/>
      <c r="Q583" s="111"/>
      <c r="R583" s="72"/>
      <c r="S583" s="111"/>
      <c r="T583" s="112"/>
    </row>
    <row r="584" spans="1:20" ht="18.75" customHeight="1" x14ac:dyDescent="0.2">
      <c r="A584" s="104">
        <v>37052</v>
      </c>
      <c r="B584" s="104">
        <v>37066</v>
      </c>
      <c r="C584" s="105">
        <v>33507</v>
      </c>
      <c r="D584" s="106" t="s">
        <v>1045</v>
      </c>
      <c r="E584" s="72" t="s">
        <v>19</v>
      </c>
      <c r="F584" s="72" t="s">
        <v>1046</v>
      </c>
      <c r="G584" s="72" t="s">
        <v>371</v>
      </c>
      <c r="H584" s="74" t="s">
        <v>349</v>
      </c>
      <c r="I584" s="107">
        <v>50.44</v>
      </c>
      <c r="J584" s="108"/>
      <c r="K584" s="108">
        <v>60</v>
      </c>
      <c r="L584" s="108"/>
      <c r="M584" s="104">
        <v>37257</v>
      </c>
      <c r="N584" s="109">
        <v>40178</v>
      </c>
      <c r="O584" s="110"/>
      <c r="P584" s="106"/>
      <c r="Q584" s="106"/>
      <c r="R584" s="72"/>
      <c r="S584" s="106"/>
      <c r="T584" s="119"/>
    </row>
    <row r="585" spans="1:20" ht="18.75" customHeight="1" x14ac:dyDescent="0.2">
      <c r="A585" s="113"/>
      <c r="B585" s="113"/>
      <c r="C585" s="114"/>
      <c r="D585" s="111"/>
      <c r="E585" s="66" t="s">
        <v>21</v>
      </c>
      <c r="F585" s="66" t="s">
        <v>716</v>
      </c>
      <c r="G585" s="66" t="s">
        <v>915</v>
      </c>
      <c r="H585" s="82" t="s">
        <v>349</v>
      </c>
      <c r="I585" s="115">
        <v>49.56</v>
      </c>
      <c r="J585" s="116"/>
      <c r="K585" s="117"/>
      <c r="L585" s="118"/>
      <c r="M585" s="111"/>
      <c r="N585" s="111"/>
      <c r="O585" s="111"/>
      <c r="P585" s="111"/>
      <c r="Q585" s="111"/>
      <c r="R585" s="72"/>
      <c r="S585" s="111"/>
      <c r="T585" s="112"/>
    </row>
    <row r="586" spans="1:20" ht="18.75" customHeight="1" x14ac:dyDescent="0.2">
      <c r="A586" s="113"/>
      <c r="B586" s="113"/>
      <c r="C586" s="114"/>
      <c r="D586" s="111"/>
      <c r="E586" s="124"/>
      <c r="F586" s="111"/>
      <c r="G586" s="111" t="s">
        <v>353</v>
      </c>
      <c r="H586" s="82"/>
      <c r="I586" s="125"/>
      <c r="J586" s="116"/>
      <c r="K586" s="117"/>
      <c r="L586" s="118"/>
      <c r="M586" s="111"/>
      <c r="N586" s="111"/>
      <c r="O586" s="111"/>
      <c r="P586" s="111"/>
      <c r="Q586" s="111"/>
      <c r="R586" s="72"/>
      <c r="S586" s="111"/>
      <c r="T586" s="112"/>
    </row>
    <row r="587" spans="1:20" ht="18.75" customHeight="1" x14ac:dyDescent="0.2">
      <c r="A587" s="104">
        <v>37052</v>
      </c>
      <c r="B587" s="104">
        <v>37066</v>
      </c>
      <c r="C587" s="105">
        <v>33701</v>
      </c>
      <c r="D587" s="106" t="s">
        <v>1047</v>
      </c>
      <c r="E587" s="72" t="s">
        <v>19</v>
      </c>
      <c r="F587" s="72" t="s">
        <v>1048</v>
      </c>
      <c r="G587" s="72" t="s">
        <v>669</v>
      </c>
      <c r="H587" s="74" t="s">
        <v>349</v>
      </c>
      <c r="I587" s="107">
        <v>66.77</v>
      </c>
      <c r="J587" s="108"/>
      <c r="K587" s="108">
        <v>47.1</v>
      </c>
      <c r="L587" s="108"/>
      <c r="M587" s="104">
        <v>37257</v>
      </c>
      <c r="N587" s="109">
        <v>40178</v>
      </c>
      <c r="O587" s="110"/>
      <c r="P587" s="106"/>
      <c r="Q587" s="106"/>
      <c r="R587" s="72"/>
      <c r="S587" s="106"/>
      <c r="T587" s="119"/>
    </row>
    <row r="588" spans="1:20" ht="18.75" customHeight="1" x14ac:dyDescent="0.2">
      <c r="A588" s="113"/>
      <c r="B588" s="113"/>
      <c r="C588" s="114"/>
      <c r="D588" s="111"/>
      <c r="E588" s="66" t="s">
        <v>21</v>
      </c>
      <c r="F588" s="66" t="s">
        <v>1049</v>
      </c>
      <c r="G588" s="66" t="s">
        <v>1050</v>
      </c>
      <c r="H588" s="82" t="s">
        <v>349</v>
      </c>
      <c r="I588" s="115">
        <v>33.229999999999997</v>
      </c>
      <c r="J588" s="116"/>
      <c r="K588" s="117"/>
      <c r="L588" s="118"/>
      <c r="M588" s="111"/>
      <c r="N588" s="111"/>
      <c r="O588" s="111"/>
      <c r="P588" s="111"/>
      <c r="Q588" s="111"/>
      <c r="R588" s="72"/>
      <c r="S588" s="111"/>
      <c r="T588" s="112"/>
    </row>
    <row r="589" spans="1:20" ht="18.75" customHeight="1" x14ac:dyDescent="0.2">
      <c r="A589" s="113"/>
      <c r="B589" s="113"/>
      <c r="C589" s="114"/>
      <c r="D589" s="111"/>
      <c r="E589" s="124"/>
      <c r="F589" s="111"/>
      <c r="G589" s="111" t="s">
        <v>353</v>
      </c>
      <c r="H589" s="82"/>
      <c r="I589" s="125"/>
      <c r="J589" s="116"/>
      <c r="K589" s="117"/>
      <c r="L589" s="118"/>
      <c r="M589" s="111"/>
      <c r="N589" s="111"/>
      <c r="O589" s="111"/>
      <c r="P589" s="111"/>
      <c r="Q589" s="111"/>
      <c r="R589" s="72"/>
      <c r="S589" s="111"/>
      <c r="T589" s="112"/>
    </row>
    <row r="590" spans="1:20" ht="18.75" customHeight="1" x14ac:dyDescent="0.2">
      <c r="A590" s="104">
        <v>37052</v>
      </c>
      <c r="B590" s="104">
        <v>37066</v>
      </c>
      <c r="C590" s="105">
        <v>33704</v>
      </c>
      <c r="D590" s="106" t="s">
        <v>1051</v>
      </c>
      <c r="E590" s="72" t="s">
        <v>19</v>
      </c>
      <c r="F590" s="72" t="s">
        <v>1052</v>
      </c>
      <c r="G590" s="72" t="s">
        <v>797</v>
      </c>
      <c r="H590" s="74" t="s">
        <v>349</v>
      </c>
      <c r="I590" s="107">
        <v>77.849999999999994</v>
      </c>
      <c r="J590" s="108"/>
      <c r="K590" s="108">
        <v>50.2</v>
      </c>
      <c r="L590" s="108"/>
      <c r="M590" s="104">
        <v>37257</v>
      </c>
      <c r="N590" s="122">
        <v>39325</v>
      </c>
      <c r="O590" s="110"/>
      <c r="P590" s="106"/>
      <c r="Q590" s="106"/>
      <c r="R590" s="72"/>
      <c r="S590" s="111"/>
      <c r="T590" s="112"/>
    </row>
    <row r="591" spans="1:20" ht="18.75" customHeight="1" x14ac:dyDescent="0.2">
      <c r="A591" s="113"/>
      <c r="B591" s="113"/>
      <c r="C591" s="114"/>
      <c r="D591" s="111"/>
      <c r="E591" s="66" t="s">
        <v>55</v>
      </c>
      <c r="F591" s="66" t="s">
        <v>1053</v>
      </c>
      <c r="G591" s="66" t="s">
        <v>1054</v>
      </c>
      <c r="H591" s="82" t="s">
        <v>349</v>
      </c>
      <c r="I591" s="115">
        <v>14.15</v>
      </c>
      <c r="J591" s="116"/>
      <c r="K591" s="117"/>
      <c r="L591" s="118"/>
      <c r="M591" s="111"/>
      <c r="N591" s="111"/>
      <c r="O591" s="111"/>
      <c r="P591" s="111"/>
      <c r="Q591" s="111"/>
      <c r="R591" s="72"/>
      <c r="S591" s="106"/>
      <c r="T591" s="119"/>
    </row>
    <row r="592" spans="1:20" ht="18.75" customHeight="1" x14ac:dyDescent="0.2">
      <c r="A592" s="113"/>
      <c r="B592" s="113"/>
      <c r="C592" s="114"/>
      <c r="D592" s="111"/>
      <c r="E592" s="66" t="s">
        <v>34</v>
      </c>
      <c r="F592" s="66" t="s">
        <v>1055</v>
      </c>
      <c r="G592" s="66" t="s">
        <v>754</v>
      </c>
      <c r="H592" s="82" t="s">
        <v>349</v>
      </c>
      <c r="I592" s="115">
        <v>8</v>
      </c>
      <c r="J592" s="116"/>
      <c r="K592" s="117"/>
      <c r="L592" s="118"/>
      <c r="M592" s="111"/>
      <c r="N592" s="111"/>
      <c r="O592" s="111"/>
      <c r="P592" s="111"/>
      <c r="Q592" s="111"/>
      <c r="R592" s="72"/>
      <c r="S592" s="111"/>
      <c r="T592" s="112"/>
    </row>
    <row r="593" spans="1:20" ht="18.75" customHeight="1" x14ac:dyDescent="0.2">
      <c r="A593" s="113"/>
      <c r="B593" s="113"/>
      <c r="C593" s="114"/>
      <c r="D593" s="111"/>
      <c r="E593" s="66"/>
      <c r="F593" s="66"/>
      <c r="G593" s="66" t="s">
        <v>353</v>
      </c>
      <c r="H593" s="82"/>
      <c r="I593" s="120"/>
      <c r="J593" s="116"/>
      <c r="K593" s="117"/>
      <c r="L593" s="118"/>
      <c r="M593" s="111"/>
      <c r="N593" s="111"/>
      <c r="O593" s="111"/>
      <c r="P593" s="111"/>
      <c r="Q593" s="111"/>
      <c r="R593" s="72"/>
      <c r="S593" s="106"/>
      <c r="T593" s="119"/>
    </row>
    <row r="594" spans="1:20" ht="18.75" customHeight="1" x14ac:dyDescent="0.2">
      <c r="A594" s="104">
        <v>37052</v>
      </c>
      <c r="B594" s="104">
        <v>37066</v>
      </c>
      <c r="C594" s="105">
        <v>33706</v>
      </c>
      <c r="D594" s="106" t="s">
        <v>1056</v>
      </c>
      <c r="E594" s="72" t="s">
        <v>19</v>
      </c>
      <c r="F594" s="72" t="s">
        <v>428</v>
      </c>
      <c r="G594" s="72" t="s">
        <v>374</v>
      </c>
      <c r="H594" s="74" t="s">
        <v>349</v>
      </c>
      <c r="I594" s="107">
        <v>86.25</v>
      </c>
      <c r="J594" s="108"/>
      <c r="K594" s="108">
        <v>48.8</v>
      </c>
      <c r="L594" s="108"/>
      <c r="M594" s="104">
        <v>37257</v>
      </c>
      <c r="N594" s="109">
        <v>40178</v>
      </c>
      <c r="O594" s="110"/>
      <c r="P594" s="106"/>
      <c r="Q594" s="106"/>
      <c r="R594" s="72"/>
      <c r="S594" s="111"/>
      <c r="T594" s="112"/>
    </row>
    <row r="595" spans="1:20" ht="18.75" customHeight="1" x14ac:dyDescent="0.2">
      <c r="A595" s="113"/>
      <c r="B595" s="113"/>
      <c r="C595" s="114"/>
      <c r="D595" s="111"/>
      <c r="E595" s="124"/>
      <c r="F595" s="111"/>
      <c r="G595" s="111" t="s">
        <v>353</v>
      </c>
      <c r="H595" s="82"/>
      <c r="I595" s="125"/>
      <c r="J595" s="116"/>
      <c r="K595" s="117"/>
      <c r="L595" s="118"/>
      <c r="M595" s="111"/>
      <c r="N595" s="111"/>
      <c r="O595" s="111"/>
      <c r="P595" s="111"/>
      <c r="Q595" s="111"/>
      <c r="R595" s="72"/>
      <c r="S595" s="111"/>
      <c r="T595" s="112"/>
    </row>
    <row r="596" spans="1:20" ht="18.75" customHeight="1" x14ac:dyDescent="0.2">
      <c r="A596" s="104">
        <v>37129</v>
      </c>
      <c r="B596" s="104">
        <v>37143</v>
      </c>
      <c r="C596" s="105">
        <v>13501</v>
      </c>
      <c r="D596" s="106" t="s">
        <v>479</v>
      </c>
      <c r="E596" s="72" t="s">
        <v>19</v>
      </c>
      <c r="F596" s="72" t="s">
        <v>1057</v>
      </c>
      <c r="G596" s="72" t="s">
        <v>512</v>
      </c>
      <c r="H596" s="74" t="s">
        <v>349</v>
      </c>
      <c r="I596" s="107">
        <v>65.349999999999994</v>
      </c>
      <c r="J596" s="108"/>
      <c r="K596" s="108">
        <v>58.8</v>
      </c>
      <c r="L596" s="108"/>
      <c r="M596" s="104">
        <v>37316</v>
      </c>
      <c r="N596" s="109">
        <v>40237</v>
      </c>
      <c r="O596" s="92" t="s">
        <v>19</v>
      </c>
      <c r="P596" s="92" t="s">
        <v>480</v>
      </c>
      <c r="Q596" s="92" t="s">
        <v>481</v>
      </c>
      <c r="R596" s="72" t="s">
        <v>349</v>
      </c>
      <c r="S596" s="106" t="s">
        <v>1058</v>
      </c>
      <c r="T596" s="119"/>
    </row>
    <row r="597" spans="1:20" ht="18.75" customHeight="1" x14ac:dyDescent="0.2">
      <c r="A597" s="113"/>
      <c r="B597" s="113"/>
      <c r="C597" s="114"/>
      <c r="D597" s="111"/>
      <c r="E597" s="66" t="s">
        <v>1059</v>
      </c>
      <c r="F597" s="66" t="s">
        <v>1059</v>
      </c>
      <c r="G597" s="66" t="s">
        <v>611</v>
      </c>
      <c r="H597" s="82" t="s">
        <v>349</v>
      </c>
      <c r="I597" s="115">
        <v>34.65</v>
      </c>
      <c r="J597" s="116"/>
      <c r="K597" s="117"/>
      <c r="L597" s="118"/>
      <c r="M597" s="111"/>
      <c r="N597" s="111"/>
      <c r="O597" s="111"/>
      <c r="P597" s="111"/>
      <c r="Q597" s="111"/>
      <c r="R597" s="72"/>
      <c r="S597" s="111"/>
      <c r="T597" s="72"/>
    </row>
    <row r="598" spans="1:20" ht="18.75" customHeight="1" x14ac:dyDescent="0.2">
      <c r="A598" s="113"/>
      <c r="B598" s="113"/>
      <c r="C598" s="114"/>
      <c r="D598" s="111"/>
      <c r="E598" s="124"/>
      <c r="F598" s="111"/>
      <c r="G598" s="111" t="s">
        <v>353</v>
      </c>
      <c r="H598" s="82"/>
      <c r="I598" s="125"/>
      <c r="J598" s="116"/>
      <c r="K598" s="117"/>
      <c r="L598" s="118"/>
      <c r="M598" s="111"/>
      <c r="N598" s="111"/>
      <c r="O598" s="111"/>
      <c r="P598" s="111"/>
      <c r="Q598" s="111"/>
      <c r="R598" s="72"/>
      <c r="S598" s="106"/>
      <c r="T598" s="119"/>
    </row>
    <row r="599" spans="1:20" ht="18.75" customHeight="1" x14ac:dyDescent="0.2">
      <c r="A599" s="104">
        <v>37129</v>
      </c>
      <c r="B599" s="104">
        <v>37143</v>
      </c>
      <c r="C599" s="105">
        <v>13503</v>
      </c>
      <c r="D599" s="106" t="s">
        <v>1060</v>
      </c>
      <c r="E599" s="72" t="s">
        <v>19</v>
      </c>
      <c r="F599" s="72" t="s">
        <v>1061</v>
      </c>
      <c r="G599" s="72" t="s">
        <v>585</v>
      </c>
      <c r="H599" s="74" t="s">
        <v>349</v>
      </c>
      <c r="I599" s="107">
        <v>81.05</v>
      </c>
      <c r="J599" s="108"/>
      <c r="K599" s="108">
        <v>34.9</v>
      </c>
      <c r="L599" s="108"/>
      <c r="M599" s="104">
        <v>37257</v>
      </c>
      <c r="N599" s="109">
        <v>40178</v>
      </c>
      <c r="O599" s="110"/>
      <c r="P599" s="106"/>
      <c r="Q599" s="106"/>
      <c r="R599" s="72"/>
      <c r="S599" s="111"/>
      <c r="T599" s="112"/>
    </row>
    <row r="600" spans="1:20" ht="18.75" customHeight="1" x14ac:dyDescent="0.2">
      <c r="A600" s="113"/>
      <c r="B600" s="113"/>
      <c r="C600" s="114"/>
      <c r="D600" s="111"/>
      <c r="E600" s="124"/>
      <c r="F600" s="111"/>
      <c r="G600" s="111" t="s">
        <v>353</v>
      </c>
      <c r="H600" s="82"/>
      <c r="I600" s="125"/>
      <c r="J600" s="116"/>
      <c r="K600" s="117"/>
      <c r="L600" s="118"/>
      <c r="M600" s="111"/>
      <c r="N600" s="111"/>
      <c r="O600" s="111"/>
      <c r="P600" s="111"/>
      <c r="Q600" s="111"/>
      <c r="R600" s="72"/>
      <c r="S600" s="111"/>
      <c r="T600" s="112"/>
    </row>
    <row r="601" spans="1:20" ht="18.75" customHeight="1" x14ac:dyDescent="0.2">
      <c r="A601" s="104">
        <v>37143</v>
      </c>
      <c r="B601" s="104">
        <v>37157</v>
      </c>
      <c r="C601" s="105">
        <v>23302</v>
      </c>
      <c r="D601" s="106" t="s">
        <v>1062</v>
      </c>
      <c r="E601" s="72" t="s">
        <v>19</v>
      </c>
      <c r="F601" s="72" t="s">
        <v>1063</v>
      </c>
      <c r="G601" s="72" t="s">
        <v>469</v>
      </c>
      <c r="H601" s="74" t="s">
        <v>349</v>
      </c>
      <c r="I601" s="107">
        <v>52.9</v>
      </c>
      <c r="J601" s="108"/>
      <c r="K601" s="108">
        <v>51.3</v>
      </c>
      <c r="L601" s="108"/>
      <c r="M601" s="104">
        <v>37257</v>
      </c>
      <c r="N601" s="109">
        <v>40178</v>
      </c>
      <c r="O601" s="110"/>
      <c r="P601" s="106"/>
      <c r="Q601" s="106"/>
      <c r="R601" s="72"/>
      <c r="S601" s="111"/>
      <c r="T601" s="112"/>
    </row>
    <row r="602" spans="1:20" ht="18.75" customHeight="1" x14ac:dyDescent="0.2">
      <c r="A602" s="113"/>
      <c r="B602" s="113"/>
      <c r="C602" s="114"/>
      <c r="D602" s="111"/>
      <c r="E602" s="66" t="s">
        <v>21</v>
      </c>
      <c r="F602" s="66" t="s">
        <v>1064</v>
      </c>
      <c r="G602" s="66" t="s">
        <v>947</v>
      </c>
      <c r="H602" s="82" t="s">
        <v>349</v>
      </c>
      <c r="I602" s="115">
        <v>29.98</v>
      </c>
      <c r="J602" s="116"/>
      <c r="K602" s="117"/>
      <c r="L602" s="118"/>
      <c r="M602" s="111"/>
      <c r="N602" s="111"/>
      <c r="O602" s="111"/>
      <c r="P602" s="111"/>
      <c r="Q602" s="111"/>
      <c r="R602" s="72"/>
      <c r="S602" s="106"/>
      <c r="T602" s="119"/>
    </row>
    <row r="603" spans="1:20" ht="18.75" customHeight="1" x14ac:dyDescent="0.2">
      <c r="A603" s="113"/>
      <c r="B603" s="113"/>
      <c r="C603" s="114"/>
      <c r="D603" s="111"/>
      <c r="E603" s="66" t="s">
        <v>1065</v>
      </c>
      <c r="F603" s="66" t="s">
        <v>1065</v>
      </c>
      <c r="G603" s="66" t="s">
        <v>358</v>
      </c>
      <c r="H603" s="82" t="s">
        <v>349</v>
      </c>
      <c r="I603" s="115">
        <v>17.11</v>
      </c>
      <c r="J603" s="116"/>
      <c r="K603" s="117"/>
      <c r="L603" s="118"/>
      <c r="M603" s="111"/>
      <c r="N603" s="111"/>
      <c r="O603" s="111"/>
      <c r="P603" s="111"/>
      <c r="Q603" s="111"/>
      <c r="R603" s="72"/>
      <c r="S603" s="111"/>
      <c r="T603" s="72"/>
    </row>
    <row r="604" spans="1:20" ht="18.75" customHeight="1" x14ac:dyDescent="0.2">
      <c r="A604" s="113"/>
      <c r="B604" s="113"/>
      <c r="C604" s="114"/>
      <c r="D604" s="111"/>
      <c r="E604" s="124"/>
      <c r="F604" s="111"/>
      <c r="G604" s="111" t="s">
        <v>353</v>
      </c>
      <c r="H604" s="82"/>
      <c r="I604" s="125"/>
      <c r="J604" s="116"/>
      <c r="K604" s="117"/>
      <c r="L604" s="118"/>
      <c r="M604" s="111"/>
      <c r="N604" s="111"/>
      <c r="O604" s="111"/>
      <c r="P604" s="111"/>
      <c r="Q604" s="111"/>
      <c r="R604" s="72"/>
      <c r="S604" s="111"/>
      <c r="T604" s="112"/>
    </row>
    <row r="605" spans="1:20" ht="18.75" customHeight="1" x14ac:dyDescent="0.2">
      <c r="A605" s="104">
        <v>37143</v>
      </c>
      <c r="B605" s="104">
        <v>37157</v>
      </c>
      <c r="C605" s="105">
        <v>23305</v>
      </c>
      <c r="D605" s="106" t="s">
        <v>1066</v>
      </c>
      <c r="E605" s="72" t="s">
        <v>19</v>
      </c>
      <c r="F605" s="72" t="s">
        <v>1067</v>
      </c>
      <c r="G605" s="72" t="s">
        <v>368</v>
      </c>
      <c r="H605" s="74" t="s">
        <v>349</v>
      </c>
      <c r="I605" s="107">
        <v>65.400000000000006</v>
      </c>
      <c r="J605" s="108"/>
      <c r="K605" s="108">
        <v>60.9</v>
      </c>
      <c r="L605" s="108"/>
      <c r="M605" s="104">
        <v>37257</v>
      </c>
      <c r="N605" s="109">
        <v>40178</v>
      </c>
      <c r="O605" s="110"/>
      <c r="P605" s="106"/>
      <c r="Q605" s="106"/>
      <c r="R605" s="72"/>
      <c r="S605" s="111"/>
      <c r="T605" s="112"/>
    </row>
    <row r="606" spans="1:20" ht="18.75" customHeight="1" x14ac:dyDescent="0.2">
      <c r="A606" s="113"/>
      <c r="B606" s="113"/>
      <c r="C606" s="114"/>
      <c r="D606" s="111"/>
      <c r="E606" s="66" t="s">
        <v>829</v>
      </c>
      <c r="F606" s="66" t="s">
        <v>829</v>
      </c>
      <c r="G606" s="66" t="s">
        <v>1068</v>
      </c>
      <c r="H606" s="82" t="s">
        <v>349</v>
      </c>
      <c r="I606" s="115">
        <v>22.19</v>
      </c>
      <c r="J606" s="116"/>
      <c r="K606" s="117"/>
      <c r="L606" s="118"/>
      <c r="M606" s="111"/>
      <c r="N606" s="111"/>
      <c r="O606" s="111"/>
      <c r="P606" s="111"/>
      <c r="Q606" s="111"/>
      <c r="R606" s="72"/>
      <c r="S606" s="106"/>
      <c r="T606" s="72"/>
    </row>
    <row r="607" spans="1:20" ht="18.75" customHeight="1" x14ac:dyDescent="0.2">
      <c r="A607" s="113"/>
      <c r="B607" s="113"/>
      <c r="C607" s="114"/>
      <c r="D607" s="111"/>
      <c r="E607" s="66" t="s">
        <v>21</v>
      </c>
      <c r="F607" s="66" t="s">
        <v>1069</v>
      </c>
      <c r="G607" s="66" t="s">
        <v>1070</v>
      </c>
      <c r="H607" s="82" t="s">
        <v>349</v>
      </c>
      <c r="I607" s="115">
        <v>12.41</v>
      </c>
      <c r="J607" s="116"/>
      <c r="K607" s="117"/>
      <c r="L607" s="118"/>
      <c r="M607" s="111"/>
      <c r="N607" s="111"/>
      <c r="O607" s="111"/>
      <c r="P607" s="111"/>
      <c r="Q607" s="111"/>
      <c r="R607" s="72"/>
      <c r="S607" s="111"/>
      <c r="T607" s="112"/>
    </row>
    <row r="608" spans="1:20" ht="18.75" customHeight="1" x14ac:dyDescent="0.2">
      <c r="A608" s="113"/>
      <c r="B608" s="113"/>
      <c r="C608" s="114"/>
      <c r="D608" s="111"/>
      <c r="E608" s="66"/>
      <c r="F608" s="66"/>
      <c r="G608" s="66" t="s">
        <v>353</v>
      </c>
      <c r="H608" s="82"/>
      <c r="I608" s="120"/>
      <c r="J608" s="116"/>
      <c r="K608" s="117"/>
      <c r="L608" s="118"/>
      <c r="M608" s="111"/>
      <c r="N608" s="111"/>
      <c r="O608" s="111"/>
      <c r="P608" s="111"/>
      <c r="Q608" s="111"/>
      <c r="R608" s="72"/>
      <c r="S608" s="111"/>
      <c r="T608" s="112"/>
    </row>
    <row r="609" spans="1:20" ht="18.75" customHeight="1" x14ac:dyDescent="0.2">
      <c r="A609" s="104">
        <v>37143</v>
      </c>
      <c r="B609" s="104">
        <v>37157</v>
      </c>
      <c r="C609" s="105">
        <v>23503</v>
      </c>
      <c r="D609" s="106" t="s">
        <v>1071</v>
      </c>
      <c r="E609" s="72" t="s">
        <v>19</v>
      </c>
      <c r="F609" s="72" t="s">
        <v>1072</v>
      </c>
      <c r="G609" s="72" t="s">
        <v>666</v>
      </c>
      <c r="H609" s="74" t="s">
        <v>349</v>
      </c>
      <c r="I609" s="107">
        <v>58.95</v>
      </c>
      <c r="J609" s="108"/>
      <c r="K609" s="108">
        <v>41.6</v>
      </c>
      <c r="L609" s="108"/>
      <c r="M609" s="104">
        <v>37257</v>
      </c>
      <c r="N609" s="122">
        <v>39721</v>
      </c>
      <c r="O609" s="110"/>
      <c r="P609" s="106"/>
      <c r="Q609" s="106"/>
      <c r="R609" s="72"/>
      <c r="S609" s="106"/>
      <c r="T609" s="119"/>
    </row>
    <row r="610" spans="1:20" ht="18.75" customHeight="1" x14ac:dyDescent="0.2">
      <c r="A610" s="113"/>
      <c r="B610" s="113"/>
      <c r="C610" s="114"/>
      <c r="D610" s="111"/>
      <c r="E610" s="66" t="s">
        <v>21</v>
      </c>
      <c r="F610" s="66" t="s">
        <v>1073</v>
      </c>
      <c r="G610" s="66" t="s">
        <v>361</v>
      </c>
      <c r="H610" s="82" t="s">
        <v>349</v>
      </c>
      <c r="I610" s="115">
        <v>41.05</v>
      </c>
      <c r="J610" s="116"/>
      <c r="K610" s="117"/>
      <c r="L610" s="118"/>
      <c r="M610" s="111"/>
      <c r="N610" s="111"/>
      <c r="O610" s="111"/>
      <c r="P610" s="111"/>
      <c r="Q610" s="111"/>
      <c r="R610" s="72"/>
      <c r="S610" s="111"/>
      <c r="T610" s="112"/>
    </row>
    <row r="611" spans="1:20" ht="18.75" customHeight="1" x14ac:dyDescent="0.2">
      <c r="A611" s="113"/>
      <c r="B611" s="113"/>
      <c r="C611" s="114"/>
      <c r="D611" s="111"/>
      <c r="E611" s="124"/>
      <c r="F611" s="111"/>
      <c r="G611" s="111" t="s">
        <v>353</v>
      </c>
      <c r="H611" s="82"/>
      <c r="I611" s="125"/>
      <c r="J611" s="116"/>
      <c r="K611" s="117"/>
      <c r="L611" s="118"/>
      <c r="M611" s="111"/>
      <c r="N611" s="111"/>
      <c r="O611" s="111"/>
      <c r="P611" s="111"/>
      <c r="Q611" s="111"/>
      <c r="R611" s="72"/>
      <c r="S611" s="111"/>
      <c r="T611" s="112"/>
    </row>
    <row r="612" spans="1:20" ht="18.75" customHeight="1" x14ac:dyDescent="0.2">
      <c r="A612" s="104">
        <v>37150</v>
      </c>
      <c r="B612" s="104">
        <v>37164</v>
      </c>
      <c r="C612" s="105">
        <v>14106</v>
      </c>
      <c r="D612" s="106" t="s">
        <v>1074</v>
      </c>
      <c r="E612" s="72" t="s">
        <v>19</v>
      </c>
      <c r="F612" s="72" t="s">
        <v>1075</v>
      </c>
      <c r="G612" s="72" t="s">
        <v>702</v>
      </c>
      <c r="H612" s="74" t="s">
        <v>349</v>
      </c>
      <c r="I612" s="107">
        <v>56.79</v>
      </c>
      <c r="J612" s="108"/>
      <c r="K612" s="108">
        <v>56</v>
      </c>
      <c r="L612" s="108"/>
      <c r="M612" s="104">
        <v>37257</v>
      </c>
      <c r="N612" s="109">
        <v>40178</v>
      </c>
      <c r="O612" s="110"/>
      <c r="P612" s="106"/>
      <c r="Q612" s="106"/>
      <c r="R612" s="72"/>
      <c r="S612" s="111"/>
      <c r="T612" s="112"/>
    </row>
    <row r="613" spans="1:20" ht="18.75" customHeight="1" x14ac:dyDescent="0.2">
      <c r="A613" s="113"/>
      <c r="B613" s="113"/>
      <c r="C613" s="114"/>
      <c r="D613" s="111"/>
      <c r="E613" s="66" t="s">
        <v>21</v>
      </c>
      <c r="F613" s="66" t="s">
        <v>1076</v>
      </c>
      <c r="G613" s="66" t="s">
        <v>556</v>
      </c>
      <c r="H613" s="82" t="s">
        <v>349</v>
      </c>
      <c r="I613" s="115">
        <v>38.53</v>
      </c>
      <c r="J613" s="116"/>
      <c r="K613" s="117"/>
      <c r="L613" s="118"/>
      <c r="M613" s="111"/>
      <c r="N613" s="111"/>
      <c r="O613" s="111"/>
      <c r="P613" s="111"/>
      <c r="Q613" s="111"/>
      <c r="R613" s="72"/>
      <c r="S613" s="106"/>
      <c r="T613" s="119"/>
    </row>
    <row r="614" spans="1:20" ht="18.75" customHeight="1" x14ac:dyDescent="0.2">
      <c r="A614" s="113"/>
      <c r="B614" s="113"/>
      <c r="C614" s="114"/>
      <c r="D614" s="111"/>
      <c r="E614" s="66" t="s">
        <v>1077</v>
      </c>
      <c r="F614" s="66" t="s">
        <v>1077</v>
      </c>
      <c r="G614" s="66" t="s">
        <v>374</v>
      </c>
      <c r="H614" s="82" t="s">
        <v>349</v>
      </c>
      <c r="I614" s="115">
        <v>4.68</v>
      </c>
      <c r="J614" s="116"/>
      <c r="K614" s="117"/>
      <c r="L614" s="118"/>
      <c r="M614" s="111"/>
      <c r="N614" s="111"/>
      <c r="O614" s="111"/>
      <c r="P614" s="111"/>
      <c r="Q614" s="111"/>
      <c r="R614" s="72"/>
      <c r="S614" s="111"/>
      <c r="T614" s="72"/>
    </row>
    <row r="615" spans="1:20" ht="18.75" customHeight="1" x14ac:dyDescent="0.2">
      <c r="A615" s="113"/>
      <c r="B615" s="113"/>
      <c r="C615" s="114"/>
      <c r="D615" s="111"/>
      <c r="E615" s="66"/>
      <c r="F615" s="66"/>
      <c r="G615" s="66" t="s">
        <v>353</v>
      </c>
      <c r="H615" s="82"/>
      <c r="I615" s="115"/>
      <c r="J615" s="116"/>
      <c r="K615" s="117"/>
      <c r="L615" s="118"/>
      <c r="M615" s="111"/>
      <c r="N615" s="111"/>
      <c r="O615" s="111"/>
      <c r="P615" s="111"/>
      <c r="Q615" s="111"/>
      <c r="R615" s="72"/>
      <c r="S615" s="111"/>
      <c r="T615" s="112"/>
    </row>
    <row r="616" spans="1:20" ht="18.75" customHeight="1" x14ac:dyDescent="0.2">
      <c r="A616" s="104">
        <v>37192</v>
      </c>
      <c r="B616" s="104">
        <v>37206</v>
      </c>
      <c r="C616" s="105">
        <v>13205</v>
      </c>
      <c r="D616" s="106" t="s">
        <v>354</v>
      </c>
      <c r="E616" s="72" t="s">
        <v>19</v>
      </c>
      <c r="F616" s="72" t="s">
        <v>1078</v>
      </c>
      <c r="G616" s="72" t="s">
        <v>1079</v>
      </c>
      <c r="H616" s="74" t="s">
        <v>349</v>
      </c>
      <c r="I616" s="107">
        <v>51.11</v>
      </c>
      <c r="J616" s="108"/>
      <c r="K616" s="108">
        <v>58.1</v>
      </c>
      <c r="L616" s="108"/>
      <c r="M616" s="104">
        <v>37438</v>
      </c>
      <c r="N616" s="109">
        <v>40359</v>
      </c>
      <c r="O616" s="73" t="s">
        <v>347</v>
      </c>
      <c r="P616" s="73" t="s">
        <v>347</v>
      </c>
      <c r="Q616" s="73" t="s">
        <v>355</v>
      </c>
      <c r="R616" s="72" t="s">
        <v>349</v>
      </c>
      <c r="S616" s="111"/>
      <c r="T616" s="112"/>
    </row>
    <row r="617" spans="1:20" ht="18.75" customHeight="1" x14ac:dyDescent="0.2">
      <c r="A617" s="113"/>
      <c r="B617" s="113"/>
      <c r="C617" s="114"/>
      <c r="D617" s="111"/>
      <c r="E617" s="66" t="s">
        <v>1080</v>
      </c>
      <c r="F617" s="66" t="s">
        <v>1080</v>
      </c>
      <c r="G617" s="66" t="s">
        <v>487</v>
      </c>
      <c r="H617" s="82" t="s">
        <v>349</v>
      </c>
      <c r="I617" s="115">
        <v>16.3</v>
      </c>
      <c r="J617" s="116"/>
      <c r="K617" s="117"/>
      <c r="L617" s="118"/>
      <c r="M617" s="111"/>
      <c r="N617" s="111"/>
      <c r="O617" s="111"/>
      <c r="P617" s="111"/>
      <c r="Q617" s="111"/>
      <c r="R617" s="72"/>
      <c r="S617" s="111"/>
      <c r="T617" s="72"/>
    </row>
    <row r="618" spans="1:20" ht="18.75" customHeight="1" x14ac:dyDescent="0.2">
      <c r="A618" s="113"/>
      <c r="B618" s="113"/>
      <c r="C618" s="114"/>
      <c r="D618" s="111"/>
      <c r="E618" s="66" t="s">
        <v>1081</v>
      </c>
      <c r="F618" s="66" t="s">
        <v>1081</v>
      </c>
      <c r="G618" s="66" t="s">
        <v>389</v>
      </c>
      <c r="H618" s="82" t="s">
        <v>349</v>
      </c>
      <c r="I618" s="115">
        <v>14.78</v>
      </c>
      <c r="J618" s="116"/>
      <c r="K618" s="117"/>
      <c r="L618" s="118"/>
      <c r="M618" s="111"/>
      <c r="N618" s="111"/>
      <c r="O618" s="111"/>
      <c r="P618" s="111"/>
      <c r="Q618" s="111"/>
      <c r="R618" s="72"/>
      <c r="S618" s="111"/>
      <c r="T618" s="72"/>
    </row>
    <row r="619" spans="1:20" ht="18.75" customHeight="1" x14ac:dyDescent="0.2">
      <c r="A619" s="113"/>
      <c r="B619" s="113"/>
      <c r="C619" s="114"/>
      <c r="D619" s="111"/>
      <c r="E619" s="66" t="s">
        <v>533</v>
      </c>
      <c r="F619" s="66" t="s">
        <v>533</v>
      </c>
      <c r="G619" s="66" t="s">
        <v>915</v>
      </c>
      <c r="H619" s="82" t="s">
        <v>349</v>
      </c>
      <c r="I619" s="115">
        <v>11.77</v>
      </c>
      <c r="J619" s="116"/>
      <c r="K619" s="117"/>
      <c r="L619" s="118"/>
      <c r="M619" s="111"/>
      <c r="N619" s="111"/>
      <c r="O619" s="111"/>
      <c r="P619" s="111"/>
      <c r="Q619" s="111"/>
      <c r="R619" s="72"/>
      <c r="S619" s="106"/>
      <c r="T619" s="72"/>
    </row>
    <row r="620" spans="1:20" ht="18.75" customHeight="1" x14ac:dyDescent="0.2">
      <c r="A620" s="113"/>
      <c r="B620" s="113"/>
      <c r="C620" s="114"/>
      <c r="D620" s="111"/>
      <c r="E620" s="66" t="s">
        <v>38</v>
      </c>
      <c r="F620" s="66" t="s">
        <v>1082</v>
      </c>
      <c r="G620" s="66" t="s">
        <v>440</v>
      </c>
      <c r="H620" s="82" t="s">
        <v>349</v>
      </c>
      <c r="I620" s="115">
        <v>6.04</v>
      </c>
      <c r="J620" s="116"/>
      <c r="K620" s="117"/>
      <c r="L620" s="118"/>
      <c r="M620" s="111"/>
      <c r="N620" s="111"/>
      <c r="O620" s="111"/>
      <c r="P620" s="111"/>
      <c r="Q620" s="111"/>
      <c r="R620" s="72"/>
      <c r="S620" s="111"/>
      <c r="T620" s="112"/>
    </row>
    <row r="621" spans="1:20" ht="18.75" customHeight="1" x14ac:dyDescent="0.2">
      <c r="A621" s="113"/>
      <c r="B621" s="113"/>
      <c r="C621" s="114"/>
      <c r="D621" s="111"/>
      <c r="E621" s="66"/>
      <c r="F621" s="66"/>
      <c r="G621" s="66" t="s">
        <v>353</v>
      </c>
      <c r="H621" s="82"/>
      <c r="I621" s="120"/>
      <c r="J621" s="116"/>
      <c r="K621" s="117"/>
      <c r="L621" s="118"/>
      <c r="M621" s="111"/>
      <c r="N621" s="111"/>
      <c r="O621" s="111"/>
      <c r="P621" s="111"/>
      <c r="Q621" s="111"/>
      <c r="R621" s="72"/>
      <c r="S621" s="111"/>
      <c r="T621" s="112"/>
    </row>
    <row r="622" spans="1:20" ht="18.75" customHeight="1" x14ac:dyDescent="0.2">
      <c r="A622" s="104">
        <v>37192</v>
      </c>
      <c r="B622" s="104">
        <v>37206</v>
      </c>
      <c r="C622" s="105">
        <v>23301</v>
      </c>
      <c r="D622" s="106" t="s">
        <v>142</v>
      </c>
      <c r="E622" s="72" t="s">
        <v>19</v>
      </c>
      <c r="F622" s="72" t="s">
        <v>367</v>
      </c>
      <c r="G622" s="72" t="s">
        <v>368</v>
      </c>
      <c r="H622" s="74" t="s">
        <v>349</v>
      </c>
      <c r="I622" s="107">
        <v>77.760000000000005</v>
      </c>
      <c r="J622" s="108"/>
      <c r="K622" s="108">
        <v>46.4</v>
      </c>
      <c r="L622" s="108"/>
      <c r="M622" s="104">
        <v>37437</v>
      </c>
      <c r="N622" s="109">
        <v>40358</v>
      </c>
      <c r="O622" s="73" t="s">
        <v>19</v>
      </c>
      <c r="P622" s="73" t="s">
        <v>367</v>
      </c>
      <c r="Q622" s="73" t="s">
        <v>368</v>
      </c>
      <c r="R622" s="72" t="s">
        <v>349</v>
      </c>
      <c r="S622" s="106"/>
      <c r="T622" s="119"/>
    </row>
    <row r="623" spans="1:20" ht="18.75" customHeight="1" x14ac:dyDescent="0.2">
      <c r="A623" s="113"/>
      <c r="B623" s="113"/>
      <c r="C623" s="114"/>
      <c r="D623" s="111"/>
      <c r="E623" s="66" t="s">
        <v>1083</v>
      </c>
      <c r="F623" s="66" t="s">
        <v>1083</v>
      </c>
      <c r="G623" s="66" t="s">
        <v>1084</v>
      </c>
      <c r="H623" s="82" t="s">
        <v>349</v>
      </c>
      <c r="I623" s="115">
        <v>22.24</v>
      </c>
      <c r="J623" s="116"/>
      <c r="K623" s="117"/>
      <c r="L623" s="118"/>
      <c r="M623" s="111"/>
      <c r="N623" s="111"/>
      <c r="O623" s="111"/>
      <c r="P623" s="111"/>
      <c r="Q623" s="111"/>
      <c r="R623" s="72"/>
      <c r="S623" s="111"/>
      <c r="T623" s="72"/>
    </row>
    <row r="624" spans="1:20" ht="18.75" customHeight="1" x14ac:dyDescent="0.2">
      <c r="A624" s="113"/>
      <c r="B624" s="113"/>
      <c r="C624" s="114"/>
      <c r="D624" s="111"/>
      <c r="E624" s="124"/>
      <c r="F624" s="111"/>
      <c r="G624" s="111" t="s">
        <v>353</v>
      </c>
      <c r="H624" s="82"/>
      <c r="I624" s="125"/>
      <c r="J624" s="116"/>
      <c r="K624" s="117"/>
      <c r="L624" s="118"/>
      <c r="M624" s="111"/>
      <c r="N624" s="111"/>
      <c r="O624" s="111"/>
      <c r="P624" s="111"/>
      <c r="Q624" s="111"/>
      <c r="R624" s="72"/>
      <c r="S624" s="111"/>
      <c r="T624" s="112"/>
    </row>
    <row r="625" spans="1:20" ht="18.75" customHeight="1" x14ac:dyDescent="0.2">
      <c r="A625" s="104">
        <v>37199</v>
      </c>
      <c r="B625" s="104">
        <v>37220</v>
      </c>
      <c r="C625" s="105">
        <v>33104</v>
      </c>
      <c r="D625" s="106" t="s">
        <v>387</v>
      </c>
      <c r="E625" s="72" t="s">
        <v>19</v>
      </c>
      <c r="F625" s="72" t="s">
        <v>109</v>
      </c>
      <c r="G625" s="72" t="s">
        <v>550</v>
      </c>
      <c r="H625" s="74" t="s">
        <v>349</v>
      </c>
      <c r="I625" s="107">
        <v>47.81</v>
      </c>
      <c r="J625" s="121">
        <v>60.8</v>
      </c>
      <c r="K625" s="108">
        <v>60.9</v>
      </c>
      <c r="L625" s="108">
        <v>60</v>
      </c>
      <c r="M625" s="104">
        <v>37347</v>
      </c>
      <c r="N625" s="109">
        <v>40268</v>
      </c>
      <c r="O625" s="73" t="s">
        <v>19</v>
      </c>
      <c r="P625" s="73" t="s">
        <v>388</v>
      </c>
      <c r="Q625" s="73" t="s">
        <v>389</v>
      </c>
      <c r="R625" s="72" t="s">
        <v>349</v>
      </c>
      <c r="S625" s="111"/>
      <c r="T625" s="112"/>
    </row>
    <row r="626" spans="1:20" ht="18.75" customHeight="1" x14ac:dyDescent="0.2">
      <c r="A626" s="113"/>
      <c r="B626" s="113"/>
      <c r="C626" s="114"/>
      <c r="D626" s="111"/>
      <c r="E626" s="66" t="s">
        <v>21</v>
      </c>
      <c r="F626" s="66" t="s">
        <v>1085</v>
      </c>
      <c r="G626" s="66" t="s">
        <v>1086</v>
      </c>
      <c r="H626" s="82" t="s">
        <v>349</v>
      </c>
      <c r="I626" s="115">
        <v>41.03</v>
      </c>
      <c r="J626" s="123">
        <v>39.200000000000003</v>
      </c>
      <c r="K626" s="117"/>
      <c r="L626" s="118"/>
      <c r="M626" s="111"/>
      <c r="N626" s="111"/>
      <c r="O626" s="111"/>
      <c r="P626" s="111"/>
      <c r="Q626" s="111"/>
      <c r="R626" s="72"/>
      <c r="S626" s="106"/>
      <c r="T626" s="119"/>
    </row>
    <row r="627" spans="1:20" ht="18.75" customHeight="1" x14ac:dyDescent="0.2">
      <c r="A627" s="113"/>
      <c r="B627" s="113"/>
      <c r="C627" s="114"/>
      <c r="D627" s="111"/>
      <c r="E627" s="66" t="s">
        <v>950</v>
      </c>
      <c r="F627" s="66" t="s">
        <v>1087</v>
      </c>
      <c r="G627" s="66" t="s">
        <v>585</v>
      </c>
      <c r="H627" s="82" t="s">
        <v>349</v>
      </c>
      <c r="I627" s="115">
        <v>11.16</v>
      </c>
      <c r="J627" s="116"/>
      <c r="K627" s="117"/>
      <c r="L627" s="118"/>
      <c r="M627" s="111"/>
      <c r="N627" s="111"/>
      <c r="O627" s="111"/>
      <c r="P627" s="111"/>
      <c r="Q627" s="111"/>
      <c r="R627" s="72"/>
      <c r="S627" s="111"/>
      <c r="T627" s="112"/>
    </row>
    <row r="628" spans="1:20" ht="18.75" customHeight="1" x14ac:dyDescent="0.2">
      <c r="A628" s="113"/>
      <c r="B628" s="113"/>
      <c r="C628" s="114"/>
      <c r="D628" s="111"/>
      <c r="E628" s="66"/>
      <c r="F628" s="66"/>
      <c r="G628" s="66" t="s">
        <v>353</v>
      </c>
      <c r="H628" s="82"/>
      <c r="I628" s="120"/>
      <c r="J628" s="116"/>
      <c r="K628" s="117"/>
      <c r="L628" s="118"/>
      <c r="M628" s="111"/>
      <c r="N628" s="111"/>
      <c r="O628" s="111"/>
      <c r="P628" s="111"/>
      <c r="Q628" s="111"/>
      <c r="R628" s="72"/>
      <c r="S628" s="111"/>
      <c r="T628" s="112"/>
    </row>
    <row r="629" spans="1:20" ht="18.75" customHeight="1" x14ac:dyDescent="0.2">
      <c r="A629" s="104">
        <v>37220</v>
      </c>
      <c r="B629" s="104">
        <v>37234</v>
      </c>
      <c r="C629" s="105">
        <v>33907</v>
      </c>
      <c r="D629" s="106" t="s">
        <v>431</v>
      </c>
      <c r="E629" s="72" t="s">
        <v>21</v>
      </c>
      <c r="F629" s="72" t="s">
        <v>432</v>
      </c>
      <c r="G629" s="72" t="s">
        <v>358</v>
      </c>
      <c r="H629" s="74" t="s">
        <v>349</v>
      </c>
      <c r="I629" s="107">
        <v>73.569999999999993</v>
      </c>
      <c r="J629" s="108"/>
      <c r="K629" s="108">
        <v>34.700000000000003</v>
      </c>
      <c r="L629" s="108"/>
      <c r="M629" s="104">
        <v>37491</v>
      </c>
      <c r="N629" s="109">
        <v>40412</v>
      </c>
      <c r="O629" s="73" t="s">
        <v>21</v>
      </c>
      <c r="P629" s="73" t="s">
        <v>432</v>
      </c>
      <c r="Q629" s="73" t="s">
        <v>358</v>
      </c>
      <c r="R629" s="72" t="s">
        <v>349</v>
      </c>
      <c r="S629" s="106"/>
      <c r="T629" s="119"/>
    </row>
    <row r="630" spans="1:20" ht="18.75" customHeight="1" x14ac:dyDescent="0.2">
      <c r="A630" s="113"/>
      <c r="B630" s="113"/>
      <c r="C630" s="114"/>
      <c r="D630" s="111"/>
      <c r="E630" s="66" t="s">
        <v>19</v>
      </c>
      <c r="F630" s="66" t="s">
        <v>1088</v>
      </c>
      <c r="G630" s="66" t="s">
        <v>1089</v>
      </c>
      <c r="H630" s="82" t="s">
        <v>419</v>
      </c>
      <c r="I630" s="115">
        <v>26.43</v>
      </c>
      <c r="J630" s="116"/>
      <c r="K630" s="117"/>
      <c r="L630" s="118"/>
      <c r="M630" s="111"/>
      <c r="N630" s="111"/>
      <c r="O630" s="111"/>
      <c r="P630" s="111"/>
      <c r="Q630" s="111"/>
      <c r="R630" s="72"/>
      <c r="S630" s="111"/>
      <c r="T630" s="112"/>
    </row>
    <row r="631" spans="1:20" ht="18.75" customHeight="1" x14ac:dyDescent="0.2">
      <c r="A631" s="113"/>
      <c r="B631" s="113"/>
      <c r="C631" s="114"/>
      <c r="D631" s="111"/>
      <c r="E631" s="66"/>
      <c r="F631" s="66"/>
      <c r="G631" s="66" t="s">
        <v>353</v>
      </c>
      <c r="H631" s="82"/>
      <c r="I631" s="120"/>
      <c r="J631" s="116"/>
      <c r="K631" s="117"/>
      <c r="L631" s="118"/>
      <c r="M631" s="111"/>
      <c r="N631" s="111"/>
      <c r="O631" s="111"/>
      <c r="P631" s="111"/>
      <c r="Q631" s="111"/>
      <c r="R631" s="72"/>
      <c r="S631" s="111"/>
      <c r="T631" s="112"/>
    </row>
    <row r="632" spans="1:20" ht="18.75" customHeight="1" x14ac:dyDescent="0.2">
      <c r="A632" s="104">
        <v>37227</v>
      </c>
      <c r="B632" s="104">
        <v>37241</v>
      </c>
      <c r="C632" s="105">
        <v>33908</v>
      </c>
      <c r="D632" s="106" t="s">
        <v>434</v>
      </c>
      <c r="E632" s="72" t="s">
        <v>21</v>
      </c>
      <c r="F632" s="72" t="s">
        <v>435</v>
      </c>
      <c r="G632" s="72" t="s">
        <v>436</v>
      </c>
      <c r="H632" s="74" t="s">
        <v>349</v>
      </c>
      <c r="I632" s="107">
        <v>67.91</v>
      </c>
      <c r="J632" s="108"/>
      <c r="K632" s="108">
        <v>47.5</v>
      </c>
      <c r="L632" s="108"/>
      <c r="M632" s="104">
        <v>37485</v>
      </c>
      <c r="N632" s="109">
        <v>40406</v>
      </c>
      <c r="O632" s="73" t="s">
        <v>21</v>
      </c>
      <c r="P632" s="73" t="s">
        <v>435</v>
      </c>
      <c r="Q632" s="73" t="s">
        <v>436</v>
      </c>
      <c r="R632" s="72" t="s">
        <v>349</v>
      </c>
      <c r="S632" s="106"/>
      <c r="T632" s="119"/>
    </row>
    <row r="633" spans="1:20" ht="18.75" customHeight="1" x14ac:dyDescent="0.2">
      <c r="A633" s="113"/>
      <c r="B633" s="113"/>
      <c r="C633" s="114"/>
      <c r="D633" s="111"/>
      <c r="E633" s="66" t="s">
        <v>19</v>
      </c>
      <c r="F633" s="66" t="s">
        <v>1090</v>
      </c>
      <c r="G633" s="66" t="s">
        <v>1091</v>
      </c>
      <c r="H633" s="82" t="s">
        <v>419</v>
      </c>
      <c r="I633" s="115">
        <v>32.090000000000003</v>
      </c>
      <c r="J633" s="116"/>
      <c r="K633" s="117"/>
      <c r="L633" s="118"/>
      <c r="M633" s="111"/>
      <c r="N633" s="111"/>
      <c r="O633" s="111"/>
      <c r="P633" s="111"/>
      <c r="Q633" s="111"/>
      <c r="R633" s="72"/>
      <c r="S633" s="111"/>
      <c r="T633" s="112"/>
    </row>
    <row r="634" spans="1:20" ht="18.75" customHeight="1" x14ac:dyDescent="0.2">
      <c r="A634" s="113"/>
      <c r="B634" s="113"/>
      <c r="C634" s="114"/>
      <c r="D634" s="111"/>
      <c r="E634" s="66"/>
      <c r="F634" s="66"/>
      <c r="G634" s="66" t="s">
        <v>353</v>
      </c>
      <c r="H634" s="82"/>
      <c r="I634" s="120"/>
      <c r="J634" s="116"/>
      <c r="K634" s="117"/>
      <c r="L634" s="118"/>
      <c r="M634" s="111"/>
      <c r="N634" s="111"/>
      <c r="O634" s="111"/>
      <c r="P634" s="111"/>
      <c r="Q634" s="111"/>
      <c r="R634" s="72"/>
      <c r="S634" s="111"/>
      <c r="T634" s="112"/>
    </row>
    <row r="635" spans="1:20" ht="18.75" customHeight="1" x14ac:dyDescent="0.2">
      <c r="A635" s="104">
        <v>37276</v>
      </c>
      <c r="B635" s="104">
        <v>37290</v>
      </c>
      <c r="C635" s="105">
        <v>33906</v>
      </c>
      <c r="D635" s="106" t="s">
        <v>425</v>
      </c>
      <c r="E635" s="72" t="s">
        <v>21</v>
      </c>
      <c r="F635" s="72" t="s">
        <v>426</v>
      </c>
      <c r="G635" s="72" t="s">
        <v>427</v>
      </c>
      <c r="H635" s="74" t="s">
        <v>349</v>
      </c>
      <c r="I635" s="107">
        <v>59.87</v>
      </c>
      <c r="J635" s="108"/>
      <c r="K635" s="108">
        <v>43.4</v>
      </c>
      <c r="L635" s="108"/>
      <c r="M635" s="104">
        <v>37479</v>
      </c>
      <c r="N635" s="109">
        <v>40400</v>
      </c>
      <c r="O635" s="73" t="s">
        <v>21</v>
      </c>
      <c r="P635" s="73" t="s">
        <v>426</v>
      </c>
      <c r="Q635" s="73" t="s">
        <v>427</v>
      </c>
      <c r="R635" s="72" t="s">
        <v>349</v>
      </c>
      <c r="S635" s="106"/>
      <c r="T635" s="119"/>
    </row>
    <row r="636" spans="1:20" ht="18.75" customHeight="1" x14ac:dyDescent="0.2">
      <c r="A636" s="113"/>
      <c r="B636" s="113"/>
      <c r="C636" s="114"/>
      <c r="D636" s="111"/>
      <c r="E636" s="66" t="s">
        <v>19</v>
      </c>
      <c r="F636" s="66" t="s">
        <v>1092</v>
      </c>
      <c r="G636" s="66" t="s">
        <v>368</v>
      </c>
      <c r="H636" s="82" t="s">
        <v>349</v>
      </c>
      <c r="I636" s="115">
        <v>40.130000000000003</v>
      </c>
      <c r="J636" s="116"/>
      <c r="K636" s="117"/>
      <c r="L636" s="118"/>
      <c r="M636" s="111"/>
      <c r="N636" s="111"/>
      <c r="O636" s="111"/>
      <c r="P636" s="111"/>
      <c r="Q636" s="111"/>
      <c r="R636" s="72"/>
      <c r="S636" s="111"/>
      <c r="T636" s="112"/>
    </row>
    <row r="637" spans="1:20" ht="18.75" customHeight="1" x14ac:dyDescent="0.2">
      <c r="A637" s="113"/>
      <c r="B637" s="113"/>
      <c r="C637" s="114"/>
      <c r="D637" s="111"/>
      <c r="E637" s="66"/>
      <c r="F637" s="66"/>
      <c r="G637" s="66" t="s">
        <v>353</v>
      </c>
      <c r="H637" s="82"/>
      <c r="I637" s="120"/>
      <c r="J637" s="116"/>
      <c r="K637" s="117"/>
      <c r="L637" s="118"/>
      <c r="M637" s="111"/>
      <c r="N637" s="111"/>
      <c r="O637" s="111"/>
      <c r="P637" s="111"/>
      <c r="Q637" s="111"/>
      <c r="R637" s="72"/>
      <c r="S637" s="111"/>
      <c r="T637" s="112"/>
    </row>
    <row r="638" spans="1:20" ht="18.75" customHeight="1" x14ac:dyDescent="0.2">
      <c r="A638" s="104">
        <v>37318</v>
      </c>
      <c r="B638" s="104">
        <v>37332</v>
      </c>
      <c r="C638" s="105">
        <v>23505</v>
      </c>
      <c r="D638" s="106" t="s">
        <v>377</v>
      </c>
      <c r="E638" s="72" t="s">
        <v>19</v>
      </c>
      <c r="F638" s="72" t="s">
        <v>378</v>
      </c>
      <c r="G638" s="72" t="s">
        <v>379</v>
      </c>
      <c r="H638" s="74" t="s">
        <v>349</v>
      </c>
      <c r="I638" s="107">
        <v>76.459999999999994</v>
      </c>
      <c r="J638" s="108"/>
      <c r="K638" s="108">
        <v>50.6</v>
      </c>
      <c r="L638" s="108"/>
      <c r="M638" s="104">
        <v>37479</v>
      </c>
      <c r="N638" s="109">
        <v>38717</v>
      </c>
      <c r="O638" s="73" t="s">
        <v>19</v>
      </c>
      <c r="P638" s="73" t="s">
        <v>378</v>
      </c>
      <c r="Q638" s="73" t="s">
        <v>379</v>
      </c>
      <c r="R638" s="72" t="s">
        <v>349</v>
      </c>
      <c r="S638" s="106"/>
      <c r="T638" s="119"/>
    </row>
    <row r="639" spans="1:20" ht="18.75" customHeight="1" x14ac:dyDescent="0.2">
      <c r="A639" s="113"/>
      <c r="B639" s="113"/>
      <c r="C639" s="114"/>
      <c r="D639" s="111"/>
      <c r="E639" s="66" t="s">
        <v>21</v>
      </c>
      <c r="F639" s="66" t="s">
        <v>380</v>
      </c>
      <c r="G639" s="66" t="s">
        <v>381</v>
      </c>
      <c r="H639" s="82" t="s">
        <v>349</v>
      </c>
      <c r="I639" s="115">
        <v>23.54</v>
      </c>
      <c r="J639" s="116"/>
      <c r="K639" s="117"/>
      <c r="L639" s="118"/>
      <c r="M639" s="111"/>
      <c r="N639" s="111"/>
      <c r="O639" s="111"/>
      <c r="P639" s="111"/>
      <c r="Q639" s="111"/>
      <c r="R639" s="72"/>
      <c r="S639" s="111"/>
      <c r="T639" s="112"/>
    </row>
    <row r="640" spans="1:20" ht="18.75" customHeight="1" x14ac:dyDescent="0.2">
      <c r="A640" s="113"/>
      <c r="B640" s="113"/>
      <c r="C640" s="114"/>
      <c r="D640" s="111"/>
      <c r="E640" s="124"/>
      <c r="F640" s="111"/>
      <c r="G640" s="111" t="s">
        <v>353</v>
      </c>
      <c r="H640" s="82"/>
      <c r="I640" s="125"/>
      <c r="J640" s="116"/>
      <c r="K640" s="117"/>
      <c r="L640" s="118"/>
      <c r="M640" s="111"/>
      <c r="N640" s="111"/>
      <c r="O640" s="111"/>
      <c r="P640" s="111"/>
      <c r="Q640" s="111"/>
      <c r="R640" s="72"/>
      <c r="S640" s="111"/>
      <c r="T640" s="112"/>
    </row>
    <row r="641" spans="1:20" ht="18.75" customHeight="1" x14ac:dyDescent="0.2">
      <c r="A641" s="104">
        <v>37318</v>
      </c>
      <c r="B641" s="104">
        <v>37332</v>
      </c>
      <c r="C641" s="105">
        <v>33101</v>
      </c>
      <c r="D641" s="106" t="s">
        <v>384</v>
      </c>
      <c r="E641" s="72" t="s">
        <v>21</v>
      </c>
      <c r="F641" s="72" t="s">
        <v>385</v>
      </c>
      <c r="G641" s="72" t="s">
        <v>386</v>
      </c>
      <c r="H641" s="74" t="s">
        <v>349</v>
      </c>
      <c r="I641" s="107">
        <v>64.17</v>
      </c>
      <c r="J641" s="108"/>
      <c r="K641" s="108">
        <v>37.700000000000003</v>
      </c>
      <c r="L641" s="108"/>
      <c r="M641" s="104">
        <v>37539</v>
      </c>
      <c r="N641" s="122">
        <v>38290</v>
      </c>
      <c r="O641" s="73" t="s">
        <v>21</v>
      </c>
      <c r="P641" s="73" t="s">
        <v>385</v>
      </c>
      <c r="Q641" s="73" t="s">
        <v>386</v>
      </c>
      <c r="R641" s="72" t="s">
        <v>349</v>
      </c>
      <c r="S641" s="106"/>
      <c r="T641" s="119"/>
    </row>
    <row r="642" spans="1:20" ht="18.75" customHeight="1" x14ac:dyDescent="0.2">
      <c r="A642" s="113"/>
      <c r="B642" s="113"/>
      <c r="C642" s="114"/>
      <c r="D642" s="111"/>
      <c r="E642" s="66" t="s">
        <v>776</v>
      </c>
      <c r="F642" s="66" t="s">
        <v>776</v>
      </c>
      <c r="G642" s="66" t="s">
        <v>723</v>
      </c>
      <c r="H642" s="82" t="s">
        <v>349</v>
      </c>
      <c r="I642" s="115">
        <v>35.83</v>
      </c>
      <c r="J642" s="116"/>
      <c r="K642" s="117"/>
      <c r="L642" s="118"/>
      <c r="M642" s="111"/>
      <c r="N642" s="111"/>
      <c r="O642" s="111"/>
      <c r="P642" s="111"/>
      <c r="Q642" s="111"/>
      <c r="R642" s="72"/>
      <c r="S642" s="111"/>
      <c r="T642" s="72"/>
    </row>
    <row r="643" spans="1:20" ht="18.75" customHeight="1" x14ac:dyDescent="0.2">
      <c r="A643" s="113"/>
      <c r="B643" s="113"/>
      <c r="C643" s="114"/>
      <c r="D643" s="111"/>
      <c r="E643" s="124"/>
      <c r="F643" s="111"/>
      <c r="G643" s="111" t="s">
        <v>353</v>
      </c>
      <c r="H643" s="82"/>
      <c r="I643" s="125"/>
      <c r="J643" s="116"/>
      <c r="K643" s="117"/>
      <c r="L643" s="118"/>
      <c r="M643" s="111"/>
      <c r="N643" s="111"/>
      <c r="O643" s="111"/>
      <c r="P643" s="111"/>
      <c r="Q643" s="111"/>
      <c r="R643" s="72"/>
      <c r="S643" s="111"/>
      <c r="T643" s="112"/>
    </row>
    <row r="644" spans="1:20" ht="18.75" customHeight="1" x14ac:dyDescent="0.2">
      <c r="A644" s="104">
        <v>37318</v>
      </c>
      <c r="B644" s="104">
        <v>37332</v>
      </c>
      <c r="C644" s="105">
        <v>33801</v>
      </c>
      <c r="D644" s="106" t="s">
        <v>412</v>
      </c>
      <c r="E644" s="72" t="s">
        <v>21</v>
      </c>
      <c r="F644" s="72" t="s">
        <v>1093</v>
      </c>
      <c r="G644" s="72" t="s">
        <v>355</v>
      </c>
      <c r="H644" s="74" t="s">
        <v>349</v>
      </c>
      <c r="I644" s="107">
        <v>50.42</v>
      </c>
      <c r="J644" s="108"/>
      <c r="K644" s="108">
        <v>58.1</v>
      </c>
      <c r="L644" s="108"/>
      <c r="M644" s="104">
        <v>37561</v>
      </c>
      <c r="N644" s="122">
        <v>40331</v>
      </c>
      <c r="O644" s="73" t="s">
        <v>413</v>
      </c>
      <c r="P644" s="73" t="s">
        <v>413</v>
      </c>
      <c r="Q644" s="73" t="s">
        <v>414</v>
      </c>
      <c r="R644" s="72" t="s">
        <v>349</v>
      </c>
      <c r="S644" s="111"/>
      <c r="T644" s="112"/>
    </row>
    <row r="645" spans="1:20" ht="18.75" customHeight="1" x14ac:dyDescent="0.2">
      <c r="A645" s="113"/>
      <c r="B645" s="113"/>
      <c r="C645" s="114"/>
      <c r="D645" s="111"/>
      <c r="E645" s="66" t="s">
        <v>19</v>
      </c>
      <c r="F645" s="66" t="s">
        <v>1094</v>
      </c>
      <c r="G645" s="66" t="s">
        <v>355</v>
      </c>
      <c r="H645" s="82" t="s">
        <v>349</v>
      </c>
      <c r="I645" s="115">
        <v>34.369999999999997</v>
      </c>
      <c r="J645" s="116"/>
      <c r="K645" s="117"/>
      <c r="L645" s="118"/>
      <c r="M645" s="111"/>
      <c r="N645" s="111"/>
      <c r="O645" s="111"/>
      <c r="P645" s="111"/>
      <c r="Q645" s="111"/>
      <c r="R645" s="72"/>
      <c r="S645" s="106"/>
      <c r="T645" s="119"/>
    </row>
    <row r="646" spans="1:20" ht="18.75" customHeight="1" x14ac:dyDescent="0.2">
      <c r="A646" s="113"/>
      <c r="B646" s="113"/>
      <c r="C646" s="114"/>
      <c r="D646" s="111"/>
      <c r="E646" s="66" t="s">
        <v>1095</v>
      </c>
      <c r="F646" s="66" t="s">
        <v>1095</v>
      </c>
      <c r="G646" s="66" t="s">
        <v>383</v>
      </c>
      <c r="H646" s="82" t="s">
        <v>349</v>
      </c>
      <c r="I646" s="115">
        <v>15.21</v>
      </c>
      <c r="J646" s="116"/>
      <c r="K646" s="117"/>
      <c r="L646" s="118"/>
      <c r="M646" s="111"/>
      <c r="N646" s="111"/>
      <c r="O646" s="111"/>
      <c r="P646" s="111"/>
      <c r="Q646" s="111"/>
      <c r="R646" s="72"/>
      <c r="S646" s="111"/>
      <c r="T646" s="72"/>
    </row>
    <row r="647" spans="1:20" ht="18.75" customHeight="1" x14ac:dyDescent="0.2">
      <c r="A647" s="113"/>
      <c r="B647" s="113"/>
      <c r="C647" s="114"/>
      <c r="D647" s="111"/>
      <c r="E647" s="66"/>
      <c r="F647" s="66"/>
      <c r="G647" s="66" t="s">
        <v>353</v>
      </c>
      <c r="H647" s="82"/>
      <c r="I647" s="120"/>
      <c r="J647" s="116"/>
      <c r="K647" s="117"/>
      <c r="L647" s="118"/>
      <c r="M647" s="111"/>
      <c r="N647" s="111"/>
      <c r="O647" s="111"/>
      <c r="P647" s="111"/>
      <c r="Q647" s="111"/>
      <c r="R647" s="72"/>
      <c r="S647" s="111"/>
      <c r="T647" s="112"/>
    </row>
    <row r="648" spans="1:20" ht="18.75" customHeight="1" x14ac:dyDescent="0.2">
      <c r="A648" s="104">
        <v>37325</v>
      </c>
      <c r="B648" s="104">
        <v>37339</v>
      </c>
      <c r="C648" s="105">
        <v>23304</v>
      </c>
      <c r="D648" s="106" t="s">
        <v>372</v>
      </c>
      <c r="E648" s="72" t="s">
        <v>19</v>
      </c>
      <c r="F648" s="72" t="s">
        <v>373</v>
      </c>
      <c r="G648" s="72" t="s">
        <v>374</v>
      </c>
      <c r="H648" s="74" t="s">
        <v>349</v>
      </c>
      <c r="I648" s="107">
        <v>62.85</v>
      </c>
      <c r="J648" s="108"/>
      <c r="K648" s="108">
        <v>62.4</v>
      </c>
      <c r="L648" s="108"/>
      <c r="M648" s="104">
        <v>37438</v>
      </c>
      <c r="N648" s="109">
        <v>40359</v>
      </c>
      <c r="O648" s="73" t="s">
        <v>19</v>
      </c>
      <c r="P648" s="73" t="s">
        <v>373</v>
      </c>
      <c r="Q648" s="73" t="s">
        <v>374</v>
      </c>
      <c r="R648" s="72" t="s">
        <v>349</v>
      </c>
      <c r="S648" s="111"/>
      <c r="T648" s="112"/>
    </row>
    <row r="649" spans="1:20" ht="18.75" customHeight="1" x14ac:dyDescent="0.2">
      <c r="A649" s="113"/>
      <c r="B649" s="113"/>
      <c r="C649" s="114"/>
      <c r="D649" s="111"/>
      <c r="E649" s="66" t="s">
        <v>21</v>
      </c>
      <c r="F649" s="66" t="s">
        <v>1096</v>
      </c>
      <c r="G649" s="66" t="s">
        <v>500</v>
      </c>
      <c r="H649" s="82" t="s">
        <v>349</v>
      </c>
      <c r="I649" s="115">
        <v>32.020000000000003</v>
      </c>
      <c r="J649" s="116"/>
      <c r="K649" s="117"/>
      <c r="L649" s="118"/>
      <c r="M649" s="111"/>
      <c r="N649" s="111"/>
      <c r="O649" s="111"/>
      <c r="P649" s="111"/>
      <c r="Q649" s="111"/>
      <c r="R649" s="72"/>
      <c r="S649" s="106"/>
      <c r="T649" s="119"/>
    </row>
    <row r="650" spans="1:20" ht="18.75" customHeight="1" x14ac:dyDescent="0.2">
      <c r="A650" s="113"/>
      <c r="B650" s="113"/>
      <c r="C650" s="114"/>
      <c r="D650" s="111"/>
      <c r="E650" s="66" t="s">
        <v>1097</v>
      </c>
      <c r="F650" s="66" t="s">
        <v>1097</v>
      </c>
      <c r="G650" s="66" t="s">
        <v>360</v>
      </c>
      <c r="H650" s="82" t="s">
        <v>349</v>
      </c>
      <c r="I650" s="115">
        <v>5.13</v>
      </c>
      <c r="J650" s="116"/>
      <c r="K650" s="117"/>
      <c r="L650" s="118"/>
      <c r="M650" s="111"/>
      <c r="N650" s="111"/>
      <c r="O650" s="111"/>
      <c r="P650" s="111"/>
      <c r="Q650" s="111"/>
      <c r="R650" s="72"/>
      <c r="S650" s="111"/>
      <c r="T650" s="72"/>
    </row>
    <row r="651" spans="1:20" ht="18.75" customHeight="1" x14ac:dyDescent="0.2">
      <c r="A651" s="113"/>
      <c r="B651" s="113"/>
      <c r="C651" s="114"/>
      <c r="D651" s="111"/>
      <c r="E651" s="124"/>
      <c r="F651" s="111"/>
      <c r="G651" s="111" t="s">
        <v>353</v>
      </c>
      <c r="H651" s="82"/>
      <c r="I651" s="125"/>
      <c r="J651" s="116"/>
      <c r="K651" s="117"/>
      <c r="L651" s="118"/>
      <c r="M651" s="111"/>
      <c r="N651" s="111"/>
      <c r="O651" s="111"/>
      <c r="P651" s="111"/>
      <c r="Q651" s="111"/>
      <c r="R651" s="72"/>
      <c r="S651" s="106"/>
      <c r="T651" s="119"/>
    </row>
    <row r="652" spans="1:20" ht="18.75" customHeight="1" x14ac:dyDescent="0.2">
      <c r="A652" s="104">
        <v>37325</v>
      </c>
      <c r="B652" s="104">
        <v>37339</v>
      </c>
      <c r="C652" s="105">
        <v>33703</v>
      </c>
      <c r="D652" s="106" t="s">
        <v>402</v>
      </c>
      <c r="E652" s="72" t="s">
        <v>19</v>
      </c>
      <c r="F652" s="72" t="s">
        <v>403</v>
      </c>
      <c r="G652" s="72" t="s">
        <v>404</v>
      </c>
      <c r="H652" s="74" t="s">
        <v>349</v>
      </c>
      <c r="I652" s="107">
        <v>90.5</v>
      </c>
      <c r="J652" s="108"/>
      <c r="K652" s="108">
        <v>37.700000000000003</v>
      </c>
      <c r="L652" s="108"/>
      <c r="M652" s="104">
        <v>37479</v>
      </c>
      <c r="N652" s="109">
        <v>40400</v>
      </c>
      <c r="O652" s="110"/>
      <c r="P652" s="106"/>
      <c r="Q652" s="106"/>
      <c r="R652" s="72"/>
      <c r="S652" s="111"/>
      <c r="T652" s="112"/>
    </row>
    <row r="653" spans="1:20" ht="18.75" customHeight="1" x14ac:dyDescent="0.2">
      <c r="A653" s="113"/>
      <c r="B653" s="113"/>
      <c r="C653" s="114"/>
      <c r="D653" s="111"/>
      <c r="E653" s="124"/>
      <c r="F653" s="111"/>
      <c r="G653" s="111" t="s">
        <v>353</v>
      </c>
      <c r="H653" s="82"/>
      <c r="I653" s="125"/>
      <c r="J653" s="116"/>
      <c r="K653" s="117"/>
      <c r="L653" s="118"/>
      <c r="M653" s="111"/>
      <c r="N653" s="111"/>
      <c r="O653" s="111"/>
      <c r="P653" s="111"/>
      <c r="Q653" s="111"/>
      <c r="R653" s="72"/>
      <c r="S653" s="111"/>
      <c r="T653" s="112"/>
    </row>
    <row r="654" spans="1:20" ht="18.75" customHeight="1" x14ac:dyDescent="0.2">
      <c r="A654" s="104">
        <v>37325</v>
      </c>
      <c r="B654" s="104">
        <v>37339</v>
      </c>
      <c r="C654" s="105">
        <v>33707</v>
      </c>
      <c r="D654" s="106" t="s">
        <v>408</v>
      </c>
      <c r="E654" s="72" t="s">
        <v>1098</v>
      </c>
      <c r="F654" s="72" t="s">
        <v>1098</v>
      </c>
      <c r="G654" s="72" t="s">
        <v>615</v>
      </c>
      <c r="H654" s="74" t="s">
        <v>349</v>
      </c>
      <c r="I654" s="107">
        <v>65.69</v>
      </c>
      <c r="J654" s="108"/>
      <c r="K654" s="108">
        <v>70.2</v>
      </c>
      <c r="L654" s="108"/>
      <c r="M654" s="104">
        <v>37438</v>
      </c>
      <c r="N654" s="109">
        <v>40359</v>
      </c>
      <c r="O654" s="73" t="s">
        <v>19</v>
      </c>
      <c r="P654" s="73" t="s">
        <v>409</v>
      </c>
      <c r="Q654" s="73" t="s">
        <v>360</v>
      </c>
      <c r="R654" s="72" t="s">
        <v>349</v>
      </c>
      <c r="S654" s="111"/>
      <c r="T654" s="72"/>
    </row>
    <row r="655" spans="1:20" ht="18.75" customHeight="1" x14ac:dyDescent="0.2">
      <c r="A655" s="113"/>
      <c r="B655" s="113"/>
      <c r="C655" s="114"/>
      <c r="D655" s="111"/>
      <c r="E655" s="66" t="s">
        <v>19</v>
      </c>
      <c r="F655" s="66" t="s">
        <v>1099</v>
      </c>
      <c r="G655" s="66" t="s">
        <v>604</v>
      </c>
      <c r="H655" s="82" t="s">
        <v>349</v>
      </c>
      <c r="I655" s="115">
        <v>21.26</v>
      </c>
      <c r="J655" s="116"/>
      <c r="K655" s="117"/>
      <c r="L655" s="118"/>
      <c r="M655" s="111"/>
      <c r="N655" s="111"/>
      <c r="O655" s="111"/>
      <c r="P655" s="111"/>
      <c r="Q655" s="111"/>
      <c r="R655" s="72"/>
      <c r="S655" s="106"/>
      <c r="T655" s="119"/>
    </row>
    <row r="656" spans="1:20" ht="18.75" customHeight="1" x14ac:dyDescent="0.2">
      <c r="A656" s="113"/>
      <c r="B656" s="113"/>
      <c r="C656" s="114"/>
      <c r="D656" s="111"/>
      <c r="E656" s="66" t="s">
        <v>21</v>
      </c>
      <c r="F656" s="66" t="s">
        <v>1100</v>
      </c>
      <c r="G656" s="66" t="s">
        <v>442</v>
      </c>
      <c r="H656" s="82" t="s">
        <v>349</v>
      </c>
      <c r="I656" s="115">
        <v>13.05</v>
      </c>
      <c r="J656" s="116"/>
      <c r="K656" s="117"/>
      <c r="L656" s="118"/>
      <c r="M656" s="111"/>
      <c r="N656" s="111"/>
      <c r="O656" s="111"/>
      <c r="P656" s="111"/>
      <c r="Q656" s="111"/>
      <c r="R656" s="72"/>
      <c r="S656" s="111"/>
      <c r="T656" s="112"/>
    </row>
    <row r="657" spans="1:20" ht="18.75" customHeight="1" x14ac:dyDescent="0.2">
      <c r="A657" s="113"/>
      <c r="B657" s="113"/>
      <c r="C657" s="114"/>
      <c r="D657" s="111"/>
      <c r="E657" s="66"/>
      <c r="F657" s="66"/>
      <c r="G657" s="66" t="s">
        <v>353</v>
      </c>
      <c r="H657" s="82"/>
      <c r="I657" s="120"/>
      <c r="J657" s="116"/>
      <c r="K657" s="117"/>
      <c r="L657" s="118"/>
      <c r="M657" s="111"/>
      <c r="N657" s="111"/>
      <c r="O657" s="111"/>
      <c r="P657" s="111"/>
      <c r="Q657" s="111"/>
      <c r="R657" s="72"/>
      <c r="S657" s="111"/>
      <c r="T657" s="112"/>
    </row>
    <row r="658" spans="1:20" ht="18.75" customHeight="1" x14ac:dyDescent="0.2">
      <c r="A658" s="104">
        <v>37325</v>
      </c>
      <c r="B658" s="104">
        <v>37339</v>
      </c>
      <c r="C658" s="105">
        <v>33902</v>
      </c>
      <c r="D658" s="106" t="s">
        <v>421</v>
      </c>
      <c r="E658" s="72" t="s">
        <v>118</v>
      </c>
      <c r="F658" s="72" t="s">
        <v>118</v>
      </c>
      <c r="G658" s="72" t="s">
        <v>792</v>
      </c>
      <c r="H658" s="74" t="s">
        <v>349</v>
      </c>
      <c r="I658" s="107">
        <v>32.89</v>
      </c>
      <c r="J658" s="121">
        <v>58.42</v>
      </c>
      <c r="K658" s="108">
        <v>55.9</v>
      </c>
      <c r="L658" s="108">
        <v>51</v>
      </c>
      <c r="M658" s="104">
        <v>37532</v>
      </c>
      <c r="N658" s="109">
        <v>40453</v>
      </c>
      <c r="O658" s="73" t="s">
        <v>19</v>
      </c>
      <c r="P658" s="73" t="s">
        <v>422</v>
      </c>
      <c r="Q658" s="73" t="s">
        <v>423</v>
      </c>
      <c r="R658" s="72" t="s">
        <v>349</v>
      </c>
      <c r="S658" s="111"/>
      <c r="T658" s="72"/>
    </row>
    <row r="659" spans="1:20" ht="18.75" customHeight="1" x14ac:dyDescent="0.2">
      <c r="A659" s="113"/>
      <c r="B659" s="113"/>
      <c r="C659" s="114"/>
      <c r="D659" s="111"/>
      <c r="E659" s="66" t="s">
        <v>19</v>
      </c>
      <c r="F659" s="66" t="s">
        <v>1101</v>
      </c>
      <c r="G659" s="66" t="s">
        <v>361</v>
      </c>
      <c r="H659" s="82" t="s">
        <v>349</v>
      </c>
      <c r="I659" s="115">
        <v>40.229999999999997</v>
      </c>
      <c r="J659" s="123">
        <v>41.58</v>
      </c>
      <c r="K659" s="117"/>
      <c r="L659" s="118"/>
      <c r="M659" s="111"/>
      <c r="N659" s="111"/>
      <c r="O659" s="111"/>
      <c r="P659" s="111"/>
      <c r="Q659" s="111"/>
      <c r="R659" s="72"/>
      <c r="S659" s="106"/>
      <c r="T659" s="119"/>
    </row>
    <row r="660" spans="1:20" ht="18.75" customHeight="1" x14ac:dyDescent="0.2">
      <c r="A660" s="113"/>
      <c r="B660" s="113"/>
      <c r="C660" s="114"/>
      <c r="D660" s="111"/>
      <c r="E660" s="66" t="s">
        <v>21</v>
      </c>
      <c r="F660" s="66" t="s">
        <v>347</v>
      </c>
      <c r="G660" s="66" t="s">
        <v>1102</v>
      </c>
      <c r="H660" s="82" t="s">
        <v>419</v>
      </c>
      <c r="I660" s="115">
        <v>26.88</v>
      </c>
      <c r="J660" s="116"/>
      <c r="K660" s="117"/>
      <c r="L660" s="118"/>
      <c r="M660" s="111"/>
      <c r="N660" s="111"/>
      <c r="O660" s="111"/>
      <c r="P660" s="111"/>
      <c r="Q660" s="111"/>
      <c r="R660" s="72"/>
      <c r="S660" s="111"/>
      <c r="T660" s="112"/>
    </row>
    <row r="661" spans="1:20" ht="18.75" customHeight="1" x14ac:dyDescent="0.2">
      <c r="A661" s="113"/>
      <c r="B661" s="113"/>
      <c r="C661" s="114"/>
      <c r="D661" s="111"/>
      <c r="E661" s="66"/>
      <c r="F661" s="66"/>
      <c r="G661" s="66" t="s">
        <v>353</v>
      </c>
      <c r="H661" s="82"/>
      <c r="I661" s="115"/>
      <c r="J661" s="116"/>
      <c r="K661" s="117"/>
      <c r="L661" s="118"/>
      <c r="M661" s="111"/>
      <c r="N661" s="111"/>
      <c r="O661" s="111"/>
      <c r="P661" s="111"/>
      <c r="Q661" s="111"/>
      <c r="R661" s="72"/>
      <c r="S661" s="111"/>
      <c r="T661" s="112"/>
    </row>
    <row r="662" spans="1:20" ht="18.75" customHeight="1" x14ac:dyDescent="0.2">
      <c r="A662" s="104">
        <v>37339</v>
      </c>
      <c r="B662" s="104">
        <v>37353</v>
      </c>
      <c r="C662" s="105">
        <v>23501</v>
      </c>
      <c r="D662" s="106" t="s">
        <v>664</v>
      </c>
      <c r="E662" s="72" t="s">
        <v>19</v>
      </c>
      <c r="F662" s="72" t="s">
        <v>1103</v>
      </c>
      <c r="G662" s="72" t="s">
        <v>383</v>
      </c>
      <c r="H662" s="74" t="s">
        <v>349</v>
      </c>
      <c r="I662" s="107">
        <v>73.7</v>
      </c>
      <c r="J662" s="108"/>
      <c r="K662" s="108">
        <v>55</v>
      </c>
      <c r="L662" s="108"/>
      <c r="M662" s="104">
        <v>37347</v>
      </c>
      <c r="N662" s="109">
        <v>40268</v>
      </c>
      <c r="O662" s="92" t="s">
        <v>19</v>
      </c>
      <c r="P662" s="92" t="s">
        <v>665</v>
      </c>
      <c r="Q662" s="92" t="s">
        <v>666</v>
      </c>
      <c r="R662" s="72" t="s">
        <v>349</v>
      </c>
      <c r="S662" s="106"/>
      <c r="T662" s="119"/>
    </row>
    <row r="663" spans="1:20" ht="18.75" customHeight="1" x14ac:dyDescent="0.2">
      <c r="A663" s="113"/>
      <c r="B663" s="113"/>
      <c r="C663" s="114"/>
      <c r="D663" s="111"/>
      <c r="E663" s="66" t="s">
        <v>21</v>
      </c>
      <c r="F663" s="66" t="s">
        <v>1104</v>
      </c>
      <c r="G663" s="66" t="s">
        <v>789</v>
      </c>
      <c r="H663" s="82" t="s">
        <v>349</v>
      </c>
      <c r="I663" s="115">
        <v>26.3</v>
      </c>
      <c r="J663" s="116"/>
      <c r="K663" s="117"/>
      <c r="L663" s="118"/>
      <c r="M663" s="111"/>
      <c r="N663" s="111"/>
      <c r="O663" s="111"/>
      <c r="P663" s="111"/>
      <c r="Q663" s="111"/>
      <c r="R663" s="72"/>
      <c r="S663" s="111"/>
      <c r="T663" s="112"/>
    </row>
    <row r="664" spans="1:20" ht="18.75" customHeight="1" x14ac:dyDescent="0.2">
      <c r="A664" s="113"/>
      <c r="B664" s="113"/>
      <c r="C664" s="114"/>
      <c r="D664" s="111"/>
      <c r="E664" s="124"/>
      <c r="F664" s="111"/>
      <c r="G664" s="111" t="s">
        <v>353</v>
      </c>
      <c r="H664" s="82"/>
      <c r="I664" s="125"/>
      <c r="J664" s="116"/>
      <c r="K664" s="117"/>
      <c r="L664" s="118"/>
      <c r="M664" s="111"/>
      <c r="N664" s="111"/>
      <c r="O664" s="111"/>
      <c r="P664" s="111"/>
      <c r="Q664" s="111"/>
      <c r="R664" s="72"/>
      <c r="S664" s="111"/>
      <c r="T664" s="112"/>
    </row>
    <row r="665" spans="1:20" ht="18.75" customHeight="1" x14ac:dyDescent="0.2">
      <c r="A665" s="104">
        <v>37360</v>
      </c>
      <c r="B665" s="104">
        <v>37374</v>
      </c>
      <c r="C665" s="105">
        <v>33607</v>
      </c>
      <c r="D665" s="106" t="s">
        <v>399</v>
      </c>
      <c r="E665" s="72" t="s">
        <v>19</v>
      </c>
      <c r="F665" s="72" t="s">
        <v>1105</v>
      </c>
      <c r="G665" s="72" t="s">
        <v>383</v>
      </c>
      <c r="H665" s="74" t="s">
        <v>349</v>
      </c>
      <c r="I665" s="107">
        <v>54.82</v>
      </c>
      <c r="J665" s="108"/>
      <c r="K665" s="108">
        <v>58.1</v>
      </c>
      <c r="L665" s="108"/>
      <c r="M665" s="104">
        <v>37533</v>
      </c>
      <c r="N665" s="109">
        <v>40454</v>
      </c>
      <c r="O665" s="73" t="s">
        <v>21</v>
      </c>
      <c r="P665" s="73" t="s">
        <v>400</v>
      </c>
      <c r="Q665" s="73" t="s">
        <v>379</v>
      </c>
      <c r="R665" s="72" t="s">
        <v>349</v>
      </c>
      <c r="S665" s="111"/>
      <c r="T665" s="112"/>
    </row>
    <row r="666" spans="1:20" ht="18.75" customHeight="1" x14ac:dyDescent="0.2">
      <c r="A666" s="113"/>
      <c r="B666" s="113"/>
      <c r="C666" s="114"/>
      <c r="D666" s="111"/>
      <c r="E666" s="66" t="s">
        <v>21</v>
      </c>
      <c r="F666" s="66" t="s">
        <v>1106</v>
      </c>
      <c r="G666" s="66" t="s">
        <v>789</v>
      </c>
      <c r="H666" s="82" t="s">
        <v>349</v>
      </c>
      <c r="I666" s="115">
        <v>43.18</v>
      </c>
      <c r="J666" s="116"/>
      <c r="K666" s="117"/>
      <c r="L666" s="118"/>
      <c r="M666" s="111"/>
      <c r="N666" s="111"/>
      <c r="O666" s="111"/>
      <c r="P666" s="111"/>
      <c r="Q666" s="111"/>
      <c r="R666" s="72"/>
      <c r="S666" s="106"/>
      <c r="T666" s="119"/>
    </row>
    <row r="667" spans="1:20" ht="18.75" customHeight="1" x14ac:dyDescent="0.2">
      <c r="A667" s="113"/>
      <c r="B667" s="113"/>
      <c r="C667" s="114"/>
      <c r="D667" s="111"/>
      <c r="E667" s="66" t="s">
        <v>400</v>
      </c>
      <c r="F667" s="66" t="s">
        <v>400</v>
      </c>
      <c r="G667" s="66" t="s">
        <v>379</v>
      </c>
      <c r="H667" s="82" t="s">
        <v>349</v>
      </c>
      <c r="I667" s="115">
        <v>2</v>
      </c>
      <c r="J667" s="116"/>
      <c r="K667" s="117"/>
      <c r="L667" s="118"/>
      <c r="M667" s="111"/>
      <c r="N667" s="111"/>
      <c r="O667" s="111"/>
      <c r="P667" s="111"/>
      <c r="Q667" s="111"/>
      <c r="R667" s="72"/>
      <c r="S667" s="111"/>
      <c r="T667" s="72"/>
    </row>
    <row r="668" spans="1:20" ht="18.75" customHeight="1" x14ac:dyDescent="0.2">
      <c r="A668" s="113"/>
      <c r="B668" s="113"/>
      <c r="C668" s="114"/>
      <c r="D668" s="111"/>
      <c r="E668" s="124"/>
      <c r="F668" s="111"/>
      <c r="G668" s="111" t="s">
        <v>353</v>
      </c>
      <c r="H668" s="82"/>
      <c r="I668" s="125"/>
      <c r="J668" s="116"/>
      <c r="K668" s="117"/>
      <c r="L668" s="118"/>
      <c r="M668" s="111"/>
      <c r="N668" s="111"/>
      <c r="O668" s="111"/>
      <c r="P668" s="111"/>
      <c r="Q668" s="111"/>
      <c r="R668" s="72"/>
      <c r="S668" s="111"/>
      <c r="T668" s="112"/>
    </row>
    <row r="669" spans="1:20" ht="18.75" customHeight="1" x14ac:dyDescent="0.2">
      <c r="A669" s="104">
        <v>37521</v>
      </c>
      <c r="B669" s="104">
        <v>37542</v>
      </c>
      <c r="C669" s="105">
        <v>13203</v>
      </c>
      <c r="D669" s="106" t="s">
        <v>346</v>
      </c>
      <c r="E669" s="72" t="s">
        <v>347</v>
      </c>
      <c r="F669" s="72" t="s">
        <v>347</v>
      </c>
      <c r="G669" s="72" t="s">
        <v>348</v>
      </c>
      <c r="H669" s="74" t="s">
        <v>349</v>
      </c>
      <c r="I669" s="107">
        <v>75.09</v>
      </c>
      <c r="J669" s="108"/>
      <c r="K669" s="108">
        <v>76.400000000000006</v>
      </c>
      <c r="L669" s="108"/>
      <c r="M669" s="104">
        <v>37653</v>
      </c>
      <c r="N669" s="109">
        <v>40574</v>
      </c>
      <c r="O669" s="72" t="s">
        <v>347</v>
      </c>
      <c r="P669" s="72" t="s">
        <v>347</v>
      </c>
      <c r="Q669" s="72" t="s">
        <v>348</v>
      </c>
      <c r="R669" s="72" t="s">
        <v>349</v>
      </c>
      <c r="T669" s="72"/>
    </row>
    <row r="670" spans="1:20" ht="18.75" customHeight="1" x14ac:dyDescent="0.2">
      <c r="A670" s="113"/>
      <c r="B670" s="113"/>
      <c r="C670" s="114"/>
      <c r="D670" s="111"/>
      <c r="E670" s="66" t="s">
        <v>21</v>
      </c>
      <c r="F670" s="66" t="s">
        <v>1107</v>
      </c>
      <c r="G670" s="66" t="s">
        <v>383</v>
      </c>
      <c r="H670" s="82" t="s">
        <v>349</v>
      </c>
      <c r="I670" s="115">
        <v>24.91</v>
      </c>
      <c r="J670" s="116"/>
      <c r="K670" s="117"/>
      <c r="L670" s="118"/>
      <c r="M670" s="111"/>
      <c r="N670" s="111"/>
      <c r="O670" s="111"/>
      <c r="P670" s="111"/>
      <c r="Q670" s="111"/>
      <c r="R670" s="72"/>
      <c r="S670" s="111"/>
      <c r="T670" s="112"/>
    </row>
    <row r="671" spans="1:20" ht="18.75" customHeight="1" x14ac:dyDescent="0.2">
      <c r="A671" s="113"/>
      <c r="B671" s="113"/>
      <c r="C671" s="114"/>
      <c r="D671" s="111"/>
      <c r="E671" s="66"/>
      <c r="F671" s="66"/>
      <c r="G671" s="66" t="s">
        <v>353</v>
      </c>
      <c r="H671" s="82"/>
      <c r="I671" s="120"/>
      <c r="J671" s="116"/>
      <c r="K671" s="117"/>
      <c r="L671" s="118"/>
      <c r="M671" s="111"/>
      <c r="N671" s="111"/>
      <c r="O671" s="111"/>
      <c r="P671" s="111"/>
      <c r="Q671" s="111"/>
      <c r="R671" s="72"/>
      <c r="S671" s="111"/>
      <c r="T671" s="112"/>
    </row>
    <row r="672" spans="1:20" ht="18.75" customHeight="1" x14ac:dyDescent="0.2">
      <c r="A672" s="104">
        <v>37521</v>
      </c>
      <c r="B672" s="104">
        <v>37542</v>
      </c>
      <c r="C672" s="105">
        <v>13305</v>
      </c>
      <c r="D672" s="106" t="s">
        <v>356</v>
      </c>
      <c r="E672" s="72" t="s">
        <v>347</v>
      </c>
      <c r="F672" s="72" t="s">
        <v>347</v>
      </c>
      <c r="G672" s="72" t="s">
        <v>361</v>
      </c>
      <c r="H672" s="74" t="s">
        <v>349</v>
      </c>
      <c r="I672" s="107">
        <v>54.8</v>
      </c>
      <c r="J672" s="108"/>
      <c r="K672" s="108">
        <v>76.7</v>
      </c>
      <c r="L672" s="108"/>
      <c r="M672" s="104">
        <v>37695</v>
      </c>
      <c r="N672" s="109">
        <v>40616</v>
      </c>
      <c r="O672" s="73" t="s">
        <v>347</v>
      </c>
      <c r="P672" s="73" t="s">
        <v>347</v>
      </c>
      <c r="Q672" s="73" t="s">
        <v>361</v>
      </c>
      <c r="R672" s="72" t="s">
        <v>349</v>
      </c>
      <c r="T672" s="72"/>
    </row>
    <row r="673" spans="1:20" ht="18.75" customHeight="1" x14ac:dyDescent="0.2">
      <c r="A673" s="113"/>
      <c r="B673" s="113"/>
      <c r="C673" s="114"/>
      <c r="D673" s="111"/>
      <c r="E673" s="66" t="s">
        <v>21</v>
      </c>
      <c r="F673" s="66" t="s">
        <v>870</v>
      </c>
      <c r="G673" s="66" t="s">
        <v>556</v>
      </c>
      <c r="H673" s="82" t="s">
        <v>349</v>
      </c>
      <c r="I673" s="115">
        <v>45.2</v>
      </c>
      <c r="J673" s="116"/>
      <c r="K673" s="117"/>
      <c r="L673" s="118"/>
      <c r="M673" s="111"/>
      <c r="N673" s="111"/>
      <c r="O673" s="111"/>
      <c r="P673" s="111"/>
      <c r="Q673" s="111"/>
      <c r="R673" s="72"/>
      <c r="S673" s="111"/>
      <c r="T673" s="112"/>
    </row>
    <row r="674" spans="1:20" ht="18.75" customHeight="1" x14ac:dyDescent="0.2">
      <c r="A674" s="113"/>
      <c r="B674" s="113"/>
      <c r="C674" s="114"/>
      <c r="D674" s="111"/>
      <c r="E674" s="66"/>
      <c r="F674" s="66"/>
      <c r="G674" s="66" t="s">
        <v>353</v>
      </c>
      <c r="H674" s="82"/>
      <c r="I674" s="120"/>
      <c r="J674" s="116"/>
      <c r="K674" s="117"/>
      <c r="L674" s="118"/>
      <c r="M674" s="111"/>
      <c r="N674" s="111"/>
      <c r="O674" s="111"/>
      <c r="P674" s="111"/>
      <c r="Q674" s="111"/>
      <c r="R674" s="72"/>
      <c r="S674" s="111"/>
      <c r="T674" s="112"/>
    </row>
    <row r="675" spans="1:20" ht="18.75" customHeight="1" x14ac:dyDescent="0.2">
      <c r="A675" s="104">
        <v>37521</v>
      </c>
      <c r="B675" s="104">
        <v>37542</v>
      </c>
      <c r="C675" s="105">
        <v>13403</v>
      </c>
      <c r="D675" s="106" t="s">
        <v>470</v>
      </c>
      <c r="E675" s="72" t="s">
        <v>21</v>
      </c>
      <c r="F675" s="72" t="s">
        <v>471</v>
      </c>
      <c r="G675" s="72" t="s">
        <v>358</v>
      </c>
      <c r="H675" s="74" t="s">
        <v>349</v>
      </c>
      <c r="I675" s="107">
        <v>68.56</v>
      </c>
      <c r="J675" s="108"/>
      <c r="K675" s="108">
        <v>78</v>
      </c>
      <c r="L675" s="108"/>
      <c r="M675" s="104">
        <v>37772</v>
      </c>
      <c r="N675" s="109">
        <v>39386</v>
      </c>
      <c r="O675" s="73" t="s">
        <v>21</v>
      </c>
      <c r="P675" s="73" t="s">
        <v>471</v>
      </c>
      <c r="Q675" s="73" t="s">
        <v>358</v>
      </c>
      <c r="R675" s="72" t="s">
        <v>349</v>
      </c>
      <c r="S675" s="111"/>
      <c r="T675" s="112"/>
    </row>
    <row r="676" spans="1:20" ht="18.75" customHeight="1" x14ac:dyDescent="0.2">
      <c r="A676" s="113"/>
      <c r="B676" s="113"/>
      <c r="C676" s="114"/>
      <c r="D676" s="111"/>
      <c r="E676" s="66" t="s">
        <v>19</v>
      </c>
      <c r="F676" s="66" t="s">
        <v>1108</v>
      </c>
      <c r="G676" s="66" t="s">
        <v>1022</v>
      </c>
      <c r="H676" s="82" t="s">
        <v>349</v>
      </c>
      <c r="I676" s="115">
        <v>26.7</v>
      </c>
      <c r="J676" s="116"/>
      <c r="K676" s="117"/>
      <c r="L676" s="118"/>
      <c r="M676" s="111"/>
      <c r="N676" s="111"/>
      <c r="O676" s="111"/>
      <c r="P676" s="111"/>
      <c r="Q676" s="111"/>
      <c r="R676" s="72"/>
      <c r="S676" s="106"/>
      <c r="T676" s="119"/>
    </row>
    <row r="677" spans="1:20" ht="18.75" customHeight="1" x14ac:dyDescent="0.2">
      <c r="A677" s="113"/>
      <c r="B677" s="113"/>
      <c r="C677" s="114"/>
      <c r="D677" s="111"/>
      <c r="E677" s="66" t="s">
        <v>83</v>
      </c>
      <c r="F677" s="66" t="s">
        <v>1109</v>
      </c>
      <c r="G677" s="66" t="s">
        <v>741</v>
      </c>
      <c r="H677" s="82" t="s">
        <v>349</v>
      </c>
      <c r="I677" s="115">
        <v>4.74</v>
      </c>
      <c r="J677" s="116"/>
      <c r="K677" s="117"/>
      <c r="L677" s="118"/>
      <c r="M677" s="111"/>
      <c r="N677" s="111"/>
      <c r="O677" s="111"/>
      <c r="P677" s="111"/>
      <c r="Q677" s="111"/>
      <c r="R677" s="72"/>
      <c r="S677" s="111"/>
      <c r="T677" s="112"/>
    </row>
    <row r="678" spans="1:20" ht="18.75" customHeight="1" x14ac:dyDescent="0.2">
      <c r="A678" s="113"/>
      <c r="B678" s="113"/>
      <c r="C678" s="114"/>
      <c r="D678" s="111"/>
      <c r="E678" s="66"/>
      <c r="F678" s="66"/>
      <c r="G678" s="66" t="s">
        <v>353</v>
      </c>
      <c r="H678" s="82"/>
      <c r="I678" s="120"/>
      <c r="J678" s="116"/>
      <c r="K678" s="117"/>
      <c r="L678" s="118"/>
      <c r="M678" s="111"/>
      <c r="N678" s="111"/>
      <c r="O678" s="111"/>
      <c r="P678" s="111"/>
      <c r="Q678" s="111"/>
      <c r="R678" s="72"/>
      <c r="S678" s="111"/>
      <c r="T678" s="112"/>
    </row>
    <row r="679" spans="1:20" ht="18.75" customHeight="1" x14ac:dyDescent="0.2">
      <c r="A679" s="104">
        <v>37521</v>
      </c>
      <c r="B679" s="104">
        <v>37542</v>
      </c>
      <c r="C679" s="105">
        <v>13701</v>
      </c>
      <c r="D679" s="106" t="s">
        <v>445</v>
      </c>
      <c r="E679" s="72" t="s">
        <v>19</v>
      </c>
      <c r="F679" s="72" t="s">
        <v>1110</v>
      </c>
      <c r="G679" s="72" t="s">
        <v>358</v>
      </c>
      <c r="H679" s="74" t="s">
        <v>349</v>
      </c>
      <c r="I679" s="107">
        <v>61.09</v>
      </c>
      <c r="J679" s="108"/>
      <c r="K679" s="108">
        <v>77.900000000000006</v>
      </c>
      <c r="L679" s="108"/>
      <c r="M679" s="104">
        <v>37681</v>
      </c>
      <c r="N679" s="109">
        <v>40602</v>
      </c>
      <c r="O679" s="73" t="s">
        <v>21</v>
      </c>
      <c r="P679" s="73" t="s">
        <v>446</v>
      </c>
      <c r="Q679" s="73" t="s">
        <v>447</v>
      </c>
      <c r="R679" s="72" t="s">
        <v>349</v>
      </c>
      <c r="S679" s="106"/>
      <c r="T679" s="119"/>
    </row>
    <row r="680" spans="1:20" ht="18.75" customHeight="1" x14ac:dyDescent="0.2">
      <c r="A680" s="113"/>
      <c r="B680" s="113"/>
      <c r="C680" s="114"/>
      <c r="D680" s="111"/>
      <c r="E680" s="66" t="s">
        <v>21</v>
      </c>
      <c r="F680" s="66" t="s">
        <v>509</v>
      </c>
      <c r="G680" s="66" t="s">
        <v>545</v>
      </c>
      <c r="H680" s="82" t="s">
        <v>349</v>
      </c>
      <c r="I680" s="115">
        <v>38.909999999999997</v>
      </c>
      <c r="J680" s="116"/>
      <c r="K680" s="117"/>
      <c r="L680" s="118"/>
      <c r="M680" s="111"/>
      <c r="N680" s="111"/>
      <c r="O680" s="111"/>
      <c r="P680" s="111"/>
      <c r="Q680" s="111"/>
      <c r="R680" s="72"/>
      <c r="S680" s="111"/>
      <c r="T680" s="112"/>
    </row>
    <row r="681" spans="1:20" ht="18.75" customHeight="1" x14ac:dyDescent="0.2">
      <c r="A681" s="113"/>
      <c r="B681" s="113"/>
      <c r="C681" s="114"/>
      <c r="D681" s="111"/>
      <c r="E681" s="124"/>
      <c r="F681" s="111"/>
      <c r="G681" s="111" t="s">
        <v>353</v>
      </c>
      <c r="H681" s="82"/>
      <c r="I681" s="125"/>
      <c r="J681" s="116"/>
      <c r="K681" s="117"/>
      <c r="L681" s="118"/>
      <c r="M681" s="111"/>
      <c r="N681" s="111"/>
      <c r="O681" s="111"/>
      <c r="P681" s="111"/>
      <c r="Q681" s="111"/>
      <c r="R681" s="72"/>
      <c r="S681" s="111"/>
      <c r="T681" s="112"/>
    </row>
    <row r="682" spans="1:20" ht="18.75" customHeight="1" x14ac:dyDescent="0.2">
      <c r="A682" s="104">
        <v>37521</v>
      </c>
      <c r="B682" s="104">
        <v>37542</v>
      </c>
      <c r="C682" s="105">
        <v>14005</v>
      </c>
      <c r="D682" s="106" t="s">
        <v>452</v>
      </c>
      <c r="E682" s="72" t="s">
        <v>19</v>
      </c>
      <c r="F682" s="72" t="s">
        <v>453</v>
      </c>
      <c r="G682" s="72" t="s">
        <v>376</v>
      </c>
      <c r="H682" s="74" t="s">
        <v>349</v>
      </c>
      <c r="I682" s="107">
        <v>64.650000000000006</v>
      </c>
      <c r="J682" s="108"/>
      <c r="K682" s="108">
        <v>84.3</v>
      </c>
      <c r="L682" s="108"/>
      <c r="M682" s="104">
        <v>37748</v>
      </c>
      <c r="N682" s="109">
        <v>40669</v>
      </c>
      <c r="O682" s="73" t="s">
        <v>19</v>
      </c>
      <c r="P682" s="73" t="s">
        <v>453</v>
      </c>
      <c r="Q682" s="73" t="s">
        <v>376</v>
      </c>
      <c r="R682" s="72" t="s">
        <v>349</v>
      </c>
      <c r="S682" s="106"/>
      <c r="T682" s="119"/>
    </row>
    <row r="683" spans="1:20" ht="18.75" customHeight="1" x14ac:dyDescent="0.2">
      <c r="A683" s="113"/>
      <c r="B683" s="113"/>
      <c r="C683" s="114"/>
      <c r="D683" s="111"/>
      <c r="E683" s="66" t="s">
        <v>21</v>
      </c>
      <c r="F683" s="66" t="s">
        <v>453</v>
      </c>
      <c r="G683" s="66" t="s">
        <v>476</v>
      </c>
      <c r="H683" s="82" t="s">
        <v>349</v>
      </c>
      <c r="I683" s="115">
        <v>35.35</v>
      </c>
      <c r="J683" s="116"/>
      <c r="K683" s="117"/>
      <c r="L683" s="118"/>
      <c r="M683" s="111"/>
      <c r="N683" s="111"/>
      <c r="O683" s="111"/>
      <c r="P683" s="111"/>
      <c r="Q683" s="111"/>
      <c r="R683" s="72"/>
      <c r="S683" s="111"/>
      <c r="T683" s="112"/>
    </row>
    <row r="684" spans="1:20" ht="18.75" customHeight="1" x14ac:dyDescent="0.2">
      <c r="A684" s="113"/>
      <c r="B684" s="113"/>
      <c r="C684" s="114"/>
      <c r="D684" s="111"/>
      <c r="E684" s="124"/>
      <c r="F684" s="111"/>
      <c r="G684" s="111" t="s">
        <v>353</v>
      </c>
      <c r="H684" s="82"/>
      <c r="I684" s="125"/>
      <c r="J684" s="116"/>
      <c r="K684" s="117"/>
      <c r="L684" s="118"/>
      <c r="M684" s="111"/>
      <c r="N684" s="111"/>
      <c r="O684" s="111"/>
      <c r="P684" s="111"/>
      <c r="Q684" s="111"/>
      <c r="R684" s="72"/>
      <c r="S684" s="106"/>
      <c r="T684" s="119"/>
    </row>
    <row r="685" spans="1:20" ht="18.75" customHeight="1" x14ac:dyDescent="0.2">
      <c r="A685" s="104">
        <v>37521</v>
      </c>
      <c r="B685" s="104">
        <v>37542</v>
      </c>
      <c r="C685" s="105">
        <v>23102</v>
      </c>
      <c r="D685" s="106" t="s">
        <v>362</v>
      </c>
      <c r="E685" s="72" t="s">
        <v>363</v>
      </c>
      <c r="F685" s="72" t="s">
        <v>363</v>
      </c>
      <c r="G685" s="72" t="s">
        <v>364</v>
      </c>
      <c r="H685" s="74" t="s">
        <v>349</v>
      </c>
      <c r="I685" s="107">
        <v>82.23</v>
      </c>
      <c r="J685" s="108"/>
      <c r="K685" s="108">
        <v>78</v>
      </c>
      <c r="L685" s="108"/>
      <c r="M685" s="104">
        <v>37681</v>
      </c>
      <c r="N685" s="109">
        <v>40602</v>
      </c>
      <c r="O685" s="73" t="s">
        <v>19</v>
      </c>
      <c r="P685" s="73" t="s">
        <v>363</v>
      </c>
      <c r="Q685" s="73" t="s">
        <v>364</v>
      </c>
      <c r="R685" s="72" t="s">
        <v>349</v>
      </c>
      <c r="S685" s="111"/>
      <c r="T685" s="72"/>
    </row>
    <row r="686" spans="1:20" ht="18.75" customHeight="1" x14ac:dyDescent="0.2">
      <c r="A686" s="113"/>
      <c r="B686" s="113"/>
      <c r="C686" s="114"/>
      <c r="D686" s="111"/>
      <c r="E686" s="124"/>
      <c r="F686" s="111"/>
      <c r="G686" s="111" t="s">
        <v>353</v>
      </c>
      <c r="H686" s="82"/>
      <c r="I686" s="125"/>
      <c r="J686" s="116"/>
      <c r="K686" s="117"/>
      <c r="L686" s="118"/>
      <c r="M686" s="111"/>
      <c r="N686" s="111"/>
      <c r="O686" s="111"/>
      <c r="P686" s="111"/>
      <c r="Q686" s="111"/>
      <c r="R686" s="72"/>
      <c r="S686" s="111"/>
      <c r="T686" s="112"/>
    </row>
    <row r="687" spans="1:20" ht="18.75" customHeight="1" x14ac:dyDescent="0.2">
      <c r="A687" s="104">
        <v>37521</v>
      </c>
      <c r="B687" s="104">
        <v>37542</v>
      </c>
      <c r="C687" s="105">
        <v>33601</v>
      </c>
      <c r="D687" s="106" t="s">
        <v>552</v>
      </c>
      <c r="E687" s="72" t="s">
        <v>580</v>
      </c>
      <c r="F687" s="72" t="s">
        <v>580</v>
      </c>
      <c r="G687" s="72" t="s">
        <v>358</v>
      </c>
      <c r="H687" s="74" t="s">
        <v>349</v>
      </c>
      <c r="I687" s="107">
        <v>40.369999999999997</v>
      </c>
      <c r="J687" s="121">
        <v>57.96</v>
      </c>
      <c r="K687" s="108">
        <v>79.8</v>
      </c>
      <c r="L687" s="108">
        <v>64.3</v>
      </c>
      <c r="M687" s="104">
        <v>37773</v>
      </c>
      <c r="N687" s="109">
        <v>40694</v>
      </c>
      <c r="O687" s="73" t="s">
        <v>21</v>
      </c>
      <c r="P687" s="73" t="s">
        <v>553</v>
      </c>
      <c r="Q687" s="73" t="s">
        <v>550</v>
      </c>
      <c r="R687" s="72" t="s">
        <v>349</v>
      </c>
      <c r="S687" s="111"/>
      <c r="T687" s="72"/>
    </row>
    <row r="688" spans="1:20" ht="18.75" customHeight="1" x14ac:dyDescent="0.2">
      <c r="A688" s="113"/>
      <c r="B688" s="113"/>
      <c r="C688" s="114"/>
      <c r="D688" s="111"/>
      <c r="E688" s="66" t="s">
        <v>21</v>
      </c>
      <c r="F688" s="66" t="s">
        <v>1111</v>
      </c>
      <c r="G688" s="66" t="s">
        <v>587</v>
      </c>
      <c r="H688" s="82" t="s">
        <v>349</v>
      </c>
      <c r="I688" s="115">
        <v>42.06</v>
      </c>
      <c r="J688" s="123">
        <v>42.04</v>
      </c>
      <c r="K688" s="117"/>
      <c r="L688" s="118"/>
      <c r="M688" s="111"/>
      <c r="N688" s="111"/>
      <c r="O688" s="111"/>
      <c r="P688" s="111"/>
      <c r="Q688" s="111"/>
      <c r="R688" s="72"/>
      <c r="S688" s="106"/>
      <c r="T688" s="119"/>
    </row>
    <row r="689" spans="1:20" ht="18.75" customHeight="1" x14ac:dyDescent="0.2">
      <c r="A689" s="113"/>
      <c r="B689" s="113"/>
      <c r="C689" s="114"/>
      <c r="D689" s="111"/>
      <c r="E689" s="66" t="s">
        <v>1112</v>
      </c>
      <c r="F689" s="66" t="s">
        <v>1112</v>
      </c>
      <c r="G689" s="66" t="s">
        <v>477</v>
      </c>
      <c r="H689" s="82" t="s">
        <v>349</v>
      </c>
      <c r="I689" s="115">
        <v>17.57</v>
      </c>
      <c r="J689" s="116"/>
      <c r="K689" s="117"/>
      <c r="L689" s="118"/>
      <c r="M689" s="111"/>
      <c r="N689" s="111"/>
      <c r="O689" s="111"/>
      <c r="P689" s="111"/>
      <c r="Q689" s="111"/>
      <c r="R689" s="72"/>
      <c r="S689" s="111"/>
      <c r="T689" s="72"/>
    </row>
    <row r="690" spans="1:20" ht="18.75" customHeight="1" x14ac:dyDescent="0.2">
      <c r="A690" s="113"/>
      <c r="B690" s="113"/>
      <c r="C690" s="114"/>
      <c r="D690" s="111"/>
      <c r="E690" s="66"/>
      <c r="F690" s="66"/>
      <c r="G690" s="66" t="s">
        <v>353</v>
      </c>
      <c r="H690" s="82"/>
      <c r="I690" s="120"/>
      <c r="J690" s="116"/>
      <c r="K690" s="117"/>
      <c r="L690" s="118"/>
      <c r="M690" s="111"/>
      <c r="N690" s="111"/>
      <c r="O690" s="111"/>
      <c r="P690" s="111"/>
      <c r="Q690" s="111"/>
      <c r="R690" s="72"/>
      <c r="S690" s="111"/>
      <c r="T690" s="112"/>
    </row>
    <row r="691" spans="1:20" ht="18.75" customHeight="1" x14ac:dyDescent="0.2">
      <c r="A691" s="104">
        <v>37633</v>
      </c>
      <c r="B691" s="104">
        <v>37647</v>
      </c>
      <c r="C691" s="105">
        <v>23507</v>
      </c>
      <c r="D691" s="106" t="s">
        <v>597</v>
      </c>
      <c r="E691" s="95" t="s">
        <v>19</v>
      </c>
      <c r="F691" s="95" t="s">
        <v>957</v>
      </c>
      <c r="G691" s="95" t="s">
        <v>348</v>
      </c>
      <c r="H691" s="74" t="s">
        <v>349</v>
      </c>
      <c r="I691" s="127">
        <v>68.180000000000007</v>
      </c>
      <c r="J691" s="108"/>
      <c r="K691" s="108">
        <v>39.299999999999997</v>
      </c>
      <c r="L691" s="108"/>
      <c r="M691" s="104">
        <v>37681</v>
      </c>
      <c r="N691" s="109">
        <v>40602</v>
      </c>
      <c r="O691" s="73" t="s">
        <v>19</v>
      </c>
      <c r="P691" s="73" t="s">
        <v>598</v>
      </c>
      <c r="Q691" s="73" t="s">
        <v>440</v>
      </c>
      <c r="R691" s="72" t="s">
        <v>349</v>
      </c>
      <c r="S691" s="111"/>
      <c r="T691" s="112"/>
    </row>
    <row r="692" spans="1:20" ht="18.75" customHeight="1" x14ac:dyDescent="0.2">
      <c r="A692" s="113"/>
      <c r="B692" s="113"/>
      <c r="C692" s="114"/>
      <c r="D692" s="111"/>
      <c r="E692" s="128" t="s">
        <v>21</v>
      </c>
      <c r="F692" s="128" t="s">
        <v>1113</v>
      </c>
      <c r="G692" s="128" t="s">
        <v>358</v>
      </c>
      <c r="H692" s="82" t="s">
        <v>349</v>
      </c>
      <c r="I692" s="129">
        <v>22.89</v>
      </c>
      <c r="J692" s="116"/>
      <c r="K692" s="117"/>
      <c r="L692" s="118"/>
      <c r="M692" s="111"/>
      <c r="N692" s="111"/>
      <c r="O692" s="111"/>
      <c r="P692" s="111"/>
      <c r="Q692" s="111"/>
      <c r="R692" s="72"/>
      <c r="S692" s="106"/>
      <c r="T692" s="119"/>
    </row>
    <row r="693" spans="1:20" ht="18.75" customHeight="1" x14ac:dyDescent="0.2">
      <c r="A693" s="113"/>
      <c r="B693" s="113"/>
      <c r="C693" s="114"/>
      <c r="D693" s="111"/>
      <c r="E693" s="128" t="s">
        <v>34</v>
      </c>
      <c r="F693" s="128" t="s">
        <v>1114</v>
      </c>
      <c r="G693" s="128" t="s">
        <v>1115</v>
      </c>
      <c r="H693" s="82" t="s">
        <v>419</v>
      </c>
      <c r="I693" s="129">
        <v>8.92</v>
      </c>
      <c r="J693" s="116"/>
      <c r="K693" s="117"/>
      <c r="L693" s="118"/>
      <c r="M693" s="111"/>
      <c r="N693" s="111"/>
      <c r="O693" s="111"/>
      <c r="P693" s="111"/>
      <c r="Q693" s="111"/>
      <c r="R693" s="72"/>
      <c r="S693" s="111"/>
      <c r="T693" s="112"/>
    </row>
    <row r="694" spans="1:20" ht="18.75" customHeight="1" x14ac:dyDescent="0.2">
      <c r="A694" s="113"/>
      <c r="B694" s="113"/>
      <c r="C694" s="114"/>
      <c r="D694" s="111"/>
      <c r="E694" s="124"/>
      <c r="F694" s="111"/>
      <c r="G694" s="111" t="s">
        <v>353</v>
      </c>
      <c r="H694" s="82"/>
      <c r="I694" s="125"/>
      <c r="J694" s="116"/>
      <c r="K694" s="117"/>
      <c r="L694" s="118"/>
      <c r="M694" s="111"/>
      <c r="N694" s="111"/>
      <c r="O694" s="111"/>
      <c r="P694" s="111"/>
      <c r="Q694" s="111"/>
      <c r="R694" s="72"/>
      <c r="S694" s="111"/>
      <c r="T694" s="112"/>
    </row>
    <row r="695" spans="1:20" ht="18.75" customHeight="1" x14ac:dyDescent="0.2">
      <c r="A695" s="104">
        <v>37640</v>
      </c>
      <c r="B695" s="104">
        <v>37654</v>
      </c>
      <c r="C695" s="105">
        <v>33106</v>
      </c>
      <c r="D695" s="106" t="s">
        <v>458</v>
      </c>
      <c r="E695" s="95" t="s">
        <v>19</v>
      </c>
      <c r="F695" s="95" t="s">
        <v>1116</v>
      </c>
      <c r="G695" s="95" t="s">
        <v>1117</v>
      </c>
      <c r="H695" s="74" t="s">
        <v>349</v>
      </c>
      <c r="I695" s="127">
        <v>50.23</v>
      </c>
      <c r="J695" s="108"/>
      <c r="K695" s="108">
        <v>47.7</v>
      </c>
      <c r="L695" s="108"/>
      <c r="M695" s="104">
        <v>37803</v>
      </c>
      <c r="N695" s="109">
        <v>40724</v>
      </c>
      <c r="O695" s="73" t="s">
        <v>21</v>
      </c>
      <c r="P695" s="73" t="s">
        <v>459</v>
      </c>
      <c r="Q695" s="73" t="s">
        <v>423</v>
      </c>
      <c r="R695" s="72" t="s">
        <v>349</v>
      </c>
      <c r="S695" s="106"/>
      <c r="T695" s="119"/>
    </row>
    <row r="696" spans="1:20" ht="18.75" customHeight="1" x14ac:dyDescent="0.2">
      <c r="A696" s="113"/>
      <c r="B696" s="113"/>
      <c r="C696" s="114"/>
      <c r="D696" s="111"/>
      <c r="E696" s="128" t="s">
        <v>21</v>
      </c>
      <c r="F696" s="128" t="s">
        <v>459</v>
      </c>
      <c r="G696" s="128" t="s">
        <v>423</v>
      </c>
      <c r="H696" s="82" t="s">
        <v>349</v>
      </c>
      <c r="I696" s="129">
        <v>49.77</v>
      </c>
      <c r="J696" s="116"/>
      <c r="K696" s="117"/>
      <c r="L696" s="118"/>
      <c r="M696" s="111"/>
      <c r="N696" s="111"/>
      <c r="O696" s="111"/>
      <c r="P696" s="111"/>
      <c r="Q696" s="111"/>
      <c r="R696" s="72"/>
      <c r="S696" s="111"/>
      <c r="T696" s="112"/>
    </row>
    <row r="697" spans="1:20" ht="18.75" customHeight="1" x14ac:dyDescent="0.2">
      <c r="A697" s="113"/>
      <c r="B697" s="113"/>
      <c r="C697" s="114"/>
      <c r="D697" s="111"/>
      <c r="E697" s="124"/>
      <c r="F697" s="111"/>
      <c r="G697" s="111" t="s">
        <v>353</v>
      </c>
      <c r="H697" s="82"/>
      <c r="I697" s="125"/>
      <c r="J697" s="116"/>
      <c r="K697" s="117"/>
      <c r="L697" s="118"/>
      <c r="M697" s="111"/>
      <c r="N697" s="111"/>
      <c r="O697" s="111"/>
      <c r="P697" s="111"/>
      <c r="Q697" s="111"/>
      <c r="R697" s="72"/>
      <c r="S697" s="111"/>
      <c r="T697" s="112"/>
    </row>
    <row r="698" spans="1:20" ht="18.75" customHeight="1" x14ac:dyDescent="0.2">
      <c r="A698" s="104">
        <v>37654</v>
      </c>
      <c r="B698" s="104">
        <v>37668</v>
      </c>
      <c r="C698" s="105">
        <v>13102</v>
      </c>
      <c r="D698" s="106" t="s">
        <v>462</v>
      </c>
      <c r="E698" s="95" t="s">
        <v>19</v>
      </c>
      <c r="F698" s="95" t="s">
        <v>463</v>
      </c>
      <c r="G698" s="95" t="s">
        <v>464</v>
      </c>
      <c r="H698" s="74" t="s">
        <v>349</v>
      </c>
      <c r="I698" s="127">
        <v>73.3</v>
      </c>
      <c r="J698" s="108"/>
      <c r="K698" s="108">
        <v>52.9</v>
      </c>
      <c r="L698" s="108"/>
      <c r="M698" s="104">
        <v>37804</v>
      </c>
      <c r="N698" s="109">
        <v>40725</v>
      </c>
      <c r="O698" s="73" t="s">
        <v>19</v>
      </c>
      <c r="P698" s="73" t="s">
        <v>463</v>
      </c>
      <c r="Q698" s="73" t="s">
        <v>464</v>
      </c>
      <c r="R698" s="72" t="s">
        <v>349</v>
      </c>
      <c r="S698" s="106"/>
      <c r="T698" s="119"/>
    </row>
    <row r="699" spans="1:20" ht="18.75" customHeight="1" x14ac:dyDescent="0.2">
      <c r="A699" s="113"/>
      <c r="B699" s="113"/>
      <c r="C699" s="114"/>
      <c r="D699" s="111"/>
      <c r="E699" s="128" t="s">
        <v>21</v>
      </c>
      <c r="F699" s="128" t="s">
        <v>465</v>
      </c>
      <c r="G699" s="128" t="s">
        <v>466</v>
      </c>
      <c r="H699" s="82" t="s">
        <v>349</v>
      </c>
      <c r="I699" s="129">
        <v>26.7</v>
      </c>
      <c r="J699" s="116"/>
      <c r="K699" s="117"/>
      <c r="L699" s="118"/>
      <c r="M699" s="111"/>
      <c r="N699" s="111"/>
      <c r="O699" s="111"/>
      <c r="P699" s="111"/>
      <c r="Q699" s="111"/>
      <c r="R699" s="72"/>
      <c r="S699" s="111"/>
      <c r="T699" s="112"/>
    </row>
    <row r="700" spans="1:20" ht="18.75" customHeight="1" x14ac:dyDescent="0.2">
      <c r="A700" s="113"/>
      <c r="B700" s="113"/>
      <c r="C700" s="114"/>
      <c r="D700" s="111"/>
      <c r="E700" s="124"/>
      <c r="F700" s="111"/>
      <c r="G700" s="111" t="s">
        <v>353</v>
      </c>
      <c r="H700" s="82"/>
      <c r="I700" s="125"/>
      <c r="J700" s="116"/>
      <c r="K700" s="117"/>
      <c r="L700" s="118"/>
      <c r="M700" s="111"/>
      <c r="N700" s="111"/>
      <c r="O700" s="111"/>
      <c r="P700" s="111"/>
      <c r="Q700" s="111"/>
      <c r="R700" s="72"/>
      <c r="S700" s="111"/>
      <c r="T700" s="112"/>
    </row>
    <row r="701" spans="1:20" ht="18.75" customHeight="1" x14ac:dyDescent="0.2">
      <c r="A701" s="104">
        <v>37710</v>
      </c>
      <c r="B701" s="104">
        <v>37724</v>
      </c>
      <c r="C701" s="105">
        <v>33405</v>
      </c>
      <c r="D701" s="106" t="s">
        <v>475</v>
      </c>
      <c r="E701" s="95" t="s">
        <v>313</v>
      </c>
      <c r="F701" s="95" t="s">
        <v>476</v>
      </c>
      <c r="G701" s="95" t="s">
        <v>477</v>
      </c>
      <c r="H701" s="74" t="s">
        <v>349</v>
      </c>
      <c r="I701" s="127">
        <v>72.44</v>
      </c>
      <c r="J701" s="108"/>
      <c r="K701" s="108">
        <v>50.5</v>
      </c>
      <c r="L701" s="108"/>
      <c r="M701" s="104">
        <v>37898</v>
      </c>
      <c r="N701" s="109">
        <v>40819</v>
      </c>
      <c r="O701" s="73" t="s">
        <v>313</v>
      </c>
      <c r="P701" s="73" t="s">
        <v>476</v>
      </c>
      <c r="Q701" s="73" t="s">
        <v>477</v>
      </c>
      <c r="R701" s="72" t="s">
        <v>349</v>
      </c>
      <c r="S701" s="106"/>
      <c r="T701" s="119"/>
    </row>
    <row r="702" spans="1:20" ht="18.75" customHeight="1" x14ac:dyDescent="0.2">
      <c r="A702" s="113"/>
      <c r="B702" s="113"/>
      <c r="C702" s="114"/>
      <c r="D702" s="111"/>
      <c r="E702" s="128" t="s">
        <v>21</v>
      </c>
      <c r="F702" s="128" t="s">
        <v>1118</v>
      </c>
      <c r="G702" s="128" t="s">
        <v>389</v>
      </c>
      <c r="H702" s="82" t="s">
        <v>349</v>
      </c>
      <c r="I702" s="129">
        <v>27.56</v>
      </c>
      <c r="J702" s="116"/>
      <c r="K702" s="117"/>
      <c r="L702" s="118"/>
      <c r="M702" s="111"/>
      <c r="N702" s="111"/>
      <c r="O702" s="111"/>
      <c r="P702" s="111"/>
      <c r="Q702" s="111"/>
      <c r="R702" s="72"/>
      <c r="S702" s="111"/>
      <c r="T702" s="112"/>
    </row>
    <row r="703" spans="1:20" ht="18.75" customHeight="1" x14ac:dyDescent="0.2">
      <c r="A703" s="113"/>
      <c r="B703" s="113"/>
      <c r="C703" s="114"/>
      <c r="D703" s="111"/>
      <c r="E703" s="124"/>
      <c r="F703" s="111"/>
      <c r="G703" s="111" t="s">
        <v>353</v>
      </c>
      <c r="H703" s="82"/>
      <c r="I703" s="125"/>
      <c r="J703" s="116"/>
      <c r="K703" s="117"/>
      <c r="L703" s="118"/>
      <c r="M703" s="111"/>
      <c r="N703" s="111"/>
      <c r="O703" s="111"/>
      <c r="P703" s="111"/>
      <c r="Q703" s="111"/>
      <c r="R703" s="72"/>
      <c r="S703" s="111"/>
      <c r="T703" s="112"/>
    </row>
    <row r="704" spans="1:20" ht="18.75" customHeight="1" x14ac:dyDescent="0.2">
      <c r="A704" s="104">
        <v>37794</v>
      </c>
      <c r="B704" s="104">
        <v>37808</v>
      </c>
      <c r="C704" s="105">
        <v>23303</v>
      </c>
      <c r="D704" s="106" t="s">
        <v>472</v>
      </c>
      <c r="E704" s="95" t="s">
        <v>1119</v>
      </c>
      <c r="F704" s="95" t="s">
        <v>1119</v>
      </c>
      <c r="G704" s="95" t="s">
        <v>1120</v>
      </c>
      <c r="H704" s="74" t="s">
        <v>419</v>
      </c>
      <c r="I704" s="127">
        <v>58.36</v>
      </c>
      <c r="J704" s="108"/>
      <c r="K704" s="108">
        <v>63.3</v>
      </c>
      <c r="L704" s="108"/>
      <c r="M704" s="104">
        <v>37987</v>
      </c>
      <c r="N704" s="109">
        <v>40908</v>
      </c>
      <c r="O704" s="92" t="s">
        <v>473</v>
      </c>
      <c r="P704" s="92" t="s">
        <v>473</v>
      </c>
      <c r="Q704" s="92" t="s">
        <v>474</v>
      </c>
      <c r="R704" s="72" t="s">
        <v>349</v>
      </c>
      <c r="S704" s="111"/>
      <c r="T704" s="72"/>
    </row>
    <row r="705" spans="1:20" ht="18.75" customHeight="1" x14ac:dyDescent="0.2">
      <c r="A705" s="113"/>
      <c r="B705" s="113"/>
      <c r="C705" s="114"/>
      <c r="D705" s="111"/>
      <c r="E705" s="128" t="s">
        <v>19</v>
      </c>
      <c r="F705" s="128" t="s">
        <v>1121</v>
      </c>
      <c r="G705" s="128" t="s">
        <v>440</v>
      </c>
      <c r="H705" s="82" t="s">
        <v>349</v>
      </c>
      <c r="I705" s="129">
        <v>41.64</v>
      </c>
      <c r="J705" s="116"/>
      <c r="K705" s="117"/>
      <c r="L705" s="111"/>
      <c r="M705" s="111"/>
      <c r="N705" s="111"/>
      <c r="O705" s="111"/>
      <c r="P705" s="111"/>
      <c r="Q705" s="111"/>
      <c r="R705" s="72"/>
      <c r="S705" s="111"/>
      <c r="T705" s="112"/>
    </row>
    <row r="706" spans="1:20" ht="18.75" customHeight="1" x14ac:dyDescent="0.2">
      <c r="A706" s="113"/>
      <c r="B706" s="113"/>
      <c r="C706" s="114"/>
      <c r="D706" s="111"/>
      <c r="E706" s="128"/>
      <c r="F706" s="128"/>
      <c r="G706" s="128" t="s">
        <v>353</v>
      </c>
      <c r="H706" s="82"/>
      <c r="I706" s="130"/>
      <c r="J706" s="116"/>
      <c r="K706" s="117"/>
      <c r="L706" s="111"/>
      <c r="M706" s="111"/>
      <c r="N706" s="111"/>
      <c r="O706" s="111"/>
      <c r="P706" s="111"/>
      <c r="Q706" s="111"/>
      <c r="R706" s="72"/>
      <c r="S706" s="111"/>
      <c r="T706" s="112"/>
    </row>
    <row r="707" spans="1:20" ht="18.75" customHeight="1" x14ac:dyDescent="0.2">
      <c r="A707" s="104">
        <v>37801</v>
      </c>
      <c r="B707" s="104">
        <v>37815</v>
      </c>
      <c r="C707" s="105">
        <v>23504</v>
      </c>
      <c r="D707" s="106" t="s">
        <v>508</v>
      </c>
      <c r="E707" s="95" t="s">
        <v>55</v>
      </c>
      <c r="F707" s="95" t="s">
        <v>509</v>
      </c>
      <c r="G707" s="95" t="s">
        <v>440</v>
      </c>
      <c r="H707" s="74" t="s">
        <v>349</v>
      </c>
      <c r="I707" s="127">
        <v>63.02</v>
      </c>
      <c r="J707" s="108"/>
      <c r="K707" s="108">
        <v>58.89</v>
      </c>
      <c r="L707" s="108"/>
      <c r="M707" s="104">
        <v>38047</v>
      </c>
      <c r="N707" s="109">
        <v>40968</v>
      </c>
      <c r="O707" s="73" t="s">
        <v>55</v>
      </c>
      <c r="P707" s="73" t="s">
        <v>509</v>
      </c>
      <c r="Q707" s="73" t="s">
        <v>440</v>
      </c>
      <c r="R707" s="72" t="s">
        <v>349</v>
      </c>
      <c r="S707" s="111"/>
      <c r="T707" s="112"/>
    </row>
    <row r="708" spans="1:20" ht="18.75" customHeight="1" x14ac:dyDescent="0.2">
      <c r="A708" s="113"/>
      <c r="B708" s="113"/>
      <c r="C708" s="114"/>
      <c r="D708" s="111"/>
      <c r="E708" s="128" t="s">
        <v>19</v>
      </c>
      <c r="F708" s="128" t="s">
        <v>1122</v>
      </c>
      <c r="G708" s="128" t="s">
        <v>348</v>
      </c>
      <c r="H708" s="82" t="s">
        <v>349</v>
      </c>
      <c r="I708" s="129">
        <v>26.55</v>
      </c>
      <c r="J708" s="116"/>
      <c r="K708" s="117"/>
      <c r="L708" s="118"/>
      <c r="M708" s="111"/>
      <c r="N708" s="111"/>
      <c r="O708" s="111"/>
      <c r="P708" s="111"/>
      <c r="Q708" s="111"/>
      <c r="R708" s="72"/>
      <c r="S708" s="106"/>
      <c r="T708" s="119"/>
    </row>
    <row r="709" spans="1:20" ht="18.75" customHeight="1" x14ac:dyDescent="0.2">
      <c r="A709" s="113"/>
      <c r="B709" s="113"/>
      <c r="C709" s="114"/>
      <c r="D709" s="111"/>
      <c r="E709" s="128" t="s">
        <v>21</v>
      </c>
      <c r="F709" s="128" t="s">
        <v>1123</v>
      </c>
      <c r="G709" s="128" t="s">
        <v>477</v>
      </c>
      <c r="H709" s="82" t="s">
        <v>349</v>
      </c>
      <c r="I709" s="129">
        <v>10.43</v>
      </c>
      <c r="J709" s="116"/>
      <c r="K709" s="117"/>
      <c r="L709" s="118"/>
      <c r="M709" s="111"/>
      <c r="N709" s="111"/>
      <c r="O709" s="111"/>
      <c r="P709" s="111"/>
      <c r="Q709" s="111"/>
      <c r="R709" s="72"/>
      <c r="S709" s="111"/>
      <c r="T709" s="112"/>
    </row>
    <row r="710" spans="1:20" ht="18.75" customHeight="1" x14ac:dyDescent="0.2">
      <c r="A710" s="113"/>
      <c r="B710" s="113"/>
      <c r="C710" s="114"/>
      <c r="D710" s="111"/>
      <c r="E710" s="128"/>
      <c r="F710" s="128"/>
      <c r="G710" s="128" t="s">
        <v>353</v>
      </c>
      <c r="H710" s="82"/>
      <c r="I710" s="130"/>
      <c r="J710" s="116"/>
      <c r="K710" s="117"/>
      <c r="L710" s="118"/>
      <c r="M710" s="111"/>
      <c r="N710" s="111"/>
      <c r="O710" s="111"/>
      <c r="P710" s="111"/>
      <c r="Q710" s="111"/>
      <c r="R710" s="72"/>
      <c r="S710" s="106"/>
      <c r="T710" s="119"/>
    </row>
    <row r="711" spans="1:20" ht="18.75" customHeight="1" x14ac:dyDescent="0.2">
      <c r="A711" s="104">
        <v>37801</v>
      </c>
      <c r="B711" s="104">
        <v>37815</v>
      </c>
      <c r="C711" s="105">
        <v>23506</v>
      </c>
      <c r="D711" s="106" t="s">
        <v>503</v>
      </c>
      <c r="E711" s="95" t="s">
        <v>19</v>
      </c>
      <c r="F711" s="95" t="s">
        <v>504</v>
      </c>
      <c r="G711" s="95" t="s">
        <v>505</v>
      </c>
      <c r="H711" s="74" t="s">
        <v>349</v>
      </c>
      <c r="I711" s="127">
        <v>92.77</v>
      </c>
      <c r="J711" s="108"/>
      <c r="K711" s="108">
        <v>33.92</v>
      </c>
      <c r="L711" s="108"/>
      <c r="M711" s="104">
        <v>37996</v>
      </c>
      <c r="N711" s="109">
        <v>40917</v>
      </c>
      <c r="O711" s="73" t="s">
        <v>19</v>
      </c>
      <c r="P711" s="73" t="s">
        <v>504</v>
      </c>
      <c r="Q711" s="73" t="s">
        <v>505</v>
      </c>
      <c r="R711" s="72" t="s">
        <v>349</v>
      </c>
      <c r="S711" s="111"/>
      <c r="T711" s="112"/>
    </row>
    <row r="712" spans="1:20" ht="18.75" customHeight="1" x14ac:dyDescent="0.2">
      <c r="A712" s="113"/>
      <c r="B712" s="113"/>
      <c r="C712" s="114"/>
      <c r="D712" s="111"/>
      <c r="E712" s="124"/>
      <c r="F712" s="111"/>
      <c r="G712" s="111" t="s">
        <v>353</v>
      </c>
      <c r="H712" s="82"/>
      <c r="I712" s="125"/>
      <c r="J712" s="116"/>
      <c r="K712" s="117"/>
      <c r="L712" s="118"/>
      <c r="M712" s="111"/>
      <c r="N712" s="111"/>
      <c r="O712" s="111"/>
      <c r="P712" s="111"/>
      <c r="Q712" s="111"/>
      <c r="R712" s="72"/>
      <c r="S712" s="111"/>
      <c r="T712" s="112"/>
    </row>
    <row r="713" spans="1:20" ht="18.75" customHeight="1" x14ac:dyDescent="0.2">
      <c r="A713" s="104">
        <v>37808</v>
      </c>
      <c r="B713" s="104">
        <v>37822</v>
      </c>
      <c r="C713" s="105">
        <v>33103</v>
      </c>
      <c r="D713" s="106" t="s">
        <v>1013</v>
      </c>
      <c r="E713" s="95" t="s">
        <v>21</v>
      </c>
      <c r="F713" s="95" t="s">
        <v>1124</v>
      </c>
      <c r="G713" s="95" t="s">
        <v>427</v>
      </c>
      <c r="H713" s="74" t="s">
        <v>349</v>
      </c>
      <c r="I713" s="127">
        <v>39.19</v>
      </c>
      <c r="J713" s="131">
        <v>52.69</v>
      </c>
      <c r="K713" s="108">
        <v>57.7</v>
      </c>
      <c r="L713" s="108">
        <v>54.1</v>
      </c>
      <c r="M713" s="104">
        <v>37865</v>
      </c>
      <c r="N713" s="109">
        <v>40786</v>
      </c>
      <c r="O713" s="72" t="s">
        <v>21</v>
      </c>
      <c r="P713" s="72" t="s">
        <v>1014</v>
      </c>
      <c r="Q713" s="72" t="s">
        <v>383</v>
      </c>
      <c r="R713" s="72" t="s">
        <v>349</v>
      </c>
      <c r="S713" s="111"/>
      <c r="T713" s="112"/>
    </row>
    <row r="714" spans="1:20" ht="18.75" customHeight="1" x14ac:dyDescent="0.2">
      <c r="A714" s="113"/>
      <c r="B714" s="113"/>
      <c r="C714" s="114"/>
      <c r="D714" s="111"/>
      <c r="E714" s="128" t="s">
        <v>55</v>
      </c>
      <c r="F714" s="128" t="s">
        <v>1125</v>
      </c>
      <c r="G714" s="128" t="s">
        <v>383</v>
      </c>
      <c r="H714" s="82" t="s">
        <v>349</v>
      </c>
      <c r="I714" s="129">
        <v>36.24</v>
      </c>
      <c r="J714" s="132">
        <v>47.31</v>
      </c>
      <c r="K714" s="117"/>
      <c r="L714" s="118"/>
      <c r="M714" s="111"/>
      <c r="N714" s="111"/>
      <c r="O714" s="111"/>
      <c r="P714" s="111"/>
      <c r="Q714" s="111"/>
      <c r="R714" s="72"/>
      <c r="S714" s="106"/>
      <c r="T714" s="119"/>
    </row>
    <row r="715" spans="1:20" ht="18.75" customHeight="1" x14ac:dyDescent="0.2">
      <c r="A715" s="113"/>
      <c r="B715" s="113"/>
      <c r="C715" s="114"/>
      <c r="D715" s="111"/>
      <c r="E715" s="128" t="s">
        <v>19</v>
      </c>
      <c r="F715" s="128" t="s">
        <v>1126</v>
      </c>
      <c r="G715" s="128" t="s">
        <v>723</v>
      </c>
      <c r="H715" s="82" t="s">
        <v>349</v>
      </c>
      <c r="I715" s="129">
        <v>24.57</v>
      </c>
      <c r="J715" s="116"/>
      <c r="K715" s="117"/>
      <c r="L715" s="118"/>
      <c r="M715" s="111"/>
      <c r="N715" s="111"/>
      <c r="O715" s="111"/>
      <c r="P715" s="111"/>
      <c r="Q715" s="111"/>
      <c r="R715" s="72"/>
      <c r="S715" s="111"/>
      <c r="T715" s="112"/>
    </row>
    <row r="716" spans="1:20" ht="18.75" customHeight="1" x14ac:dyDescent="0.2">
      <c r="A716" s="113"/>
      <c r="B716" s="113"/>
      <c r="C716" s="114"/>
      <c r="D716" s="111"/>
      <c r="E716" s="128"/>
      <c r="F716" s="128"/>
      <c r="G716" s="128" t="s">
        <v>353</v>
      </c>
      <c r="H716" s="82"/>
      <c r="I716" s="130"/>
      <c r="J716" s="116"/>
      <c r="K716" s="117"/>
      <c r="L716" s="118"/>
      <c r="M716" s="111"/>
      <c r="N716" s="111"/>
      <c r="O716" s="111"/>
      <c r="P716" s="111"/>
      <c r="Q716" s="111"/>
      <c r="R716" s="72"/>
      <c r="S716" s="106"/>
      <c r="T716" s="119"/>
    </row>
    <row r="717" spans="1:20" ht="18.75" customHeight="1" x14ac:dyDescent="0.2">
      <c r="A717" s="104">
        <v>37878</v>
      </c>
      <c r="B717" s="104">
        <v>37892</v>
      </c>
      <c r="C717" s="105">
        <v>13502</v>
      </c>
      <c r="D717" s="106" t="s">
        <v>482</v>
      </c>
      <c r="E717" s="95" t="s">
        <v>19</v>
      </c>
      <c r="F717" s="95" t="s">
        <v>484</v>
      </c>
      <c r="G717" s="95" t="s">
        <v>485</v>
      </c>
      <c r="H717" s="74" t="s">
        <v>349</v>
      </c>
      <c r="I717" s="127">
        <v>52.06</v>
      </c>
      <c r="J717" s="108"/>
      <c r="K717" s="108">
        <v>37.299999999999997</v>
      </c>
      <c r="L717" s="108"/>
      <c r="M717" s="104">
        <v>38079</v>
      </c>
      <c r="N717" s="109">
        <v>40559</v>
      </c>
      <c r="O717" s="73" t="s">
        <v>483</v>
      </c>
      <c r="P717" s="73" t="s">
        <v>484</v>
      </c>
      <c r="Q717" s="73" t="s">
        <v>485</v>
      </c>
      <c r="R717" s="72" t="s">
        <v>349</v>
      </c>
      <c r="S717" s="111"/>
      <c r="T717" s="112"/>
    </row>
    <row r="718" spans="1:20" ht="18.75" customHeight="1" x14ac:dyDescent="0.2">
      <c r="A718" s="113"/>
      <c r="B718" s="113"/>
      <c r="C718" s="114"/>
      <c r="D718" s="111"/>
      <c r="E718" s="124"/>
      <c r="F718" s="111"/>
      <c r="G718" s="111" t="s">
        <v>353</v>
      </c>
      <c r="H718" s="82"/>
      <c r="I718" s="125"/>
      <c r="J718" s="116"/>
      <c r="K718" s="117"/>
      <c r="L718" s="118"/>
      <c r="M718" s="111"/>
      <c r="N718" s="111"/>
      <c r="O718" s="111"/>
      <c r="P718" s="111"/>
      <c r="Q718" s="111"/>
      <c r="R718" s="72"/>
      <c r="S718" s="111"/>
      <c r="T718" s="112"/>
    </row>
    <row r="719" spans="1:20" ht="18.75" customHeight="1" x14ac:dyDescent="0.2">
      <c r="A719" s="104">
        <v>37878</v>
      </c>
      <c r="B719" s="104">
        <v>37892</v>
      </c>
      <c r="C719" s="105">
        <v>13504</v>
      </c>
      <c r="D719" s="106" t="s">
        <v>491</v>
      </c>
      <c r="E719" s="95" t="s">
        <v>19</v>
      </c>
      <c r="F719" s="95" t="s">
        <v>492</v>
      </c>
      <c r="G719" s="95" t="s">
        <v>360</v>
      </c>
      <c r="H719" s="74" t="s">
        <v>349</v>
      </c>
      <c r="I719" s="127">
        <v>82.02</v>
      </c>
      <c r="J719" s="108"/>
      <c r="K719" s="108">
        <v>44.9</v>
      </c>
      <c r="L719" s="108"/>
      <c r="M719" s="104">
        <v>37987</v>
      </c>
      <c r="N719" s="109">
        <v>39386</v>
      </c>
      <c r="O719" s="73" t="s">
        <v>19</v>
      </c>
      <c r="P719" s="73" t="s">
        <v>492</v>
      </c>
      <c r="Q719" s="73" t="s">
        <v>360</v>
      </c>
      <c r="R719" s="72" t="s">
        <v>349</v>
      </c>
      <c r="S719" s="106"/>
      <c r="T719" s="119"/>
    </row>
    <row r="720" spans="1:20" ht="18.75" customHeight="1" x14ac:dyDescent="0.2">
      <c r="A720" s="113"/>
      <c r="B720" s="113"/>
      <c r="C720" s="114"/>
      <c r="D720" s="111"/>
      <c r="E720" s="128" t="s">
        <v>38</v>
      </c>
      <c r="F720" s="128" t="s">
        <v>494</v>
      </c>
      <c r="G720" s="128" t="s">
        <v>495</v>
      </c>
      <c r="H720" s="82" t="s">
        <v>349</v>
      </c>
      <c r="I720" s="129">
        <v>17.98</v>
      </c>
      <c r="J720" s="116"/>
      <c r="K720" s="117"/>
      <c r="L720" s="118"/>
      <c r="M720" s="111"/>
      <c r="N720" s="111"/>
      <c r="O720" s="111"/>
      <c r="P720" s="111"/>
      <c r="Q720" s="111"/>
      <c r="R720" s="72"/>
      <c r="S720" s="111"/>
      <c r="T720" s="112"/>
    </row>
    <row r="721" spans="1:20" ht="18.75" customHeight="1" x14ac:dyDescent="0.2">
      <c r="A721" s="113"/>
      <c r="B721" s="113"/>
      <c r="C721" s="114"/>
      <c r="D721" s="111"/>
      <c r="E721" s="124"/>
      <c r="F721" s="111"/>
      <c r="G721" s="111" t="s">
        <v>353</v>
      </c>
      <c r="H721" s="82"/>
      <c r="I721" s="125"/>
      <c r="J721" s="116"/>
      <c r="K721" s="117"/>
      <c r="L721" s="118"/>
      <c r="M721" s="111"/>
      <c r="N721" s="111"/>
      <c r="O721" s="111"/>
      <c r="P721" s="111"/>
      <c r="Q721" s="111"/>
      <c r="R721" s="72"/>
      <c r="S721" s="111"/>
      <c r="T721" s="112"/>
    </row>
    <row r="722" spans="1:20" ht="18.75" customHeight="1" x14ac:dyDescent="0.2">
      <c r="A722" s="104">
        <v>37892</v>
      </c>
      <c r="B722" s="104">
        <v>37906</v>
      </c>
      <c r="C722" s="105">
        <v>13807</v>
      </c>
      <c r="D722" s="106" t="s">
        <v>507</v>
      </c>
      <c r="E722" s="95" t="s">
        <v>19</v>
      </c>
      <c r="F722" s="95" t="s">
        <v>803</v>
      </c>
      <c r="G722" s="95" t="s">
        <v>368</v>
      </c>
      <c r="H722" s="74" t="s">
        <v>349</v>
      </c>
      <c r="I722" s="127">
        <v>45.82</v>
      </c>
      <c r="J722" s="131">
        <v>51.28</v>
      </c>
      <c r="K722" s="108">
        <v>53.1</v>
      </c>
      <c r="L722" s="108">
        <v>50.4</v>
      </c>
      <c r="M722" s="104">
        <v>38078</v>
      </c>
      <c r="N722" s="109">
        <v>40999</v>
      </c>
      <c r="O722" s="73" t="s">
        <v>19</v>
      </c>
      <c r="P722" s="73" t="s">
        <v>513</v>
      </c>
      <c r="Q722" s="73" t="s">
        <v>514</v>
      </c>
      <c r="R722" s="72" t="s">
        <v>349</v>
      </c>
      <c r="T722" s="112"/>
    </row>
    <row r="723" spans="1:20" ht="18.75" customHeight="1" x14ac:dyDescent="0.2">
      <c r="A723" s="113"/>
      <c r="B723" s="113"/>
      <c r="C723" s="114"/>
      <c r="D723" s="111"/>
      <c r="E723" s="128" t="s">
        <v>21</v>
      </c>
      <c r="F723" s="128" t="s">
        <v>1127</v>
      </c>
      <c r="G723" s="128" t="s">
        <v>476</v>
      </c>
      <c r="H723" s="82" t="s">
        <v>349</v>
      </c>
      <c r="I723" s="129">
        <v>38.08</v>
      </c>
      <c r="J723" s="132">
        <v>48.72</v>
      </c>
      <c r="K723" s="117"/>
      <c r="L723" s="118"/>
      <c r="M723" s="111"/>
      <c r="N723" s="111"/>
      <c r="O723" s="111"/>
      <c r="P723" s="111"/>
      <c r="Q723" s="111"/>
      <c r="R723" s="72"/>
      <c r="S723" s="106"/>
      <c r="T723" s="119"/>
    </row>
    <row r="724" spans="1:20" ht="18.75" customHeight="1" x14ac:dyDescent="0.2">
      <c r="A724" s="113"/>
      <c r="B724" s="113"/>
      <c r="C724" s="114"/>
      <c r="D724" s="111"/>
      <c r="E724" s="128" t="s">
        <v>513</v>
      </c>
      <c r="F724" s="128" t="s">
        <v>513</v>
      </c>
      <c r="G724" s="128" t="s">
        <v>514</v>
      </c>
      <c r="H724" s="82" t="s">
        <v>349</v>
      </c>
      <c r="I724" s="129">
        <v>16.100000000000001</v>
      </c>
      <c r="J724" s="116"/>
      <c r="K724" s="117"/>
      <c r="L724" s="118"/>
      <c r="M724" s="111"/>
      <c r="N724" s="111"/>
      <c r="O724" s="111"/>
      <c r="P724" s="111"/>
      <c r="Q724" s="111"/>
      <c r="R724" s="72"/>
      <c r="S724" s="111"/>
      <c r="T724" s="72"/>
    </row>
    <row r="725" spans="1:20" ht="18.75" customHeight="1" x14ac:dyDescent="0.2">
      <c r="A725" s="113"/>
      <c r="B725" s="113"/>
      <c r="C725" s="114"/>
      <c r="D725" s="111"/>
      <c r="E725" s="124"/>
      <c r="F725" s="111"/>
      <c r="G725" s="111" t="s">
        <v>353</v>
      </c>
      <c r="H725" s="82"/>
      <c r="I725" s="125"/>
      <c r="J725" s="116"/>
      <c r="K725" s="117"/>
      <c r="L725" s="118"/>
      <c r="M725" s="111"/>
      <c r="N725" s="111"/>
      <c r="O725" s="111"/>
      <c r="P725" s="111"/>
      <c r="Q725" s="111"/>
      <c r="R725" s="72"/>
      <c r="S725" s="111"/>
      <c r="T725" s="112"/>
    </row>
    <row r="726" spans="1:20" ht="18.75" customHeight="1" x14ac:dyDescent="0.2">
      <c r="A726" s="104">
        <v>37892</v>
      </c>
      <c r="B726" s="104">
        <v>37906</v>
      </c>
      <c r="C726" s="105">
        <v>33203</v>
      </c>
      <c r="D726" s="106" t="s">
        <v>542</v>
      </c>
      <c r="E726" s="95" t="s">
        <v>21</v>
      </c>
      <c r="F726" s="95" t="s">
        <v>543</v>
      </c>
      <c r="G726" s="95" t="s">
        <v>394</v>
      </c>
      <c r="H726" s="74" t="s">
        <v>349</v>
      </c>
      <c r="I726" s="127">
        <v>58.28</v>
      </c>
      <c r="J726" s="108"/>
      <c r="K726" s="108">
        <v>50</v>
      </c>
      <c r="L726" s="108"/>
      <c r="M726" s="104">
        <v>38118</v>
      </c>
      <c r="N726" s="109">
        <v>40359</v>
      </c>
      <c r="O726" s="95" t="s">
        <v>21</v>
      </c>
      <c r="P726" s="95" t="s">
        <v>543</v>
      </c>
      <c r="Q726" s="95" t="s">
        <v>394</v>
      </c>
      <c r="R726" s="72" t="s">
        <v>349</v>
      </c>
      <c r="S726" s="111"/>
      <c r="T726" s="112"/>
    </row>
    <row r="727" spans="1:20" ht="18.75" customHeight="1" x14ac:dyDescent="0.2">
      <c r="A727" s="113"/>
      <c r="B727" s="113"/>
      <c r="C727" s="114"/>
      <c r="D727" s="111"/>
      <c r="E727" s="128" t="s">
        <v>19</v>
      </c>
      <c r="F727" s="128" t="s">
        <v>1128</v>
      </c>
      <c r="G727" s="128" t="s">
        <v>353</v>
      </c>
      <c r="H727" s="82"/>
      <c r="I727" s="129">
        <v>38.61</v>
      </c>
      <c r="J727" s="116"/>
      <c r="K727" s="117"/>
      <c r="L727" s="118"/>
      <c r="M727" s="111"/>
      <c r="N727" s="111"/>
      <c r="O727" s="111"/>
      <c r="P727" s="111"/>
      <c r="Q727" s="111"/>
      <c r="R727" s="72"/>
      <c r="S727" s="111"/>
      <c r="T727" s="112"/>
    </row>
    <row r="728" spans="1:20" ht="18.75" customHeight="1" x14ac:dyDescent="0.2">
      <c r="A728" s="113"/>
      <c r="B728" s="113"/>
      <c r="C728" s="114"/>
      <c r="D728" s="111"/>
      <c r="E728" s="128" t="s">
        <v>34</v>
      </c>
      <c r="F728" s="128" t="s">
        <v>688</v>
      </c>
      <c r="G728" s="128" t="s">
        <v>1129</v>
      </c>
      <c r="H728" s="82" t="s">
        <v>349</v>
      </c>
      <c r="I728" s="129">
        <v>1.91</v>
      </c>
      <c r="J728" s="116"/>
      <c r="K728" s="117"/>
      <c r="L728" s="118"/>
      <c r="M728" s="111"/>
      <c r="N728" s="111"/>
      <c r="O728" s="111"/>
      <c r="P728" s="111"/>
      <c r="Q728" s="111"/>
      <c r="R728" s="72"/>
      <c r="S728" s="106"/>
      <c r="T728" s="119"/>
    </row>
    <row r="729" spans="1:20" ht="18.75" customHeight="1" x14ac:dyDescent="0.2">
      <c r="A729" s="113"/>
      <c r="B729" s="113"/>
      <c r="C729" s="114"/>
      <c r="D729" s="111"/>
      <c r="E729" s="128" t="s">
        <v>1130</v>
      </c>
      <c r="F729" s="128" t="s">
        <v>1130</v>
      </c>
      <c r="G729" s="128" t="s">
        <v>383</v>
      </c>
      <c r="H729" s="82" t="s">
        <v>349</v>
      </c>
      <c r="I729" s="129">
        <v>1.2</v>
      </c>
      <c r="J729" s="116"/>
      <c r="K729" s="117"/>
      <c r="L729" s="118"/>
      <c r="M729" s="111"/>
      <c r="N729" s="111"/>
      <c r="O729" s="111"/>
      <c r="P729" s="111"/>
      <c r="Q729" s="111"/>
      <c r="R729" s="72"/>
      <c r="S729" s="111"/>
      <c r="T729" s="72"/>
    </row>
    <row r="730" spans="1:20" ht="18.75" customHeight="1" x14ac:dyDescent="0.2">
      <c r="A730" s="113"/>
      <c r="B730" s="113"/>
      <c r="C730" s="114"/>
      <c r="D730" s="111"/>
      <c r="E730" s="128"/>
      <c r="F730" s="128"/>
      <c r="G730" s="128" t="s">
        <v>353</v>
      </c>
      <c r="H730" s="82"/>
      <c r="I730" s="130"/>
      <c r="J730" s="116"/>
      <c r="K730" s="117"/>
      <c r="L730" s="118"/>
      <c r="M730" s="111"/>
      <c r="N730" s="111"/>
      <c r="O730" s="111"/>
      <c r="P730" s="111"/>
      <c r="Q730" s="111"/>
      <c r="R730" s="72"/>
      <c r="S730" s="111"/>
      <c r="T730" s="112"/>
    </row>
    <row r="731" spans="1:20" ht="18.75" customHeight="1" x14ac:dyDescent="0.2">
      <c r="A731" s="104">
        <v>37899</v>
      </c>
      <c r="B731" s="104">
        <v>37913</v>
      </c>
      <c r="C731" s="105">
        <v>13805</v>
      </c>
      <c r="D731" s="106" t="s">
        <v>539</v>
      </c>
      <c r="E731" s="95" t="s">
        <v>21</v>
      </c>
      <c r="F731" s="95" t="s">
        <v>540</v>
      </c>
      <c r="G731" s="95" t="s">
        <v>348</v>
      </c>
      <c r="H731" s="74" t="s">
        <v>349</v>
      </c>
      <c r="I731" s="127">
        <v>86.26</v>
      </c>
      <c r="J731" s="108"/>
      <c r="K731" s="108">
        <v>50.7</v>
      </c>
      <c r="L731" s="108"/>
      <c r="M731" s="104">
        <v>38168</v>
      </c>
      <c r="N731" s="109">
        <v>41089</v>
      </c>
      <c r="O731" s="73" t="s">
        <v>21</v>
      </c>
      <c r="P731" s="73" t="s">
        <v>540</v>
      </c>
      <c r="Q731" s="73" t="s">
        <v>348</v>
      </c>
      <c r="R731" s="72" t="s">
        <v>349</v>
      </c>
      <c r="S731" s="106"/>
      <c r="T731" s="119"/>
    </row>
    <row r="732" spans="1:20" ht="18.75" customHeight="1" x14ac:dyDescent="0.2">
      <c r="A732" s="113"/>
      <c r="B732" s="113"/>
      <c r="C732" s="114"/>
      <c r="D732" s="111"/>
      <c r="E732" s="128" t="s">
        <v>696</v>
      </c>
      <c r="F732" s="128" t="s">
        <v>696</v>
      </c>
      <c r="G732" s="128" t="s">
        <v>776</v>
      </c>
      <c r="H732" s="82" t="s">
        <v>349</v>
      </c>
      <c r="I732" s="129">
        <v>13.74</v>
      </c>
      <c r="J732" s="116"/>
      <c r="K732" s="117"/>
      <c r="L732" s="118"/>
      <c r="M732" s="111"/>
      <c r="N732" s="111"/>
      <c r="O732" s="111"/>
      <c r="P732" s="111"/>
      <c r="Q732" s="111"/>
      <c r="R732" s="72"/>
      <c r="S732" s="111"/>
      <c r="T732" s="72"/>
    </row>
    <row r="733" spans="1:20" ht="18.75" customHeight="1" x14ac:dyDescent="0.2">
      <c r="A733" s="113"/>
      <c r="B733" s="113"/>
      <c r="C733" s="114"/>
      <c r="D733" s="111"/>
      <c r="E733" s="124"/>
      <c r="F733" s="111"/>
      <c r="G733" s="111" t="s">
        <v>353</v>
      </c>
      <c r="H733" s="82"/>
      <c r="I733" s="125"/>
      <c r="J733" s="116"/>
      <c r="K733" s="117"/>
      <c r="L733" s="118"/>
      <c r="M733" s="111"/>
      <c r="N733" s="111"/>
      <c r="O733" s="111"/>
      <c r="P733" s="111"/>
      <c r="Q733" s="111"/>
      <c r="R733" s="72"/>
      <c r="S733" s="111"/>
      <c r="T733" s="112"/>
    </row>
    <row r="734" spans="1:20" ht="18.75" customHeight="1" x14ac:dyDescent="0.2">
      <c r="A734" s="104">
        <v>37906</v>
      </c>
      <c r="B734" s="104">
        <v>37920</v>
      </c>
      <c r="C734" s="105">
        <v>14108</v>
      </c>
      <c r="D734" s="106" t="s">
        <v>902</v>
      </c>
      <c r="E734" s="95" t="s">
        <v>19</v>
      </c>
      <c r="F734" s="95" t="s">
        <v>1131</v>
      </c>
      <c r="G734" s="95" t="s">
        <v>516</v>
      </c>
      <c r="H734" s="74" t="s">
        <v>349</v>
      </c>
      <c r="I734" s="127">
        <v>53.34</v>
      </c>
      <c r="J734" s="108"/>
      <c r="K734" s="108">
        <v>58.5</v>
      </c>
      <c r="L734" s="108"/>
      <c r="M734" s="104">
        <v>37928</v>
      </c>
      <c r="N734" s="133">
        <v>41090</v>
      </c>
      <c r="O734" s="72" t="s">
        <v>21</v>
      </c>
      <c r="P734" s="72" t="s">
        <v>903</v>
      </c>
      <c r="Q734" s="72" t="s">
        <v>355</v>
      </c>
      <c r="R734" s="72" t="s">
        <v>349</v>
      </c>
      <c r="S734" s="134" t="s">
        <v>1132</v>
      </c>
    </row>
    <row r="735" spans="1:20" ht="18.75" customHeight="1" x14ac:dyDescent="0.2">
      <c r="A735" s="113"/>
      <c r="B735" s="113"/>
      <c r="C735" s="114"/>
      <c r="D735" s="111"/>
      <c r="E735" s="128" t="s">
        <v>21</v>
      </c>
      <c r="F735" s="128" t="s">
        <v>682</v>
      </c>
      <c r="G735" s="128" t="s">
        <v>360</v>
      </c>
      <c r="H735" s="82" t="s">
        <v>349</v>
      </c>
      <c r="I735" s="129">
        <v>46.66</v>
      </c>
      <c r="J735" s="116"/>
      <c r="K735" s="117"/>
      <c r="L735" s="135"/>
      <c r="M735" s="136"/>
      <c r="N735" s="111"/>
      <c r="O735" s="111"/>
      <c r="P735" s="111"/>
      <c r="Q735" s="111"/>
      <c r="R735" s="72"/>
      <c r="S735" s="111"/>
      <c r="T735" s="112"/>
    </row>
    <row r="736" spans="1:20" ht="18.75" customHeight="1" x14ac:dyDescent="0.2">
      <c r="A736" s="113"/>
      <c r="B736" s="113"/>
      <c r="C736" s="114"/>
      <c r="D736" s="111"/>
      <c r="E736" s="124"/>
      <c r="F736" s="111"/>
      <c r="G736" s="111" t="s">
        <v>353</v>
      </c>
      <c r="H736" s="82"/>
      <c r="I736" s="125"/>
      <c r="J736" s="116"/>
      <c r="K736" s="117"/>
      <c r="L736" s="135"/>
      <c r="M736" s="136"/>
      <c r="N736" s="111"/>
      <c r="O736" s="111"/>
      <c r="P736" s="111"/>
      <c r="Q736" s="111"/>
      <c r="R736" s="72"/>
      <c r="S736" s="111"/>
      <c r="T736" s="112"/>
    </row>
    <row r="737" spans="1:20" ht="18.75" customHeight="1" x14ac:dyDescent="0.2">
      <c r="A737" s="104">
        <v>37906</v>
      </c>
      <c r="B737" s="104">
        <v>37927</v>
      </c>
      <c r="C737" s="105">
        <v>23204</v>
      </c>
      <c r="D737" s="106" t="s">
        <v>517</v>
      </c>
      <c r="E737" s="95" t="s">
        <v>21</v>
      </c>
      <c r="F737" s="95" t="s">
        <v>518</v>
      </c>
      <c r="G737" s="95" t="s">
        <v>444</v>
      </c>
      <c r="H737" s="74" t="s">
        <v>349</v>
      </c>
      <c r="I737" s="127">
        <v>51.26</v>
      </c>
      <c r="J737" s="108"/>
      <c r="K737" s="108">
        <v>65.900000000000006</v>
      </c>
      <c r="L737" s="108"/>
      <c r="M737" s="104">
        <v>38108</v>
      </c>
      <c r="N737" s="109">
        <v>41029</v>
      </c>
      <c r="O737" s="73" t="s">
        <v>21</v>
      </c>
      <c r="P737" s="73" t="s">
        <v>518</v>
      </c>
      <c r="Q737" s="73" t="s">
        <v>444</v>
      </c>
      <c r="R737" s="72" t="s">
        <v>349</v>
      </c>
      <c r="S737" s="111"/>
      <c r="T737" s="112"/>
    </row>
    <row r="738" spans="1:20" ht="18.75" customHeight="1" x14ac:dyDescent="0.2">
      <c r="A738" s="113"/>
      <c r="B738" s="113"/>
      <c r="C738" s="114"/>
      <c r="D738" s="111"/>
      <c r="E738" s="128" t="s">
        <v>19</v>
      </c>
      <c r="F738" s="128" t="s">
        <v>936</v>
      </c>
      <c r="G738" s="128" t="s">
        <v>570</v>
      </c>
      <c r="H738" s="82" t="s">
        <v>349</v>
      </c>
      <c r="I738" s="129">
        <v>46.37</v>
      </c>
      <c r="J738" s="116"/>
      <c r="K738" s="117"/>
      <c r="L738" s="111"/>
      <c r="M738" s="111"/>
      <c r="N738" s="111"/>
      <c r="O738" s="111"/>
      <c r="P738" s="111"/>
      <c r="Q738" s="111"/>
      <c r="R738" s="72"/>
      <c r="S738" s="106"/>
      <c r="T738" s="119"/>
    </row>
    <row r="739" spans="1:20" ht="18.75" customHeight="1" x14ac:dyDescent="0.2">
      <c r="A739" s="113"/>
      <c r="B739" s="113"/>
      <c r="C739" s="114"/>
      <c r="D739" s="111"/>
      <c r="E739" s="128" t="s">
        <v>481</v>
      </c>
      <c r="F739" s="128" t="s">
        <v>481</v>
      </c>
      <c r="G739" s="128" t="s">
        <v>1133</v>
      </c>
      <c r="H739" s="82" t="s">
        <v>349</v>
      </c>
      <c r="I739" s="129">
        <v>2.36</v>
      </c>
      <c r="J739" s="116"/>
      <c r="K739" s="117"/>
      <c r="L739" s="111"/>
      <c r="M739" s="111"/>
      <c r="N739" s="111"/>
      <c r="O739" s="111"/>
      <c r="P739" s="111"/>
      <c r="Q739" s="111"/>
      <c r="R739" s="72"/>
      <c r="S739" s="111"/>
      <c r="T739" s="72"/>
    </row>
    <row r="740" spans="1:20" ht="18.75" customHeight="1" x14ac:dyDescent="0.2">
      <c r="A740" s="113"/>
      <c r="B740" s="113"/>
      <c r="C740" s="114"/>
      <c r="D740" s="111"/>
      <c r="E740" s="124"/>
      <c r="F740" s="111"/>
      <c r="G740" s="111" t="s">
        <v>353</v>
      </c>
      <c r="H740" s="82"/>
      <c r="I740" s="125"/>
      <c r="J740" s="116"/>
      <c r="K740" s="117"/>
      <c r="L740" s="111"/>
      <c r="M740" s="111"/>
      <c r="N740" s="111"/>
      <c r="O740" s="111"/>
      <c r="P740" s="111"/>
      <c r="Q740" s="111"/>
      <c r="R740" s="72"/>
      <c r="S740" s="111"/>
      <c r="T740" s="112"/>
    </row>
    <row r="741" spans="1:20" ht="18.75" customHeight="1" x14ac:dyDescent="0.2">
      <c r="A741" s="104">
        <v>37927</v>
      </c>
      <c r="B741" s="104">
        <v>37941</v>
      </c>
      <c r="C741" s="105">
        <v>34007</v>
      </c>
      <c r="D741" s="106" t="s">
        <v>521</v>
      </c>
      <c r="E741" s="95" t="s">
        <v>55</v>
      </c>
      <c r="F741" s="95" t="s">
        <v>915</v>
      </c>
      <c r="G741" s="95" t="s">
        <v>505</v>
      </c>
      <c r="H741" s="74" t="s">
        <v>349</v>
      </c>
      <c r="I741" s="127">
        <v>38.65</v>
      </c>
      <c r="J741" s="131">
        <v>52.44</v>
      </c>
      <c r="K741" s="108">
        <v>62.2</v>
      </c>
      <c r="L741" s="108">
        <v>69.8</v>
      </c>
      <c r="M741" s="104">
        <v>38148</v>
      </c>
      <c r="N741" s="109">
        <v>41069</v>
      </c>
      <c r="O741" s="73" t="s">
        <v>19</v>
      </c>
      <c r="P741" s="73" t="s">
        <v>522</v>
      </c>
      <c r="Q741" s="73" t="s">
        <v>371</v>
      </c>
      <c r="R741" s="72" t="s">
        <v>349</v>
      </c>
      <c r="S741" s="111"/>
      <c r="T741" s="112"/>
    </row>
    <row r="742" spans="1:20" ht="18.75" customHeight="1" x14ac:dyDescent="0.2">
      <c r="A742" s="113"/>
      <c r="B742" s="113"/>
      <c r="C742" s="114"/>
      <c r="D742" s="111"/>
      <c r="E742" s="128" t="s">
        <v>19</v>
      </c>
      <c r="F742" s="128" t="s">
        <v>522</v>
      </c>
      <c r="G742" s="128" t="s">
        <v>371</v>
      </c>
      <c r="H742" s="82" t="s">
        <v>349</v>
      </c>
      <c r="I742" s="129">
        <v>45.08</v>
      </c>
      <c r="J742" s="132">
        <v>47.56</v>
      </c>
      <c r="K742" s="117"/>
      <c r="L742" s="118"/>
      <c r="M742" s="111"/>
      <c r="N742" s="111"/>
      <c r="O742" s="111"/>
      <c r="P742" s="111"/>
      <c r="Q742" s="111"/>
      <c r="R742" s="72"/>
      <c r="S742" s="106"/>
      <c r="T742" s="119"/>
    </row>
    <row r="743" spans="1:20" ht="18.75" customHeight="1" x14ac:dyDescent="0.2">
      <c r="A743" s="113"/>
      <c r="B743" s="113"/>
      <c r="C743" s="114"/>
      <c r="D743" s="111"/>
      <c r="E743" s="128" t="s">
        <v>21</v>
      </c>
      <c r="F743" s="128" t="s">
        <v>1134</v>
      </c>
      <c r="G743" s="128" t="s">
        <v>1135</v>
      </c>
      <c r="H743" s="82" t="s">
        <v>349</v>
      </c>
      <c r="I743" s="129">
        <v>16.27</v>
      </c>
      <c r="J743" s="116"/>
      <c r="K743" s="117"/>
      <c r="L743" s="118"/>
      <c r="M743" s="111"/>
      <c r="N743" s="111"/>
      <c r="O743" s="111"/>
      <c r="P743" s="111"/>
      <c r="Q743" s="111"/>
      <c r="R743" s="72"/>
      <c r="S743" s="111"/>
      <c r="T743" s="112"/>
    </row>
    <row r="744" spans="1:20" ht="18.75" customHeight="1" x14ac:dyDescent="0.2">
      <c r="A744" s="113"/>
      <c r="B744" s="113"/>
      <c r="C744" s="114"/>
      <c r="D744" s="111"/>
      <c r="E744" s="128"/>
      <c r="F744" s="128"/>
      <c r="G744" s="128" t="s">
        <v>353</v>
      </c>
      <c r="H744" s="82"/>
      <c r="I744" s="130"/>
      <c r="J744" s="116"/>
      <c r="K744" s="117"/>
      <c r="L744" s="118"/>
      <c r="M744" s="111"/>
      <c r="N744" s="111"/>
      <c r="O744" s="111"/>
      <c r="P744" s="111"/>
      <c r="Q744" s="111"/>
      <c r="R744" s="72"/>
      <c r="S744" s="106"/>
      <c r="T744" s="119"/>
    </row>
    <row r="745" spans="1:20" ht="18.75" customHeight="1" x14ac:dyDescent="0.2">
      <c r="A745" s="104">
        <v>37934</v>
      </c>
      <c r="B745" s="104">
        <v>37948</v>
      </c>
      <c r="C745" s="105">
        <v>13208</v>
      </c>
      <c r="D745" s="106" t="s">
        <v>528</v>
      </c>
      <c r="E745" s="95" t="s">
        <v>19</v>
      </c>
      <c r="F745" s="95" t="s">
        <v>529</v>
      </c>
      <c r="G745" s="95" t="s">
        <v>383</v>
      </c>
      <c r="H745" s="74" t="s">
        <v>349</v>
      </c>
      <c r="I745" s="127">
        <v>81.41</v>
      </c>
      <c r="J745" s="108"/>
      <c r="K745" s="108">
        <v>28.1</v>
      </c>
      <c r="L745" s="108"/>
      <c r="M745" s="104">
        <v>38169</v>
      </c>
      <c r="N745" s="109">
        <v>41090</v>
      </c>
      <c r="O745" s="73" t="s">
        <v>19</v>
      </c>
      <c r="P745" s="73" t="s">
        <v>529</v>
      </c>
      <c r="Q745" s="73" t="s">
        <v>383</v>
      </c>
      <c r="R745" s="72" t="s">
        <v>349</v>
      </c>
      <c r="S745" s="111"/>
      <c r="T745" s="112"/>
    </row>
    <row r="746" spans="1:20" ht="18.75" customHeight="1" x14ac:dyDescent="0.2">
      <c r="A746" s="113"/>
      <c r="B746" s="113"/>
      <c r="C746" s="114"/>
      <c r="D746" s="111"/>
      <c r="E746" s="124"/>
      <c r="F746" s="111"/>
      <c r="G746" s="111" t="s">
        <v>353</v>
      </c>
      <c r="H746" s="82"/>
      <c r="I746" s="125"/>
      <c r="J746" s="116"/>
      <c r="K746" s="117"/>
      <c r="L746" s="118"/>
      <c r="M746" s="111"/>
      <c r="N746" s="111"/>
      <c r="O746" s="111"/>
      <c r="P746" s="111"/>
      <c r="Q746" s="111"/>
      <c r="R746" s="72"/>
      <c r="S746" s="111"/>
      <c r="T746" s="112"/>
    </row>
    <row r="747" spans="1:20" ht="18.75" customHeight="1" x14ac:dyDescent="0.2">
      <c r="A747" s="104">
        <v>38018</v>
      </c>
      <c r="B747" s="104">
        <v>38032</v>
      </c>
      <c r="C747" s="105">
        <v>13803</v>
      </c>
      <c r="D747" s="106" t="s">
        <v>536</v>
      </c>
      <c r="E747" s="95" t="s">
        <v>21</v>
      </c>
      <c r="F747" s="95" t="s">
        <v>537</v>
      </c>
      <c r="G747" s="95" t="s">
        <v>444</v>
      </c>
      <c r="H747" s="74" t="s">
        <v>349</v>
      </c>
      <c r="I747" s="127">
        <v>60.87</v>
      </c>
      <c r="J747" s="108"/>
      <c r="K747" s="108">
        <v>50.7</v>
      </c>
      <c r="L747" s="108"/>
      <c r="M747" s="104">
        <v>38200</v>
      </c>
      <c r="N747" s="109">
        <v>41121</v>
      </c>
      <c r="O747" s="73" t="s">
        <v>21</v>
      </c>
      <c r="P747" s="73" t="s">
        <v>537</v>
      </c>
      <c r="Q747" s="73" t="s">
        <v>444</v>
      </c>
      <c r="R747" s="72" t="s">
        <v>349</v>
      </c>
      <c r="S747" s="106"/>
      <c r="T747" s="119"/>
    </row>
    <row r="748" spans="1:20" ht="18.75" customHeight="1" x14ac:dyDescent="0.2">
      <c r="A748" s="113"/>
      <c r="B748" s="113"/>
      <c r="C748" s="114"/>
      <c r="D748" s="111"/>
      <c r="E748" s="128" t="s">
        <v>19</v>
      </c>
      <c r="F748" s="128" t="s">
        <v>1136</v>
      </c>
      <c r="G748" s="128" t="s">
        <v>641</v>
      </c>
      <c r="H748" s="82" t="s">
        <v>419</v>
      </c>
      <c r="I748" s="129">
        <v>39.130000000000003</v>
      </c>
      <c r="J748" s="116"/>
      <c r="K748" s="117"/>
      <c r="L748" s="111"/>
      <c r="M748" s="111"/>
      <c r="N748" s="111"/>
      <c r="O748" s="111"/>
      <c r="P748" s="111"/>
      <c r="Q748" s="111"/>
      <c r="R748" s="72"/>
      <c r="S748" s="111"/>
      <c r="T748" s="112"/>
    </row>
    <row r="749" spans="1:20" ht="18.75" customHeight="1" x14ac:dyDescent="0.2">
      <c r="A749" s="113"/>
      <c r="B749" s="113"/>
      <c r="C749" s="114"/>
      <c r="D749" s="111"/>
      <c r="E749" s="128"/>
      <c r="F749" s="128"/>
      <c r="G749" s="128" t="s">
        <v>353</v>
      </c>
      <c r="H749" s="82"/>
      <c r="I749" s="130"/>
      <c r="J749" s="116"/>
      <c r="K749" s="117"/>
      <c r="L749" s="111"/>
      <c r="M749" s="111"/>
      <c r="N749" s="111"/>
      <c r="O749" s="111"/>
      <c r="P749" s="111"/>
      <c r="Q749" s="111"/>
      <c r="R749" s="72"/>
      <c r="S749" s="111"/>
      <c r="T749" s="112"/>
    </row>
    <row r="750" spans="1:20" ht="18.75" customHeight="1" x14ac:dyDescent="0.2">
      <c r="A750" s="104">
        <v>38151</v>
      </c>
      <c r="B750" s="104">
        <v>38165</v>
      </c>
      <c r="C750" s="105">
        <v>13103</v>
      </c>
      <c r="D750" s="106" t="s">
        <v>524</v>
      </c>
      <c r="E750" s="95" t="s">
        <v>19</v>
      </c>
      <c r="F750" s="95" t="s">
        <v>1137</v>
      </c>
      <c r="G750" s="95" t="s">
        <v>444</v>
      </c>
      <c r="H750" s="74" t="s">
        <v>349</v>
      </c>
      <c r="I750" s="127">
        <v>58.42</v>
      </c>
      <c r="J750" s="108"/>
      <c r="K750" s="108">
        <v>58.5</v>
      </c>
      <c r="L750" s="108"/>
      <c r="M750" s="104">
        <v>38268</v>
      </c>
      <c r="N750" s="109">
        <v>41189</v>
      </c>
      <c r="O750" s="106"/>
      <c r="P750" s="106"/>
      <c r="Q750" s="106"/>
      <c r="R750" s="72"/>
      <c r="S750" s="106"/>
      <c r="T750" s="119"/>
    </row>
    <row r="751" spans="1:20" ht="18.75" customHeight="1" x14ac:dyDescent="0.2">
      <c r="A751" s="113"/>
      <c r="B751" s="113"/>
      <c r="C751" s="114"/>
      <c r="D751" s="111"/>
      <c r="E751" s="128" t="s">
        <v>21</v>
      </c>
      <c r="F751" s="128" t="s">
        <v>1138</v>
      </c>
      <c r="G751" s="128" t="s">
        <v>444</v>
      </c>
      <c r="H751" s="82" t="s">
        <v>349</v>
      </c>
      <c r="I751" s="129">
        <v>41.58</v>
      </c>
      <c r="J751" s="116"/>
      <c r="K751" s="117"/>
      <c r="L751" s="111"/>
      <c r="M751" s="111"/>
      <c r="N751" s="111"/>
      <c r="O751" s="111"/>
      <c r="P751" s="111"/>
      <c r="Q751" s="111"/>
      <c r="R751" s="72"/>
      <c r="S751" s="111"/>
      <c r="T751" s="112"/>
    </row>
    <row r="752" spans="1:20" ht="18.75" customHeight="1" x14ac:dyDescent="0.2">
      <c r="A752" s="113"/>
      <c r="B752" s="113"/>
      <c r="C752" s="114"/>
      <c r="D752" s="111"/>
      <c r="E752" s="124"/>
      <c r="F752" s="111"/>
      <c r="G752" s="111" t="s">
        <v>353</v>
      </c>
      <c r="H752" s="82"/>
      <c r="I752" s="125"/>
      <c r="J752" s="116"/>
      <c r="K752" s="117"/>
      <c r="L752" s="111"/>
      <c r="M752" s="111"/>
      <c r="N752" s="111"/>
      <c r="O752" s="111"/>
      <c r="P752" s="111"/>
      <c r="Q752" s="111"/>
      <c r="R752" s="72"/>
      <c r="S752" s="111"/>
      <c r="T752" s="112"/>
    </row>
    <row r="753" spans="1:20" ht="18.75" customHeight="1" x14ac:dyDescent="0.2">
      <c r="A753" s="104">
        <v>38151</v>
      </c>
      <c r="B753" s="104">
        <v>38165</v>
      </c>
      <c r="C753" s="105">
        <v>13303</v>
      </c>
      <c r="D753" s="106" t="s">
        <v>574</v>
      </c>
      <c r="E753" s="95" t="s">
        <v>1139</v>
      </c>
      <c r="F753" s="95" t="s">
        <v>1139</v>
      </c>
      <c r="G753" s="95" t="s">
        <v>591</v>
      </c>
      <c r="H753" s="74" t="s">
        <v>349</v>
      </c>
      <c r="I753" s="127">
        <v>51.1</v>
      </c>
      <c r="J753" s="108"/>
      <c r="K753" s="108">
        <v>67.8</v>
      </c>
      <c r="L753" s="108"/>
      <c r="M753" s="104">
        <v>38414</v>
      </c>
      <c r="N753" s="109">
        <v>40119</v>
      </c>
      <c r="O753" s="73" t="s">
        <v>21</v>
      </c>
      <c r="P753" s="73" t="s">
        <v>575</v>
      </c>
      <c r="Q753" s="73" t="s">
        <v>355</v>
      </c>
      <c r="R753" s="72" t="s">
        <v>349</v>
      </c>
      <c r="S753" s="106"/>
      <c r="T753" s="72"/>
    </row>
    <row r="754" spans="1:20" ht="18.75" customHeight="1" x14ac:dyDescent="0.2">
      <c r="A754" s="113"/>
      <c r="B754" s="113"/>
      <c r="C754" s="114"/>
      <c r="D754" s="111"/>
      <c r="E754" s="128" t="s">
        <v>21</v>
      </c>
      <c r="F754" s="128" t="s">
        <v>575</v>
      </c>
      <c r="G754" s="128" t="s">
        <v>355</v>
      </c>
      <c r="H754" s="82" t="s">
        <v>349</v>
      </c>
      <c r="I754" s="129">
        <v>48.9</v>
      </c>
      <c r="J754" s="116"/>
      <c r="K754" s="117"/>
      <c r="L754" s="111"/>
      <c r="M754" s="111"/>
      <c r="N754" s="111"/>
      <c r="O754" s="111"/>
      <c r="P754" s="111"/>
      <c r="Q754" s="111"/>
      <c r="R754" s="72"/>
      <c r="S754" s="111"/>
      <c r="T754" s="112"/>
    </row>
    <row r="755" spans="1:20" ht="18.75" customHeight="1" x14ac:dyDescent="0.2">
      <c r="A755" s="113"/>
      <c r="B755" s="113"/>
      <c r="C755" s="114"/>
      <c r="D755" s="111"/>
      <c r="E755" s="128"/>
      <c r="F755" s="128"/>
      <c r="G755" s="128" t="s">
        <v>353</v>
      </c>
      <c r="H755" s="82"/>
      <c r="I755" s="130"/>
      <c r="J755" s="116"/>
      <c r="K755" s="117"/>
      <c r="L755" s="111"/>
      <c r="M755" s="111"/>
      <c r="N755" s="111"/>
      <c r="O755" s="111"/>
      <c r="P755" s="111"/>
      <c r="Q755" s="111"/>
      <c r="R755" s="72"/>
      <c r="S755" s="106"/>
      <c r="T755" s="119"/>
    </row>
    <row r="756" spans="1:20" ht="18.75" customHeight="1" x14ac:dyDescent="0.2">
      <c r="A756" s="104">
        <v>38151</v>
      </c>
      <c r="B756" s="104">
        <v>38165</v>
      </c>
      <c r="C756" s="105">
        <v>13404</v>
      </c>
      <c r="D756" s="106" t="s">
        <v>531</v>
      </c>
      <c r="E756" s="137" t="s">
        <v>1140</v>
      </c>
      <c r="F756" s="137" t="s">
        <v>533</v>
      </c>
      <c r="G756" s="137" t="s">
        <v>348</v>
      </c>
      <c r="H756" s="74" t="s">
        <v>349</v>
      </c>
      <c r="I756" s="127">
        <v>79.900000000000006</v>
      </c>
      <c r="J756" s="108"/>
      <c r="K756" s="108">
        <v>56.1</v>
      </c>
      <c r="L756" s="108"/>
      <c r="M756" s="104">
        <v>38261</v>
      </c>
      <c r="N756" s="109">
        <v>40209</v>
      </c>
      <c r="O756" s="73" t="s">
        <v>532</v>
      </c>
      <c r="P756" s="73" t="s">
        <v>533</v>
      </c>
      <c r="Q756" s="73" t="s">
        <v>348</v>
      </c>
      <c r="R756" s="72" t="s">
        <v>349</v>
      </c>
      <c r="S756" s="111"/>
      <c r="T756" s="112"/>
    </row>
    <row r="757" spans="1:20" ht="18.75" customHeight="1" x14ac:dyDescent="0.2">
      <c r="A757" s="113"/>
      <c r="B757" s="113"/>
      <c r="C757" s="114"/>
      <c r="D757" s="111"/>
      <c r="E757" s="124"/>
      <c r="F757" s="111"/>
      <c r="G757" s="111" t="s">
        <v>353</v>
      </c>
      <c r="H757" s="82"/>
      <c r="I757" s="125"/>
      <c r="J757" s="116"/>
      <c r="K757" s="117"/>
      <c r="L757" s="111"/>
      <c r="M757" s="111"/>
      <c r="N757" s="111"/>
      <c r="O757" s="111"/>
      <c r="P757" s="111"/>
      <c r="Q757" s="111"/>
      <c r="R757" s="72"/>
      <c r="S757" s="106"/>
      <c r="T757" s="119"/>
    </row>
    <row r="758" spans="1:20" ht="18.75" customHeight="1" x14ac:dyDescent="0.2">
      <c r="A758" s="104">
        <v>38151</v>
      </c>
      <c r="B758" s="104">
        <v>38165</v>
      </c>
      <c r="C758" s="105">
        <v>13703</v>
      </c>
      <c r="D758" s="106" t="s">
        <v>1141</v>
      </c>
      <c r="E758" s="137" t="s">
        <v>19</v>
      </c>
      <c r="F758" s="137" t="s">
        <v>560</v>
      </c>
      <c r="G758" s="137" t="s">
        <v>561</v>
      </c>
      <c r="H758" s="74" t="s">
        <v>349</v>
      </c>
      <c r="I758" s="127">
        <v>87.11</v>
      </c>
      <c r="J758" s="108"/>
      <c r="K758" s="108">
        <v>68.2</v>
      </c>
      <c r="L758" s="108"/>
      <c r="M758" s="104">
        <v>38413</v>
      </c>
      <c r="N758" s="109">
        <v>39813</v>
      </c>
      <c r="O758" s="73" t="s">
        <v>19</v>
      </c>
      <c r="P758" s="73" t="s">
        <v>560</v>
      </c>
      <c r="Q758" s="73" t="s">
        <v>561</v>
      </c>
      <c r="R758" s="72" t="s">
        <v>349</v>
      </c>
      <c r="S758" s="111"/>
      <c r="T758" s="112"/>
    </row>
    <row r="759" spans="1:20" ht="18.75" customHeight="1" x14ac:dyDescent="0.2">
      <c r="A759" s="113"/>
      <c r="B759" s="113"/>
      <c r="C759" s="114"/>
      <c r="D759" s="111"/>
      <c r="E759" s="124"/>
      <c r="F759" s="111"/>
      <c r="G759" s="111" t="s">
        <v>353</v>
      </c>
      <c r="H759" s="82"/>
      <c r="I759" s="125"/>
      <c r="J759" s="116"/>
      <c r="K759" s="117"/>
      <c r="L759" s="111"/>
      <c r="M759" s="111"/>
      <c r="N759" s="111"/>
      <c r="O759" s="111"/>
      <c r="P759" s="111"/>
      <c r="Q759" s="111"/>
      <c r="R759" s="72"/>
      <c r="S759" s="111"/>
      <c r="T759" s="112"/>
    </row>
    <row r="760" spans="1:20" ht="18.75" customHeight="1" x14ac:dyDescent="0.2">
      <c r="A760" s="104">
        <v>38151</v>
      </c>
      <c r="B760" s="104">
        <v>38165</v>
      </c>
      <c r="C760" s="105">
        <v>14002</v>
      </c>
      <c r="D760" s="106" t="s">
        <v>572</v>
      </c>
      <c r="E760" s="95" t="s">
        <v>507</v>
      </c>
      <c r="F760" s="95" t="s">
        <v>507</v>
      </c>
      <c r="G760" s="95" t="s">
        <v>389</v>
      </c>
      <c r="H760" s="74" t="s">
        <v>349</v>
      </c>
      <c r="I760" s="127">
        <v>83.69</v>
      </c>
      <c r="J760" s="108"/>
      <c r="K760" s="108">
        <v>70.900000000000006</v>
      </c>
      <c r="L760" s="108"/>
      <c r="M760" s="104">
        <v>38412</v>
      </c>
      <c r="N760" s="109">
        <v>41333</v>
      </c>
      <c r="O760" s="73" t="s">
        <v>21</v>
      </c>
      <c r="P760" s="73" t="s">
        <v>507</v>
      </c>
      <c r="Q760" s="73" t="s">
        <v>389</v>
      </c>
      <c r="R760" s="72" t="s">
        <v>349</v>
      </c>
      <c r="S760" s="106"/>
      <c r="T760" s="72"/>
    </row>
    <row r="761" spans="1:20" ht="18.75" customHeight="1" x14ac:dyDescent="0.2">
      <c r="A761" s="113"/>
      <c r="B761" s="113"/>
      <c r="C761" s="114"/>
      <c r="D761" s="111"/>
      <c r="E761" s="128" t="s">
        <v>19</v>
      </c>
      <c r="F761" s="128" t="s">
        <v>1142</v>
      </c>
      <c r="G761" s="128" t="s">
        <v>1143</v>
      </c>
      <c r="H761" s="82" t="s">
        <v>419</v>
      </c>
      <c r="I761" s="129">
        <v>16.309999999999999</v>
      </c>
      <c r="J761" s="116"/>
      <c r="K761" s="117"/>
      <c r="L761" s="111"/>
      <c r="M761" s="111"/>
      <c r="N761" s="111"/>
      <c r="O761" s="111"/>
      <c r="P761" s="111"/>
      <c r="Q761" s="111"/>
      <c r="R761" s="72"/>
      <c r="S761" s="111"/>
      <c r="T761" s="112"/>
    </row>
    <row r="762" spans="1:20" ht="18.75" customHeight="1" x14ac:dyDescent="0.2">
      <c r="A762" s="113"/>
      <c r="B762" s="113"/>
      <c r="C762" s="114"/>
      <c r="D762" s="111"/>
      <c r="E762" s="128"/>
      <c r="F762" s="128"/>
      <c r="G762" s="128" t="s">
        <v>353</v>
      </c>
      <c r="H762" s="82"/>
      <c r="I762" s="130"/>
      <c r="J762" s="116"/>
      <c r="K762" s="117"/>
      <c r="L762" s="111"/>
      <c r="M762" s="111"/>
      <c r="N762" s="111"/>
      <c r="O762" s="111"/>
      <c r="P762" s="111"/>
      <c r="Q762" s="111"/>
      <c r="R762" s="72"/>
      <c r="S762" s="111"/>
      <c r="T762" s="112"/>
    </row>
    <row r="763" spans="1:20" ht="18.75" customHeight="1" x14ac:dyDescent="0.2">
      <c r="A763" s="104">
        <v>38151</v>
      </c>
      <c r="B763" s="104">
        <v>38165</v>
      </c>
      <c r="C763" s="105">
        <v>33205</v>
      </c>
      <c r="D763" s="106" t="s">
        <v>554</v>
      </c>
      <c r="E763" s="95" t="s">
        <v>19</v>
      </c>
      <c r="F763" s="95" t="s">
        <v>555</v>
      </c>
      <c r="G763" s="95" t="s">
        <v>556</v>
      </c>
      <c r="H763" s="74" t="s">
        <v>349</v>
      </c>
      <c r="I763" s="127">
        <v>63.79</v>
      </c>
      <c r="J763" s="108"/>
      <c r="K763" s="108">
        <v>63.7</v>
      </c>
      <c r="L763" s="108"/>
      <c r="M763" s="104">
        <v>38353</v>
      </c>
      <c r="N763" s="109">
        <v>41274</v>
      </c>
      <c r="O763" s="73" t="s">
        <v>19</v>
      </c>
      <c r="P763" s="73" t="s">
        <v>555</v>
      </c>
      <c r="Q763" s="73" t="s">
        <v>556</v>
      </c>
      <c r="R763" s="72" t="s">
        <v>349</v>
      </c>
      <c r="S763" s="111"/>
      <c r="T763" s="112"/>
    </row>
    <row r="764" spans="1:20" ht="18.75" customHeight="1" x14ac:dyDescent="0.2">
      <c r="A764" s="113"/>
      <c r="B764" s="113"/>
      <c r="C764" s="114"/>
      <c r="D764" s="111"/>
      <c r="E764" s="128" t="s">
        <v>21</v>
      </c>
      <c r="F764" s="128" t="s">
        <v>557</v>
      </c>
      <c r="G764" s="128" t="s">
        <v>381</v>
      </c>
      <c r="H764" s="82" t="s">
        <v>349</v>
      </c>
      <c r="I764" s="129">
        <v>28.64</v>
      </c>
      <c r="J764" s="116"/>
      <c r="K764" s="117"/>
      <c r="L764" s="111"/>
      <c r="M764" s="111"/>
      <c r="N764" s="111"/>
      <c r="O764" s="111"/>
      <c r="P764" s="111"/>
      <c r="Q764" s="111"/>
      <c r="R764" s="72"/>
      <c r="S764" s="106"/>
      <c r="T764" s="119"/>
    </row>
    <row r="765" spans="1:20" ht="18.75" customHeight="1" x14ac:dyDescent="0.2">
      <c r="A765" s="113"/>
      <c r="B765" s="113"/>
      <c r="C765" s="114"/>
      <c r="D765" s="111"/>
      <c r="E765" s="128" t="s">
        <v>1144</v>
      </c>
      <c r="F765" s="128" t="s">
        <v>1145</v>
      </c>
      <c r="G765" s="128" t="s">
        <v>1146</v>
      </c>
      <c r="H765" s="82" t="s">
        <v>349</v>
      </c>
      <c r="I765" s="129">
        <v>7.57</v>
      </c>
      <c r="J765" s="116"/>
      <c r="K765" s="117"/>
      <c r="L765" s="111"/>
      <c r="M765" s="111"/>
      <c r="N765" s="111"/>
      <c r="O765" s="111"/>
      <c r="P765" s="111"/>
      <c r="Q765" s="111"/>
      <c r="R765" s="72"/>
      <c r="S765" s="111"/>
      <c r="T765" s="112"/>
    </row>
    <row r="766" spans="1:20" ht="18.75" customHeight="1" x14ac:dyDescent="0.2">
      <c r="A766" s="113"/>
      <c r="B766" s="113"/>
      <c r="C766" s="114"/>
      <c r="D766" s="111"/>
      <c r="E766" s="124"/>
      <c r="F766" s="111"/>
      <c r="G766" s="111" t="s">
        <v>353</v>
      </c>
      <c r="H766" s="82"/>
      <c r="I766" s="125"/>
      <c r="J766" s="116"/>
      <c r="K766" s="117"/>
      <c r="L766" s="111"/>
      <c r="M766" s="111"/>
      <c r="N766" s="111"/>
      <c r="O766" s="111"/>
      <c r="P766" s="111"/>
      <c r="Q766" s="111"/>
      <c r="R766" s="72"/>
      <c r="S766" s="111"/>
      <c r="T766" s="112"/>
    </row>
    <row r="767" spans="1:20" ht="18.75" customHeight="1" x14ac:dyDescent="0.2">
      <c r="A767" s="104">
        <v>38151</v>
      </c>
      <c r="B767" s="104">
        <v>38165</v>
      </c>
      <c r="C767" s="105">
        <v>33302</v>
      </c>
      <c r="D767" s="106" t="s">
        <v>548</v>
      </c>
      <c r="E767" s="95" t="s">
        <v>21</v>
      </c>
      <c r="F767" s="95" t="s">
        <v>1147</v>
      </c>
      <c r="G767" s="95" t="s">
        <v>353</v>
      </c>
      <c r="H767" s="74"/>
      <c r="I767" s="127">
        <v>67.12</v>
      </c>
      <c r="J767" s="108"/>
      <c r="K767" s="108">
        <v>63.3</v>
      </c>
      <c r="L767" s="108"/>
      <c r="M767" s="104">
        <v>38228</v>
      </c>
      <c r="N767" s="109">
        <v>40638</v>
      </c>
      <c r="O767" s="73" t="s">
        <v>21</v>
      </c>
      <c r="P767" s="73" t="s">
        <v>549</v>
      </c>
      <c r="Q767" s="73" t="s">
        <v>550</v>
      </c>
      <c r="R767" s="72" t="s">
        <v>349</v>
      </c>
      <c r="S767" s="106"/>
      <c r="T767" s="119"/>
    </row>
    <row r="768" spans="1:20" ht="18.75" customHeight="1" x14ac:dyDescent="0.2">
      <c r="A768" s="113"/>
      <c r="B768" s="113"/>
      <c r="C768" s="114"/>
      <c r="D768" s="111"/>
      <c r="E768" s="128" t="s">
        <v>19</v>
      </c>
      <c r="F768" s="128" t="s">
        <v>551</v>
      </c>
      <c r="G768" s="128" t="s">
        <v>1148</v>
      </c>
      <c r="H768" s="82" t="s">
        <v>349</v>
      </c>
      <c r="I768" s="129">
        <v>32.880000000000003</v>
      </c>
      <c r="J768" s="116"/>
      <c r="K768" s="117"/>
      <c r="L768" s="111"/>
      <c r="M768" s="111"/>
      <c r="N768" s="111"/>
      <c r="O768" s="111"/>
      <c r="P768" s="111"/>
      <c r="Q768" s="111"/>
      <c r="R768" s="72"/>
      <c r="S768" s="111"/>
      <c r="T768" s="112"/>
    </row>
    <row r="769" spans="1:20" ht="18.75" customHeight="1" x14ac:dyDescent="0.2">
      <c r="A769" s="113"/>
      <c r="B769" s="113"/>
      <c r="C769" s="114"/>
      <c r="D769" s="111"/>
      <c r="E769" s="128"/>
      <c r="F769" s="128"/>
      <c r="G769" s="128" t="s">
        <v>353</v>
      </c>
      <c r="H769" s="82"/>
      <c r="I769" s="130"/>
      <c r="J769" s="116"/>
      <c r="K769" s="117"/>
      <c r="L769" s="111"/>
      <c r="M769" s="111"/>
      <c r="N769" s="111"/>
      <c r="O769" s="111"/>
      <c r="P769" s="111"/>
      <c r="Q769" s="111"/>
      <c r="R769" s="72"/>
      <c r="S769" s="106"/>
      <c r="T769" s="119"/>
    </row>
    <row r="770" spans="1:20" ht="18.75" customHeight="1" x14ac:dyDescent="0.2">
      <c r="A770" s="104">
        <v>38151</v>
      </c>
      <c r="B770" s="104">
        <v>38165</v>
      </c>
      <c r="C770" s="105">
        <v>33505</v>
      </c>
      <c r="D770" s="106" t="s">
        <v>582</v>
      </c>
      <c r="E770" s="137" t="s">
        <v>19</v>
      </c>
      <c r="F770" s="137" t="s">
        <v>583</v>
      </c>
      <c r="G770" s="137" t="s">
        <v>358</v>
      </c>
      <c r="H770" s="74" t="s">
        <v>349</v>
      </c>
      <c r="I770" s="127">
        <v>68.739999999999995</v>
      </c>
      <c r="J770" s="108"/>
      <c r="K770" s="108">
        <v>60.8</v>
      </c>
      <c r="L770" s="108"/>
      <c r="M770" s="104">
        <v>38361</v>
      </c>
      <c r="N770" s="109">
        <v>41282</v>
      </c>
      <c r="O770" s="73" t="s">
        <v>19</v>
      </c>
      <c r="P770" s="73" t="s">
        <v>583</v>
      </c>
      <c r="Q770" s="73" t="s">
        <v>358</v>
      </c>
      <c r="R770" s="72" t="s">
        <v>349</v>
      </c>
      <c r="S770" s="111"/>
      <c r="T770" s="112"/>
    </row>
    <row r="771" spans="1:20" ht="18.75" customHeight="1" x14ac:dyDescent="0.2">
      <c r="A771" s="113"/>
      <c r="B771" s="113"/>
      <c r="C771" s="114"/>
      <c r="D771" s="111"/>
      <c r="E771" s="124"/>
      <c r="F771" s="111"/>
      <c r="G771" s="111" t="s">
        <v>353</v>
      </c>
      <c r="H771" s="82"/>
      <c r="I771" s="125"/>
      <c r="J771" s="116"/>
      <c r="K771" s="117"/>
      <c r="L771" s="111"/>
      <c r="M771" s="111"/>
      <c r="N771" s="111"/>
      <c r="O771" s="111"/>
      <c r="P771" s="111"/>
      <c r="Q771" s="111"/>
      <c r="R771" s="72"/>
      <c r="S771" s="111"/>
      <c r="T771" s="112"/>
    </row>
    <row r="772" spans="1:20" ht="18.75" customHeight="1" x14ac:dyDescent="0.2">
      <c r="A772" s="104">
        <v>38228</v>
      </c>
      <c r="B772" s="104">
        <v>38242</v>
      </c>
      <c r="C772" s="105">
        <v>33502</v>
      </c>
      <c r="D772" s="106" t="s">
        <v>1036</v>
      </c>
      <c r="E772" s="95" t="s">
        <v>19</v>
      </c>
      <c r="F772" s="95" t="s">
        <v>1038</v>
      </c>
      <c r="G772" s="95" t="s">
        <v>477</v>
      </c>
      <c r="H772" s="74" t="s">
        <v>349</v>
      </c>
      <c r="I772" s="127">
        <v>51.84</v>
      </c>
      <c r="J772" s="108"/>
      <c r="K772" s="108">
        <v>55.5</v>
      </c>
      <c r="L772" s="108"/>
      <c r="M772" s="104">
        <v>38238</v>
      </c>
      <c r="N772" s="109">
        <v>41159</v>
      </c>
      <c r="O772" s="72" t="s">
        <v>21</v>
      </c>
      <c r="P772" s="72" t="s">
        <v>1037</v>
      </c>
      <c r="Q772" s="72" t="s">
        <v>477</v>
      </c>
      <c r="R772" s="72" t="s">
        <v>349</v>
      </c>
      <c r="S772" s="106"/>
      <c r="T772" s="119"/>
    </row>
    <row r="773" spans="1:20" ht="18.75" customHeight="1" x14ac:dyDescent="0.2">
      <c r="A773" s="113"/>
      <c r="B773" s="113"/>
      <c r="C773" s="114"/>
      <c r="D773" s="111"/>
      <c r="E773" s="128" t="s">
        <v>21</v>
      </c>
      <c r="F773" s="128" t="s">
        <v>1149</v>
      </c>
      <c r="G773" s="128" t="s">
        <v>476</v>
      </c>
      <c r="H773" s="82" t="s">
        <v>349</v>
      </c>
      <c r="I773" s="129">
        <v>48.16</v>
      </c>
      <c r="J773" s="116"/>
      <c r="K773" s="117"/>
      <c r="L773" s="111"/>
      <c r="M773" s="111"/>
      <c r="N773" s="111"/>
      <c r="O773" s="111"/>
      <c r="P773" s="111"/>
      <c r="Q773" s="111"/>
      <c r="R773" s="72"/>
      <c r="S773" s="111"/>
      <c r="T773" s="112"/>
    </row>
    <row r="774" spans="1:20" ht="18.75" customHeight="1" x14ac:dyDescent="0.2">
      <c r="A774" s="113"/>
      <c r="B774" s="113"/>
      <c r="C774" s="114"/>
      <c r="D774" s="111"/>
      <c r="E774" s="128"/>
      <c r="F774" s="128"/>
      <c r="G774" s="128" t="s">
        <v>353</v>
      </c>
      <c r="H774" s="82"/>
      <c r="I774" s="130"/>
      <c r="J774" s="116"/>
      <c r="K774" s="117"/>
      <c r="L774" s="111"/>
      <c r="M774" s="111"/>
      <c r="N774" s="111"/>
      <c r="O774" s="111"/>
      <c r="P774" s="111"/>
      <c r="Q774" s="111"/>
      <c r="R774" s="72"/>
      <c r="S774" s="111"/>
      <c r="T774" s="112"/>
    </row>
    <row r="775" spans="1:20" ht="18.75" customHeight="1" x14ac:dyDescent="0.2">
      <c r="A775" s="104">
        <v>38298</v>
      </c>
      <c r="B775" s="104">
        <v>38312</v>
      </c>
      <c r="C775" s="105">
        <v>33101</v>
      </c>
      <c r="D775" s="106" t="s">
        <v>384</v>
      </c>
      <c r="E775" s="95" t="s">
        <v>313</v>
      </c>
      <c r="F775" s="95" t="s">
        <v>1150</v>
      </c>
      <c r="G775" s="95" t="s">
        <v>1151</v>
      </c>
      <c r="H775" s="74" t="s">
        <v>349</v>
      </c>
      <c r="I775" s="127">
        <v>62.39</v>
      </c>
      <c r="J775" s="108"/>
      <c r="K775" s="108">
        <v>47.7</v>
      </c>
      <c r="L775" s="108"/>
      <c r="M775" s="104">
        <v>38291</v>
      </c>
      <c r="N775" s="109">
        <v>41212</v>
      </c>
      <c r="O775" s="72" t="s">
        <v>21</v>
      </c>
      <c r="P775" s="72" t="s">
        <v>385</v>
      </c>
      <c r="Q775" s="72" t="s">
        <v>386</v>
      </c>
      <c r="R775" s="72" t="s">
        <v>349</v>
      </c>
      <c r="S775" s="111"/>
      <c r="T775" s="112"/>
    </row>
    <row r="776" spans="1:20" ht="18.75" customHeight="1" x14ac:dyDescent="0.2">
      <c r="A776" s="113"/>
      <c r="B776" s="113"/>
      <c r="C776" s="114"/>
      <c r="D776" s="111"/>
      <c r="E776" s="128" t="s">
        <v>21</v>
      </c>
      <c r="F776" s="128" t="s">
        <v>1152</v>
      </c>
      <c r="G776" s="128" t="s">
        <v>379</v>
      </c>
      <c r="H776" s="82" t="s">
        <v>349</v>
      </c>
      <c r="I776" s="129">
        <v>32.79</v>
      </c>
      <c r="J776" s="116"/>
      <c r="K776" s="117"/>
      <c r="L776" s="111"/>
      <c r="M776" s="111"/>
      <c r="N776" s="111"/>
      <c r="O776" s="111"/>
      <c r="P776" s="111"/>
      <c r="Q776" s="111"/>
      <c r="R776" s="72"/>
      <c r="S776" s="106"/>
      <c r="T776" s="119"/>
    </row>
    <row r="777" spans="1:20" ht="18.75" customHeight="1" x14ac:dyDescent="0.2">
      <c r="A777" s="113"/>
      <c r="B777" s="113"/>
      <c r="C777" s="114"/>
      <c r="D777" s="111"/>
      <c r="E777" s="128" t="s">
        <v>1153</v>
      </c>
      <c r="F777" s="128" t="s">
        <v>1153</v>
      </c>
      <c r="G777" s="128" t="s">
        <v>655</v>
      </c>
      <c r="H777" s="82" t="s">
        <v>349</v>
      </c>
      <c r="I777" s="129">
        <v>4.82</v>
      </c>
      <c r="J777" s="116"/>
      <c r="K777" s="117"/>
      <c r="L777" s="111"/>
      <c r="M777" s="111"/>
      <c r="N777" s="111"/>
      <c r="O777" s="111"/>
      <c r="P777" s="111"/>
      <c r="Q777" s="111"/>
      <c r="R777" s="72"/>
      <c r="S777" s="111"/>
      <c r="T777" s="72"/>
    </row>
    <row r="778" spans="1:20" ht="18.75" customHeight="1" x14ac:dyDescent="0.2">
      <c r="A778" s="113"/>
      <c r="B778" s="113"/>
      <c r="C778" s="114"/>
      <c r="D778" s="111"/>
      <c r="E778" s="128"/>
      <c r="F778" s="128"/>
      <c r="G778" s="128" t="s">
        <v>353</v>
      </c>
      <c r="H778" s="82"/>
      <c r="I778" s="129"/>
      <c r="J778" s="116"/>
      <c r="K778" s="117"/>
      <c r="L778" s="111"/>
      <c r="M778" s="111"/>
      <c r="N778" s="111"/>
      <c r="O778" s="111"/>
      <c r="P778" s="111"/>
      <c r="Q778" s="111"/>
      <c r="R778" s="72"/>
      <c r="S778" s="111"/>
      <c r="T778" s="112"/>
    </row>
    <row r="779" spans="1:20" ht="18.75" customHeight="1" x14ac:dyDescent="0.2">
      <c r="A779" s="104">
        <v>38298</v>
      </c>
      <c r="B779" s="104">
        <v>38312</v>
      </c>
      <c r="C779" s="105">
        <v>33402</v>
      </c>
      <c r="D779" s="106" t="s">
        <v>563</v>
      </c>
      <c r="E779" s="95" t="s">
        <v>21</v>
      </c>
      <c r="F779" s="95" t="s">
        <v>1154</v>
      </c>
      <c r="G779" s="95" t="s">
        <v>433</v>
      </c>
      <c r="H779" s="74" t="s">
        <v>349</v>
      </c>
      <c r="I779" s="127">
        <v>56.43</v>
      </c>
      <c r="J779" s="108"/>
      <c r="K779" s="108">
        <v>57.6</v>
      </c>
      <c r="L779" s="108"/>
      <c r="M779" s="104">
        <v>38443</v>
      </c>
      <c r="N779" s="109">
        <v>41364</v>
      </c>
      <c r="O779" s="73" t="s">
        <v>19</v>
      </c>
      <c r="P779" s="73" t="s">
        <v>564</v>
      </c>
      <c r="Q779" s="73" t="s">
        <v>565</v>
      </c>
      <c r="R779" s="72" t="s">
        <v>349</v>
      </c>
      <c r="S779" s="106"/>
      <c r="T779" s="119"/>
    </row>
    <row r="780" spans="1:20" ht="18.75" customHeight="1" x14ac:dyDescent="0.2">
      <c r="A780" s="113"/>
      <c r="B780" s="113"/>
      <c r="C780" s="114"/>
      <c r="D780" s="111"/>
      <c r="E780" s="128" t="s">
        <v>19</v>
      </c>
      <c r="F780" s="128" t="s">
        <v>1155</v>
      </c>
      <c r="G780" s="128" t="s">
        <v>1022</v>
      </c>
      <c r="H780" s="82" t="s">
        <v>349</v>
      </c>
      <c r="I780" s="129">
        <v>43.57</v>
      </c>
      <c r="J780" s="116"/>
      <c r="K780" s="117"/>
      <c r="L780" s="111"/>
      <c r="M780" s="111"/>
      <c r="N780" s="111"/>
      <c r="O780" s="111"/>
      <c r="P780" s="111"/>
      <c r="Q780" s="111"/>
      <c r="R780" s="72"/>
      <c r="S780" s="111"/>
      <c r="T780" s="112"/>
    </row>
    <row r="781" spans="1:20" ht="18.75" customHeight="1" x14ac:dyDescent="0.2">
      <c r="A781" s="113"/>
      <c r="B781" s="113"/>
      <c r="C781" s="114"/>
      <c r="D781" s="111"/>
      <c r="E781" s="128"/>
      <c r="F781" s="128"/>
      <c r="G781" s="128" t="s">
        <v>353</v>
      </c>
      <c r="H781" s="82"/>
      <c r="I781" s="130"/>
      <c r="J781" s="116"/>
      <c r="K781" s="117"/>
      <c r="L781" s="111"/>
      <c r="M781" s="111"/>
      <c r="N781" s="111"/>
      <c r="O781" s="111"/>
      <c r="P781" s="111"/>
      <c r="Q781" s="111"/>
      <c r="R781" s="72"/>
      <c r="S781" s="106"/>
      <c r="T781" s="119"/>
    </row>
    <row r="782" spans="1:20" ht="18.75" customHeight="1" x14ac:dyDescent="0.2">
      <c r="A782" s="104">
        <v>38396</v>
      </c>
      <c r="B782" s="104">
        <v>38410</v>
      </c>
      <c r="C782" s="105">
        <v>14310</v>
      </c>
      <c r="D782" s="106" t="s">
        <v>618</v>
      </c>
      <c r="E782" s="138" t="s">
        <v>19</v>
      </c>
      <c r="F782" s="138" t="s">
        <v>619</v>
      </c>
      <c r="G782" s="138" t="s">
        <v>383</v>
      </c>
      <c r="H782" s="74" t="s">
        <v>349</v>
      </c>
      <c r="I782" s="139">
        <v>83.99</v>
      </c>
      <c r="J782" s="108"/>
      <c r="K782" s="108">
        <v>26.25</v>
      </c>
      <c r="L782" s="108"/>
      <c r="M782" s="104">
        <v>38597</v>
      </c>
      <c r="N782" s="109">
        <v>41518</v>
      </c>
      <c r="O782" s="73" t="s">
        <v>19</v>
      </c>
      <c r="P782" s="73" t="s">
        <v>619</v>
      </c>
      <c r="Q782" s="73" t="s">
        <v>383</v>
      </c>
      <c r="R782" s="72" t="s">
        <v>349</v>
      </c>
      <c r="S782" s="111"/>
      <c r="T782" s="112"/>
    </row>
    <row r="783" spans="1:20" ht="18.75" customHeight="1" x14ac:dyDescent="0.2">
      <c r="A783" s="113"/>
      <c r="B783" s="113"/>
      <c r="C783" s="114"/>
      <c r="D783" s="111"/>
      <c r="E783" s="124"/>
      <c r="F783" s="111"/>
      <c r="G783" s="111" t="s">
        <v>353</v>
      </c>
      <c r="H783" s="82"/>
      <c r="I783" s="125"/>
      <c r="J783" s="116"/>
      <c r="K783" s="117"/>
      <c r="L783" s="111"/>
      <c r="M783" s="111"/>
      <c r="N783" s="111"/>
      <c r="O783" s="111"/>
      <c r="P783" s="111"/>
      <c r="Q783" s="111"/>
      <c r="R783" s="72"/>
      <c r="S783" s="111"/>
      <c r="T783" s="112"/>
    </row>
    <row r="784" spans="1:20" ht="18.75" customHeight="1" x14ac:dyDescent="0.2">
      <c r="A784" s="104">
        <v>38410</v>
      </c>
      <c r="B784" s="104">
        <v>38424</v>
      </c>
      <c r="C784" s="105">
        <v>33804</v>
      </c>
      <c r="D784" s="106" t="s">
        <v>566</v>
      </c>
      <c r="E784" s="138" t="s">
        <v>21</v>
      </c>
      <c r="F784" s="138" t="s">
        <v>567</v>
      </c>
      <c r="G784" s="138" t="s">
        <v>568</v>
      </c>
      <c r="H784" s="74" t="s">
        <v>349</v>
      </c>
      <c r="I784" s="139">
        <v>55.17</v>
      </c>
      <c r="J784" s="108"/>
      <c r="K784" s="108">
        <v>48.6</v>
      </c>
      <c r="L784" s="108"/>
      <c r="M784" s="104">
        <v>38528</v>
      </c>
      <c r="N784" s="109">
        <v>40025</v>
      </c>
      <c r="O784" s="138" t="s">
        <v>21</v>
      </c>
      <c r="P784" s="138" t="s">
        <v>567</v>
      </c>
      <c r="Q784" s="138" t="s">
        <v>568</v>
      </c>
      <c r="R784" s="72" t="s">
        <v>349</v>
      </c>
      <c r="S784" s="106"/>
      <c r="T784" s="119"/>
    </row>
    <row r="785" spans="1:20" ht="18.75" customHeight="1" x14ac:dyDescent="0.2">
      <c r="A785" s="113"/>
      <c r="B785" s="113"/>
      <c r="C785" s="114"/>
      <c r="D785" s="111"/>
      <c r="E785" s="140" t="s">
        <v>19</v>
      </c>
      <c r="F785" s="140" t="s">
        <v>569</v>
      </c>
      <c r="G785" s="140" t="s">
        <v>570</v>
      </c>
      <c r="H785" s="82" t="s">
        <v>349</v>
      </c>
      <c r="I785" s="141">
        <v>44.83</v>
      </c>
      <c r="J785" s="116"/>
      <c r="K785" s="117"/>
      <c r="L785" s="111"/>
      <c r="M785" s="111"/>
      <c r="N785" s="111"/>
      <c r="O785" s="111"/>
      <c r="P785" s="111"/>
      <c r="Q785" s="111"/>
      <c r="R785" s="72"/>
      <c r="S785" s="111"/>
      <c r="T785" s="112"/>
    </row>
    <row r="786" spans="1:20" ht="18.75" customHeight="1" x14ac:dyDescent="0.2">
      <c r="A786" s="113"/>
      <c r="B786" s="113"/>
      <c r="C786" s="114"/>
      <c r="D786" s="111"/>
      <c r="E786" s="124"/>
      <c r="F786" s="111"/>
      <c r="G786" s="111" t="s">
        <v>353</v>
      </c>
      <c r="H786" s="82"/>
      <c r="I786" s="125"/>
      <c r="J786" s="116"/>
      <c r="K786" s="117"/>
      <c r="L786" s="111"/>
      <c r="M786" s="111"/>
      <c r="N786" s="111"/>
      <c r="O786" s="111"/>
      <c r="P786" s="111"/>
      <c r="Q786" s="111"/>
      <c r="R786" s="72"/>
      <c r="S786" s="106"/>
      <c r="T786" s="119"/>
    </row>
    <row r="787" spans="1:20" ht="18.75" customHeight="1" x14ac:dyDescent="0.2">
      <c r="A787" s="104">
        <v>38417</v>
      </c>
      <c r="B787" s="104">
        <v>38431</v>
      </c>
      <c r="C787" s="105">
        <v>13708</v>
      </c>
      <c r="D787" s="106" t="s">
        <v>608</v>
      </c>
      <c r="E787" s="138" t="s">
        <v>19</v>
      </c>
      <c r="F787" s="138" t="s">
        <v>609</v>
      </c>
      <c r="G787" s="138" t="s">
        <v>550</v>
      </c>
      <c r="H787" s="74" t="s">
        <v>349</v>
      </c>
      <c r="I787" s="139">
        <v>87.93</v>
      </c>
      <c r="J787" s="108"/>
      <c r="K787" s="108">
        <v>20.65</v>
      </c>
      <c r="L787" s="108"/>
      <c r="M787" s="104">
        <v>38630</v>
      </c>
      <c r="N787" s="109">
        <v>40359</v>
      </c>
      <c r="O787" s="73" t="s">
        <v>19</v>
      </c>
      <c r="P787" s="73" t="s">
        <v>609</v>
      </c>
      <c r="Q787" s="73" t="s">
        <v>550</v>
      </c>
      <c r="R787" s="72" t="s">
        <v>349</v>
      </c>
      <c r="S787" s="111"/>
      <c r="T787" s="112"/>
    </row>
    <row r="788" spans="1:20" ht="18.75" customHeight="1" x14ac:dyDescent="0.2">
      <c r="A788" s="113"/>
      <c r="B788" s="113"/>
      <c r="C788" s="114"/>
      <c r="D788" s="111"/>
      <c r="E788" s="124"/>
      <c r="F788" s="111"/>
      <c r="G788" s="111" t="s">
        <v>353</v>
      </c>
      <c r="H788" s="82"/>
      <c r="I788" s="125"/>
      <c r="J788" s="116"/>
      <c r="K788" s="117"/>
      <c r="L788" s="111"/>
      <c r="M788" s="111"/>
      <c r="N788" s="111"/>
      <c r="O788" s="111"/>
      <c r="P788" s="111"/>
      <c r="Q788" s="111"/>
      <c r="R788" s="72"/>
      <c r="S788" s="106"/>
      <c r="T788" s="119"/>
    </row>
    <row r="789" spans="1:20" ht="18.75" customHeight="1" x14ac:dyDescent="0.2">
      <c r="A789" s="104">
        <v>38417</v>
      </c>
      <c r="B789" s="104">
        <v>38431</v>
      </c>
      <c r="C789" s="105">
        <v>14105</v>
      </c>
      <c r="D789" s="106" t="s">
        <v>589</v>
      </c>
      <c r="E789" s="138" t="s">
        <v>55</v>
      </c>
      <c r="F789" s="138" t="s">
        <v>590</v>
      </c>
      <c r="G789" s="138" t="s">
        <v>591</v>
      </c>
      <c r="H789" s="74" t="s">
        <v>349</v>
      </c>
      <c r="I789" s="139">
        <v>95.7</v>
      </c>
      <c r="J789" s="108"/>
      <c r="K789" s="108">
        <v>43.13</v>
      </c>
      <c r="L789" s="108"/>
      <c r="M789" s="104">
        <v>38534</v>
      </c>
      <c r="N789" s="109">
        <v>41455</v>
      </c>
      <c r="O789" s="73" t="s">
        <v>55</v>
      </c>
      <c r="P789" s="73" t="s">
        <v>590</v>
      </c>
      <c r="Q789" s="73" t="s">
        <v>591</v>
      </c>
      <c r="R789" s="72" t="s">
        <v>349</v>
      </c>
      <c r="S789" s="111"/>
      <c r="T789" s="112"/>
    </row>
    <row r="790" spans="1:20" ht="18.75" customHeight="1" x14ac:dyDescent="0.2">
      <c r="A790" s="113"/>
      <c r="B790" s="113"/>
      <c r="C790" s="114"/>
      <c r="D790" s="111"/>
      <c r="E790" s="124"/>
      <c r="F790" s="111"/>
      <c r="G790" s="111" t="s">
        <v>353</v>
      </c>
      <c r="H790" s="82"/>
      <c r="I790" s="125"/>
      <c r="J790" s="116"/>
      <c r="K790" s="117"/>
      <c r="L790" s="111"/>
      <c r="M790" s="111"/>
      <c r="N790" s="111"/>
      <c r="O790" s="111"/>
      <c r="P790" s="111"/>
      <c r="Q790" s="111"/>
      <c r="R790" s="72"/>
      <c r="S790" s="111"/>
      <c r="T790" s="112"/>
    </row>
    <row r="791" spans="1:20" ht="18.75" customHeight="1" x14ac:dyDescent="0.2">
      <c r="A791" s="104">
        <v>38431</v>
      </c>
      <c r="B791" s="104">
        <v>38452</v>
      </c>
      <c r="C791" s="105">
        <v>13308</v>
      </c>
      <c r="D791" s="106" t="s">
        <v>670</v>
      </c>
      <c r="E791" s="138" t="s">
        <v>21</v>
      </c>
      <c r="F791" s="138" t="s">
        <v>672</v>
      </c>
      <c r="G791" s="138" t="s">
        <v>673</v>
      </c>
      <c r="H791" s="74" t="s">
        <v>419</v>
      </c>
      <c r="I791" s="139">
        <v>50.25</v>
      </c>
      <c r="J791" s="108"/>
      <c r="K791" s="108">
        <v>55.66</v>
      </c>
      <c r="L791" s="110"/>
      <c r="M791" s="104">
        <v>38448</v>
      </c>
      <c r="N791" s="109">
        <v>41369</v>
      </c>
      <c r="O791" s="92" t="s">
        <v>19</v>
      </c>
      <c r="P791" s="92" t="s">
        <v>671</v>
      </c>
      <c r="Q791" s="92" t="s">
        <v>464</v>
      </c>
      <c r="R791" s="72" t="s">
        <v>349</v>
      </c>
      <c r="S791" s="106"/>
      <c r="T791" s="119"/>
    </row>
    <row r="792" spans="1:20" ht="18.75" customHeight="1" x14ac:dyDescent="0.2">
      <c r="A792" s="113"/>
      <c r="B792" s="113"/>
      <c r="C792" s="114"/>
      <c r="D792" s="111"/>
      <c r="E792" s="140" t="s">
        <v>19</v>
      </c>
      <c r="F792" s="140" t="s">
        <v>1156</v>
      </c>
      <c r="G792" s="140" t="s">
        <v>547</v>
      </c>
      <c r="H792" s="82" t="s">
        <v>349</v>
      </c>
      <c r="I792" s="141">
        <v>49.75</v>
      </c>
      <c r="J792" s="116"/>
      <c r="K792" s="117"/>
      <c r="L792" s="111"/>
      <c r="M792" s="111"/>
      <c r="N792" s="111"/>
      <c r="O792" s="111"/>
      <c r="P792" s="111"/>
      <c r="Q792" s="111"/>
      <c r="R792" s="72"/>
      <c r="S792" s="111"/>
      <c r="T792" s="112"/>
    </row>
    <row r="793" spans="1:20" ht="18.75" customHeight="1" x14ac:dyDescent="0.2">
      <c r="A793" s="113"/>
      <c r="B793" s="113"/>
      <c r="C793" s="114"/>
      <c r="D793" s="111"/>
      <c r="E793" s="124"/>
      <c r="F793" s="111"/>
      <c r="G793" s="111" t="s">
        <v>353</v>
      </c>
      <c r="H793" s="82"/>
      <c r="I793" s="125"/>
      <c r="J793" s="116"/>
      <c r="K793" s="117"/>
      <c r="L793" s="111"/>
      <c r="M793" s="111"/>
      <c r="N793" s="111"/>
      <c r="O793" s="111"/>
      <c r="P793" s="111"/>
      <c r="Q793" s="111"/>
      <c r="R793" s="72"/>
      <c r="S793" s="111"/>
      <c r="T793" s="112"/>
    </row>
    <row r="794" spans="1:20" ht="18.75" customHeight="1" x14ac:dyDescent="0.2">
      <c r="A794" s="104">
        <v>38452</v>
      </c>
      <c r="B794" s="104">
        <v>38466</v>
      </c>
      <c r="C794" s="105">
        <v>34005</v>
      </c>
      <c r="D794" s="106" t="s">
        <v>602</v>
      </c>
      <c r="E794" s="138" t="s">
        <v>19</v>
      </c>
      <c r="F794" s="138" t="s">
        <v>1157</v>
      </c>
      <c r="G794" s="138" t="s">
        <v>476</v>
      </c>
      <c r="H794" s="74" t="s">
        <v>349</v>
      </c>
      <c r="I794" s="139">
        <v>50.94</v>
      </c>
      <c r="J794" s="108"/>
      <c r="K794" s="108">
        <v>61.8</v>
      </c>
      <c r="L794" s="108"/>
      <c r="M794" s="104">
        <v>38626</v>
      </c>
      <c r="N794" s="133">
        <v>41820</v>
      </c>
      <c r="O794" s="73" t="s">
        <v>21</v>
      </c>
      <c r="P794" s="73" t="s">
        <v>603</v>
      </c>
      <c r="Q794" s="73" t="s">
        <v>604</v>
      </c>
      <c r="R794" s="72" t="s">
        <v>349</v>
      </c>
      <c r="S794" s="134" t="s">
        <v>1158</v>
      </c>
      <c r="T794" s="119"/>
    </row>
    <row r="795" spans="1:20" ht="18.75" customHeight="1" x14ac:dyDescent="0.2">
      <c r="A795" s="113"/>
      <c r="B795" s="113"/>
      <c r="C795" s="114"/>
      <c r="D795" s="111"/>
      <c r="E795" s="140" t="s">
        <v>21</v>
      </c>
      <c r="F795" s="140" t="s">
        <v>603</v>
      </c>
      <c r="G795" s="140" t="s">
        <v>604</v>
      </c>
      <c r="H795" s="82" t="s">
        <v>349</v>
      </c>
      <c r="I795" s="141">
        <v>49.06</v>
      </c>
      <c r="J795" s="116"/>
      <c r="K795" s="117"/>
      <c r="L795" s="111"/>
      <c r="M795" s="111"/>
      <c r="N795" s="111"/>
      <c r="O795" s="111"/>
      <c r="P795" s="111"/>
      <c r="Q795" s="111"/>
      <c r="R795" s="72"/>
      <c r="S795" s="111"/>
      <c r="T795" s="112"/>
    </row>
    <row r="796" spans="1:20" ht="18.75" customHeight="1" x14ac:dyDescent="0.2">
      <c r="A796" s="113"/>
      <c r="B796" s="113"/>
      <c r="C796" s="114"/>
      <c r="D796" s="111"/>
      <c r="E796" s="124"/>
      <c r="F796" s="111"/>
      <c r="G796" s="111" t="s">
        <v>353</v>
      </c>
      <c r="H796" s="82"/>
      <c r="I796" s="125"/>
      <c r="J796" s="116"/>
      <c r="K796" s="117"/>
      <c r="L796" s="111"/>
      <c r="M796" s="111"/>
      <c r="N796" s="111"/>
      <c r="O796" s="111"/>
      <c r="P796" s="111"/>
      <c r="Q796" s="111"/>
      <c r="R796" s="72"/>
      <c r="S796" s="111"/>
      <c r="T796" s="112"/>
    </row>
    <row r="797" spans="1:20" ht="18.75" customHeight="1" x14ac:dyDescent="0.2">
      <c r="A797" s="104">
        <v>38459</v>
      </c>
      <c r="B797" s="104">
        <v>38473</v>
      </c>
      <c r="C797" s="105">
        <v>33304</v>
      </c>
      <c r="D797" s="106" t="s">
        <v>612</v>
      </c>
      <c r="E797" s="138" t="s">
        <v>1159</v>
      </c>
      <c r="F797" s="138" t="s">
        <v>614</v>
      </c>
      <c r="G797" s="138" t="s">
        <v>615</v>
      </c>
      <c r="H797" s="74" t="s">
        <v>349</v>
      </c>
      <c r="I797" s="139">
        <v>69.010000000000005</v>
      </c>
      <c r="J797" s="108"/>
      <c r="K797" s="108">
        <v>46.53</v>
      </c>
      <c r="L797" s="108"/>
      <c r="M797" s="104">
        <v>38626</v>
      </c>
      <c r="N797" s="109">
        <v>41547</v>
      </c>
      <c r="O797" s="73" t="s">
        <v>613</v>
      </c>
      <c r="P797" s="73" t="s">
        <v>614</v>
      </c>
      <c r="Q797" s="73" t="s">
        <v>615</v>
      </c>
      <c r="R797" s="72" t="s">
        <v>349</v>
      </c>
      <c r="S797" s="106"/>
      <c r="T797" s="119"/>
    </row>
    <row r="798" spans="1:20" ht="18.75" customHeight="1" x14ac:dyDescent="0.2">
      <c r="A798" s="113"/>
      <c r="B798" s="113"/>
      <c r="C798" s="114"/>
      <c r="D798" s="111"/>
      <c r="E798" s="140" t="s">
        <v>21</v>
      </c>
      <c r="F798" s="140" t="s">
        <v>1160</v>
      </c>
      <c r="G798" s="140" t="s">
        <v>383</v>
      </c>
      <c r="H798" s="82" t="s">
        <v>349</v>
      </c>
      <c r="I798" s="141">
        <v>30.99</v>
      </c>
      <c r="J798" s="116"/>
      <c r="K798" s="117"/>
      <c r="L798" s="111"/>
      <c r="M798" s="111"/>
      <c r="N798" s="111"/>
      <c r="O798" s="111"/>
      <c r="P798" s="111"/>
      <c r="Q798" s="111"/>
      <c r="R798" s="72"/>
      <c r="S798" s="111"/>
      <c r="T798" s="112"/>
    </row>
    <row r="799" spans="1:20" ht="18.75" customHeight="1" x14ac:dyDescent="0.2">
      <c r="A799" s="113"/>
      <c r="B799" s="113"/>
      <c r="C799" s="114"/>
      <c r="D799" s="111"/>
      <c r="E799" s="124"/>
      <c r="F799" s="111"/>
      <c r="G799" s="111" t="s">
        <v>353</v>
      </c>
      <c r="H799" s="82"/>
      <c r="I799" s="125"/>
      <c r="J799" s="116"/>
      <c r="K799" s="117"/>
      <c r="L799" s="111"/>
      <c r="M799" s="111"/>
      <c r="N799" s="111"/>
      <c r="O799" s="111"/>
      <c r="P799" s="111"/>
      <c r="Q799" s="111"/>
      <c r="R799" s="72"/>
      <c r="S799" s="111"/>
      <c r="T799" s="112"/>
    </row>
    <row r="800" spans="1:20" ht="18.75" customHeight="1" x14ac:dyDescent="0.2">
      <c r="A800" s="104">
        <v>38459</v>
      </c>
      <c r="B800" s="104">
        <v>38473</v>
      </c>
      <c r="C800" s="105">
        <v>33705</v>
      </c>
      <c r="D800" s="106" t="s">
        <v>630</v>
      </c>
      <c r="E800" s="138" t="s">
        <v>21</v>
      </c>
      <c r="F800" s="138" t="s">
        <v>631</v>
      </c>
      <c r="G800" s="138" t="s">
        <v>358</v>
      </c>
      <c r="H800" s="74" t="s">
        <v>349</v>
      </c>
      <c r="I800" s="139">
        <v>64.239999999999995</v>
      </c>
      <c r="J800" s="108"/>
      <c r="K800" s="108">
        <v>54.76</v>
      </c>
      <c r="L800" s="108"/>
      <c r="M800" s="104">
        <v>38718</v>
      </c>
      <c r="N800" s="109">
        <v>40816</v>
      </c>
      <c r="O800" s="73" t="s">
        <v>21</v>
      </c>
      <c r="P800" s="73" t="s">
        <v>631</v>
      </c>
      <c r="Q800" s="73" t="s">
        <v>358</v>
      </c>
      <c r="R800" s="72" t="s">
        <v>349</v>
      </c>
      <c r="S800" s="106"/>
      <c r="T800" s="119"/>
    </row>
    <row r="801" spans="1:20" ht="18.75" customHeight="1" x14ac:dyDescent="0.2">
      <c r="A801" s="113"/>
      <c r="B801" s="113"/>
      <c r="C801" s="114"/>
      <c r="D801" s="111"/>
      <c r="E801" s="140" t="s">
        <v>19</v>
      </c>
      <c r="F801" s="140" t="s">
        <v>1161</v>
      </c>
      <c r="G801" s="140" t="s">
        <v>738</v>
      </c>
      <c r="H801" s="82" t="s">
        <v>349</v>
      </c>
      <c r="I801" s="141">
        <v>35.76</v>
      </c>
      <c r="J801" s="116"/>
      <c r="K801" s="117"/>
      <c r="L801" s="111"/>
      <c r="M801" s="111"/>
      <c r="N801" s="111"/>
      <c r="O801" s="111"/>
      <c r="P801" s="111"/>
      <c r="Q801" s="111"/>
      <c r="R801" s="72"/>
      <c r="S801" s="111"/>
      <c r="T801" s="112"/>
    </row>
    <row r="802" spans="1:20" ht="18.75" customHeight="1" x14ac:dyDescent="0.2">
      <c r="A802" s="113"/>
      <c r="B802" s="113"/>
      <c r="C802" s="114"/>
      <c r="D802" s="111"/>
      <c r="E802" s="124"/>
      <c r="F802" s="111"/>
      <c r="G802" s="111" t="s">
        <v>353</v>
      </c>
      <c r="H802" s="82"/>
      <c r="I802" s="125"/>
      <c r="J802" s="116"/>
      <c r="K802" s="117"/>
      <c r="L802" s="111"/>
      <c r="M802" s="111"/>
      <c r="N802" s="111"/>
      <c r="O802" s="111"/>
      <c r="P802" s="111"/>
      <c r="Q802" s="111"/>
      <c r="R802" s="72"/>
      <c r="S802" s="111"/>
      <c r="T802" s="112"/>
    </row>
    <row r="803" spans="1:20" ht="18.75" customHeight="1" x14ac:dyDescent="0.2">
      <c r="A803" s="104">
        <v>38508</v>
      </c>
      <c r="B803" s="104">
        <v>38522</v>
      </c>
      <c r="C803" s="105">
        <v>13304</v>
      </c>
      <c r="D803" s="106" t="s">
        <v>645</v>
      </c>
      <c r="E803" s="138" t="s">
        <v>646</v>
      </c>
      <c r="F803" s="138" t="s">
        <v>646</v>
      </c>
      <c r="G803" s="138" t="s">
        <v>348</v>
      </c>
      <c r="H803" s="74" t="s">
        <v>349</v>
      </c>
      <c r="I803" s="139">
        <v>71.84</v>
      </c>
      <c r="J803" s="108"/>
      <c r="K803" s="108">
        <v>52.64</v>
      </c>
      <c r="L803" s="108"/>
      <c r="M803" s="104">
        <v>38675</v>
      </c>
      <c r="N803" s="109">
        <v>41596</v>
      </c>
      <c r="O803" s="73" t="s">
        <v>646</v>
      </c>
      <c r="P803" s="73" t="s">
        <v>646</v>
      </c>
      <c r="Q803" s="73" t="s">
        <v>348</v>
      </c>
      <c r="R803" s="72" t="s">
        <v>349</v>
      </c>
      <c r="S803" s="111"/>
      <c r="T803" s="72"/>
    </row>
    <row r="804" spans="1:20" ht="18.75" customHeight="1" x14ac:dyDescent="0.2">
      <c r="A804" s="113"/>
      <c r="B804" s="113"/>
      <c r="C804" s="114"/>
      <c r="D804" s="111"/>
      <c r="E804" s="140" t="s">
        <v>19</v>
      </c>
      <c r="F804" s="140" t="s">
        <v>1162</v>
      </c>
      <c r="G804" s="140" t="s">
        <v>361</v>
      </c>
      <c r="H804" s="82" t="s">
        <v>349</v>
      </c>
      <c r="I804" s="141">
        <v>28.16</v>
      </c>
      <c r="J804" s="116"/>
      <c r="K804" s="117"/>
      <c r="L804" s="111"/>
      <c r="M804" s="111"/>
      <c r="N804" s="111"/>
      <c r="O804" s="111"/>
      <c r="P804" s="111"/>
      <c r="Q804" s="111"/>
      <c r="R804" s="72"/>
      <c r="S804" s="111"/>
      <c r="T804" s="112"/>
    </row>
    <row r="805" spans="1:20" ht="18.75" customHeight="1" x14ac:dyDescent="0.2">
      <c r="A805" s="113"/>
      <c r="B805" s="113"/>
      <c r="C805" s="114"/>
      <c r="D805" s="111"/>
      <c r="E805" s="124"/>
      <c r="F805" s="111"/>
      <c r="G805" s="111" t="s">
        <v>353</v>
      </c>
      <c r="H805" s="82"/>
      <c r="I805" s="125"/>
      <c r="J805" s="116"/>
      <c r="K805" s="117"/>
      <c r="L805" s="111"/>
      <c r="M805" s="111"/>
      <c r="N805" s="111"/>
      <c r="O805" s="111"/>
      <c r="P805" s="111"/>
      <c r="Q805" s="111"/>
      <c r="R805" s="72"/>
      <c r="S805" s="111"/>
      <c r="T805" s="112"/>
    </row>
    <row r="806" spans="1:20" ht="18.75" customHeight="1" x14ac:dyDescent="0.2">
      <c r="A806" s="104">
        <v>38508</v>
      </c>
      <c r="B806" s="104">
        <v>38522</v>
      </c>
      <c r="C806" s="105">
        <v>14309</v>
      </c>
      <c r="D806" s="106" t="s">
        <v>808</v>
      </c>
      <c r="E806" s="138" t="s">
        <v>19</v>
      </c>
      <c r="F806" s="138" t="s">
        <v>1163</v>
      </c>
      <c r="G806" s="138" t="s">
        <v>423</v>
      </c>
      <c r="H806" s="74" t="s">
        <v>349</v>
      </c>
      <c r="I806" s="139">
        <v>66.28</v>
      </c>
      <c r="J806" s="108"/>
      <c r="K806" s="108">
        <v>41.38</v>
      </c>
      <c r="L806" s="108"/>
      <c r="M806" s="104">
        <v>38534</v>
      </c>
      <c r="N806" s="109">
        <v>41455</v>
      </c>
      <c r="O806" s="92" t="s">
        <v>19</v>
      </c>
      <c r="P806" s="92" t="s">
        <v>809</v>
      </c>
      <c r="Q806" s="92" t="s">
        <v>512</v>
      </c>
      <c r="R806" s="72" t="s">
        <v>349</v>
      </c>
      <c r="S806" s="106"/>
      <c r="T806" s="119"/>
    </row>
    <row r="807" spans="1:20" ht="18.75" customHeight="1" x14ac:dyDescent="0.2">
      <c r="A807" s="113"/>
      <c r="B807" s="113"/>
      <c r="C807" s="114"/>
      <c r="D807" s="111"/>
      <c r="E807" s="140" t="s">
        <v>21</v>
      </c>
      <c r="F807" s="140" t="s">
        <v>371</v>
      </c>
      <c r="G807" s="140" t="s">
        <v>591</v>
      </c>
      <c r="H807" s="82" t="s">
        <v>349</v>
      </c>
      <c r="I807" s="141">
        <v>33.72</v>
      </c>
      <c r="J807" s="116"/>
      <c r="K807" s="117"/>
      <c r="L807" s="111"/>
      <c r="M807" s="111"/>
      <c r="N807" s="111"/>
      <c r="O807" s="111"/>
      <c r="P807" s="111"/>
      <c r="Q807" s="111"/>
      <c r="R807" s="72"/>
      <c r="S807" s="111"/>
      <c r="T807" s="112"/>
    </row>
    <row r="808" spans="1:20" ht="18.75" customHeight="1" x14ac:dyDescent="0.2">
      <c r="A808" s="113"/>
      <c r="B808" s="113"/>
      <c r="C808" s="114"/>
      <c r="D808" s="111"/>
      <c r="E808" s="124"/>
      <c r="F808" s="111"/>
      <c r="G808" s="111" t="s">
        <v>353</v>
      </c>
      <c r="H808" s="82"/>
      <c r="I808" s="125"/>
      <c r="J808" s="116"/>
      <c r="K808" s="117"/>
      <c r="L808" s="111"/>
      <c r="M808" s="111"/>
      <c r="N808" s="111"/>
      <c r="O808" s="111"/>
      <c r="P808" s="111"/>
      <c r="Q808" s="111"/>
      <c r="R808" s="72"/>
      <c r="S808" s="111"/>
      <c r="T808" s="112"/>
    </row>
    <row r="809" spans="1:20" ht="18.75" customHeight="1" x14ac:dyDescent="0.2">
      <c r="A809" s="104">
        <v>38508</v>
      </c>
      <c r="B809" s="104">
        <v>38522</v>
      </c>
      <c r="C809" s="105">
        <v>33509</v>
      </c>
      <c r="D809" s="106" t="s">
        <v>636</v>
      </c>
      <c r="E809" s="138" t="s">
        <v>19</v>
      </c>
      <c r="F809" s="138" t="s">
        <v>914</v>
      </c>
      <c r="G809" s="138" t="s">
        <v>1164</v>
      </c>
      <c r="H809" s="74" t="s">
        <v>419</v>
      </c>
      <c r="I809" s="139">
        <v>53.73</v>
      </c>
      <c r="J809" s="108"/>
      <c r="K809" s="108">
        <v>56.4</v>
      </c>
      <c r="L809" s="108"/>
      <c r="M809" s="104">
        <v>38703</v>
      </c>
      <c r="N809" s="109">
        <v>41624</v>
      </c>
      <c r="O809" s="73" t="s">
        <v>21</v>
      </c>
      <c r="P809" s="73" t="s">
        <v>580</v>
      </c>
      <c r="Q809" s="73" t="s">
        <v>637</v>
      </c>
      <c r="R809" s="72" t="s">
        <v>349</v>
      </c>
      <c r="S809" s="106"/>
      <c r="T809" s="119"/>
    </row>
    <row r="810" spans="1:20" ht="18.75" customHeight="1" x14ac:dyDescent="0.2">
      <c r="A810" s="113"/>
      <c r="B810" s="113"/>
      <c r="C810" s="114"/>
      <c r="D810" s="111"/>
      <c r="E810" s="140" t="s">
        <v>21</v>
      </c>
      <c r="F810" s="140" t="s">
        <v>1043</v>
      </c>
      <c r="G810" s="140" t="s">
        <v>368</v>
      </c>
      <c r="H810" s="82" t="s">
        <v>349</v>
      </c>
      <c r="I810" s="141">
        <v>46.27</v>
      </c>
      <c r="J810" s="116"/>
      <c r="K810" s="117"/>
      <c r="L810" s="111"/>
      <c r="M810" s="111"/>
      <c r="N810" s="111"/>
      <c r="O810" s="111"/>
      <c r="P810" s="111"/>
      <c r="Q810" s="111"/>
      <c r="R810" s="72"/>
      <c r="S810" s="111"/>
      <c r="T810" s="112"/>
    </row>
    <row r="811" spans="1:20" ht="18.75" customHeight="1" x14ac:dyDescent="0.2">
      <c r="A811" s="113"/>
      <c r="B811" s="113"/>
      <c r="C811" s="114"/>
      <c r="D811" s="111"/>
      <c r="E811" s="124"/>
      <c r="F811" s="111"/>
      <c r="G811" s="111" t="s">
        <v>353</v>
      </c>
      <c r="H811" s="82"/>
      <c r="I811" s="125"/>
      <c r="J811" s="116"/>
      <c r="K811" s="117"/>
      <c r="L811" s="111"/>
      <c r="M811" s="111"/>
      <c r="N811" s="111"/>
      <c r="O811" s="111"/>
      <c r="P811" s="111"/>
      <c r="Q811" s="111"/>
      <c r="R811" s="72"/>
      <c r="S811" s="111"/>
      <c r="T811" s="112"/>
    </row>
    <row r="812" spans="1:20" ht="18.75" customHeight="1" x14ac:dyDescent="0.2">
      <c r="A812" s="104">
        <v>38515</v>
      </c>
      <c r="B812" s="104">
        <v>38529</v>
      </c>
      <c r="C812" s="105">
        <v>14007</v>
      </c>
      <c r="D812" s="106" t="s">
        <v>625</v>
      </c>
      <c r="E812" s="138" t="s">
        <v>626</v>
      </c>
      <c r="F812" s="138" t="s">
        <v>626</v>
      </c>
      <c r="G812" s="138" t="s">
        <v>360</v>
      </c>
      <c r="H812" s="74" t="s">
        <v>349</v>
      </c>
      <c r="I812" s="139">
        <v>64.92</v>
      </c>
      <c r="J812" s="108"/>
      <c r="K812" s="108">
        <v>46.8</v>
      </c>
      <c r="L812" s="108"/>
      <c r="M812" s="104">
        <v>38626</v>
      </c>
      <c r="N812" s="109">
        <v>41142</v>
      </c>
      <c r="O812" s="73" t="s">
        <v>21</v>
      </c>
      <c r="P812" s="73" t="s">
        <v>626</v>
      </c>
      <c r="Q812" s="73" t="s">
        <v>360</v>
      </c>
      <c r="R812" s="72" t="s">
        <v>349</v>
      </c>
      <c r="S812" s="106"/>
      <c r="T812" s="72"/>
    </row>
    <row r="813" spans="1:20" ht="18.75" customHeight="1" x14ac:dyDescent="0.2">
      <c r="A813" s="113"/>
      <c r="B813" s="113"/>
      <c r="C813" s="114"/>
      <c r="D813" s="111"/>
      <c r="E813" s="140" t="s">
        <v>19</v>
      </c>
      <c r="F813" s="140" t="s">
        <v>1165</v>
      </c>
      <c r="G813" s="140" t="s">
        <v>466</v>
      </c>
      <c r="H813" s="82" t="s">
        <v>349</v>
      </c>
      <c r="I813" s="141">
        <v>35.08</v>
      </c>
      <c r="J813" s="116"/>
      <c r="K813" s="117"/>
      <c r="L813" s="111"/>
      <c r="M813" s="111"/>
      <c r="N813" s="111"/>
      <c r="O813" s="111"/>
      <c r="P813" s="111"/>
      <c r="Q813" s="111"/>
      <c r="R813" s="72"/>
      <c r="S813" s="111"/>
      <c r="T813" s="112"/>
    </row>
    <row r="814" spans="1:20" ht="18.75" customHeight="1" x14ac:dyDescent="0.2">
      <c r="A814" s="113"/>
      <c r="B814" s="113"/>
      <c r="C814" s="114"/>
      <c r="D814" s="111"/>
      <c r="E814" s="124"/>
      <c r="F814" s="111"/>
      <c r="G814" s="111" t="s">
        <v>353</v>
      </c>
      <c r="H814" s="82"/>
      <c r="I814" s="125"/>
      <c r="J814" s="116"/>
      <c r="K814" s="117"/>
      <c r="L814" s="111"/>
      <c r="M814" s="111"/>
      <c r="N814" s="111"/>
      <c r="O814" s="111"/>
      <c r="P814" s="111"/>
      <c r="Q814" s="111"/>
      <c r="R814" s="72"/>
      <c r="S814" s="111"/>
      <c r="T814" s="112"/>
    </row>
    <row r="815" spans="1:20" ht="18.75" customHeight="1" x14ac:dyDescent="0.2">
      <c r="A815" s="104">
        <v>38515</v>
      </c>
      <c r="B815" s="104">
        <v>38536</v>
      </c>
      <c r="C815" s="105">
        <v>33201</v>
      </c>
      <c r="D815" s="106" t="s">
        <v>390</v>
      </c>
      <c r="E815" s="138" t="s">
        <v>55</v>
      </c>
      <c r="F815" s="138" t="s">
        <v>640</v>
      </c>
      <c r="G815" s="138" t="s">
        <v>641</v>
      </c>
      <c r="H815" s="74" t="s">
        <v>419</v>
      </c>
      <c r="I815" s="139">
        <v>48.11</v>
      </c>
      <c r="J815" s="142">
        <v>57.61</v>
      </c>
      <c r="K815" s="108">
        <v>60.06</v>
      </c>
      <c r="L815" s="108">
        <v>56.89</v>
      </c>
      <c r="M815" s="104">
        <v>38718</v>
      </c>
      <c r="N815" s="109">
        <v>40875</v>
      </c>
      <c r="O815" s="73" t="s">
        <v>55</v>
      </c>
      <c r="P815" s="73" t="s">
        <v>640</v>
      </c>
      <c r="Q815" s="73" t="s">
        <v>641</v>
      </c>
      <c r="R815" s="72" t="s">
        <v>419</v>
      </c>
      <c r="S815" s="111"/>
      <c r="T815" s="112"/>
    </row>
    <row r="816" spans="1:20" ht="18.75" customHeight="1" x14ac:dyDescent="0.2">
      <c r="A816" s="113"/>
      <c r="B816" s="113"/>
      <c r="C816" s="114"/>
      <c r="D816" s="111"/>
      <c r="E816" s="140" t="s">
        <v>19</v>
      </c>
      <c r="F816" s="140" t="s">
        <v>1166</v>
      </c>
      <c r="G816" s="140" t="s">
        <v>710</v>
      </c>
      <c r="H816" s="82" t="s">
        <v>349</v>
      </c>
      <c r="I816" s="141">
        <v>39.36</v>
      </c>
      <c r="J816" s="143">
        <v>42.39</v>
      </c>
      <c r="K816" s="117"/>
      <c r="L816" s="111"/>
      <c r="M816" s="111"/>
      <c r="N816" s="111"/>
      <c r="O816" s="111"/>
      <c r="P816" s="111"/>
      <c r="Q816" s="111"/>
      <c r="R816" s="72"/>
      <c r="S816" s="106"/>
      <c r="T816" s="119"/>
    </row>
    <row r="817" spans="1:21" ht="18.75" customHeight="1" x14ac:dyDescent="0.2">
      <c r="A817" s="113"/>
      <c r="B817" s="113"/>
      <c r="C817" s="114"/>
      <c r="D817" s="111"/>
      <c r="E817" s="140" t="s">
        <v>21</v>
      </c>
      <c r="F817" s="140" t="s">
        <v>557</v>
      </c>
      <c r="G817" s="140" t="s">
        <v>516</v>
      </c>
      <c r="H817" s="82" t="s">
        <v>349</v>
      </c>
      <c r="I817" s="141">
        <v>12.54</v>
      </c>
      <c r="J817" s="116"/>
      <c r="K817" s="117"/>
      <c r="L817" s="111"/>
      <c r="M817" s="111"/>
      <c r="N817" s="111"/>
      <c r="O817" s="111"/>
      <c r="P817" s="111"/>
      <c r="Q817" s="111"/>
      <c r="R817" s="72"/>
      <c r="S817" s="111"/>
      <c r="T817" s="112"/>
    </row>
    <row r="818" spans="1:21" ht="18.75" customHeight="1" x14ac:dyDescent="0.2">
      <c r="A818" s="113"/>
      <c r="B818" s="113"/>
      <c r="C818" s="114"/>
      <c r="D818" s="111"/>
      <c r="E818" s="124"/>
      <c r="F818" s="111"/>
      <c r="G818" s="111" t="s">
        <v>353</v>
      </c>
      <c r="H818" s="82"/>
      <c r="I818" s="125"/>
      <c r="J818" s="116"/>
      <c r="K818" s="117"/>
      <c r="L818" s="111"/>
      <c r="M818" s="111"/>
      <c r="N818" s="111"/>
      <c r="O818" s="111"/>
      <c r="P818" s="111"/>
      <c r="Q818" s="111"/>
      <c r="R818" s="72"/>
      <c r="S818" s="106"/>
      <c r="T818" s="119"/>
    </row>
    <row r="819" spans="1:21" ht="18.75" customHeight="1" x14ac:dyDescent="0.2">
      <c r="A819" s="104">
        <v>38536</v>
      </c>
      <c r="B819" s="104">
        <v>38550</v>
      </c>
      <c r="C819" s="105">
        <v>13101</v>
      </c>
      <c r="D819" s="106" t="s">
        <v>496</v>
      </c>
      <c r="E819" s="138" t="s">
        <v>19</v>
      </c>
      <c r="F819" s="138" t="s">
        <v>662</v>
      </c>
      <c r="G819" s="138" t="s">
        <v>466</v>
      </c>
      <c r="H819" s="74" t="s">
        <v>349</v>
      </c>
      <c r="I819" s="139">
        <v>90.51</v>
      </c>
      <c r="J819" s="108"/>
      <c r="K819" s="108">
        <v>35.25</v>
      </c>
      <c r="L819" s="108"/>
      <c r="M819" s="104">
        <v>38754</v>
      </c>
      <c r="N819" s="109">
        <v>41675</v>
      </c>
      <c r="O819" s="92" t="s">
        <v>19</v>
      </c>
      <c r="P819" s="92" t="s">
        <v>662</v>
      </c>
      <c r="Q819" s="92" t="s">
        <v>663</v>
      </c>
      <c r="R819" s="72" t="s">
        <v>349</v>
      </c>
      <c r="S819" s="111"/>
      <c r="T819" s="112"/>
    </row>
    <row r="820" spans="1:21" ht="18.75" customHeight="1" x14ac:dyDescent="0.2">
      <c r="A820" s="113"/>
      <c r="B820" s="113"/>
      <c r="C820" s="114"/>
      <c r="D820" s="111"/>
      <c r="E820" s="124"/>
      <c r="F820" s="111"/>
      <c r="G820" s="111" t="s">
        <v>353</v>
      </c>
      <c r="H820" s="82"/>
      <c r="I820" s="125"/>
      <c r="J820" s="116"/>
      <c r="K820" s="117"/>
      <c r="L820" s="111"/>
      <c r="M820" s="111"/>
      <c r="N820" s="111"/>
      <c r="O820" s="111"/>
      <c r="P820" s="111"/>
      <c r="Q820" s="111"/>
      <c r="R820" s="72"/>
      <c r="S820" s="111"/>
      <c r="T820" s="112"/>
    </row>
    <row r="821" spans="1:21" ht="18.75" customHeight="1" x14ac:dyDescent="0.2">
      <c r="A821" s="104">
        <v>38613</v>
      </c>
      <c r="B821" s="104">
        <v>38627</v>
      </c>
      <c r="C821" s="105">
        <v>23505</v>
      </c>
      <c r="D821" s="106" t="s">
        <v>377</v>
      </c>
      <c r="E821" s="138" t="s">
        <v>19</v>
      </c>
      <c r="F821" s="138" t="s">
        <v>453</v>
      </c>
      <c r="G821" s="138" t="s">
        <v>1167</v>
      </c>
      <c r="H821" s="74" t="s">
        <v>349</v>
      </c>
      <c r="I821" s="139">
        <v>58.18</v>
      </c>
      <c r="J821" s="108"/>
      <c r="K821" s="108">
        <v>78.05</v>
      </c>
      <c r="L821" s="108"/>
      <c r="M821" s="104">
        <v>38718</v>
      </c>
      <c r="N821" s="109">
        <v>41639</v>
      </c>
      <c r="O821" s="72" t="s">
        <v>19</v>
      </c>
      <c r="P821" s="72" t="s">
        <v>378</v>
      </c>
      <c r="Q821" s="72" t="s">
        <v>379</v>
      </c>
      <c r="R821" s="72" t="s">
        <v>349</v>
      </c>
      <c r="S821" s="111"/>
      <c r="T821" s="112"/>
    </row>
    <row r="822" spans="1:21" ht="18.75" customHeight="1" x14ac:dyDescent="0.2">
      <c r="A822" s="118"/>
      <c r="B822" s="118"/>
      <c r="C822" s="118"/>
      <c r="D822" s="111"/>
      <c r="E822" s="140" t="s">
        <v>21</v>
      </c>
      <c r="F822" s="140" t="s">
        <v>1168</v>
      </c>
      <c r="G822" s="140" t="s">
        <v>757</v>
      </c>
      <c r="H822" s="82" t="s">
        <v>349</v>
      </c>
      <c r="I822" s="141">
        <v>41.82</v>
      </c>
      <c r="J822" s="144"/>
      <c r="K822" s="111"/>
      <c r="L822" s="111"/>
      <c r="M822" s="111"/>
      <c r="N822" s="111"/>
      <c r="O822" s="111"/>
      <c r="P822" s="111"/>
      <c r="Q822" s="111"/>
      <c r="R822" s="72"/>
      <c r="S822" s="111"/>
      <c r="T822" s="112"/>
    </row>
    <row r="823" spans="1:21" ht="18.75" customHeight="1" x14ac:dyDescent="0.2">
      <c r="A823" s="118"/>
      <c r="B823" s="118"/>
      <c r="C823" s="118"/>
      <c r="D823" s="111"/>
      <c r="E823" s="111"/>
      <c r="F823" s="111"/>
      <c r="G823" s="111" t="s">
        <v>353</v>
      </c>
      <c r="H823" s="82"/>
      <c r="I823" s="125"/>
      <c r="J823" s="144"/>
      <c r="K823" s="111"/>
      <c r="L823" s="111"/>
      <c r="M823" s="111"/>
      <c r="N823" s="111"/>
      <c r="O823" s="111"/>
      <c r="P823" s="111"/>
      <c r="Q823" s="111"/>
      <c r="R823" s="72"/>
      <c r="S823" s="111"/>
      <c r="T823" s="112"/>
    </row>
    <row r="824" spans="1:21" ht="18.75" customHeight="1" x14ac:dyDescent="0.2">
      <c r="A824" s="70">
        <v>38802</v>
      </c>
      <c r="B824" s="70">
        <v>38816</v>
      </c>
      <c r="C824" s="71">
        <v>13806</v>
      </c>
      <c r="D824" s="72" t="s">
        <v>656</v>
      </c>
      <c r="E824" s="72" t="s">
        <v>21</v>
      </c>
      <c r="F824" s="72" t="s">
        <v>657</v>
      </c>
      <c r="G824" s="72" t="s">
        <v>570</v>
      </c>
      <c r="H824" s="74" t="s">
        <v>349</v>
      </c>
      <c r="I824" s="107">
        <v>66.040000000000006</v>
      </c>
      <c r="J824" s="76"/>
      <c r="K824" s="76">
        <v>63</v>
      </c>
      <c r="L824" s="76"/>
      <c r="M824" s="70">
        <v>38930</v>
      </c>
      <c r="N824" s="68">
        <v>41274</v>
      </c>
      <c r="O824" s="73" t="s">
        <v>21</v>
      </c>
      <c r="P824" s="73" t="s">
        <v>657</v>
      </c>
      <c r="Q824" s="73" t="s">
        <v>570</v>
      </c>
      <c r="R824" s="72" t="s">
        <v>349</v>
      </c>
      <c r="S824" s="72"/>
      <c r="T824" s="72"/>
      <c r="U824" s="72"/>
    </row>
    <row r="825" spans="1:21" ht="18.75" customHeight="1" x14ac:dyDescent="0.2">
      <c r="A825" s="79"/>
      <c r="B825" s="79"/>
      <c r="C825" s="80"/>
      <c r="D825" s="66"/>
      <c r="E825" s="66" t="s">
        <v>19</v>
      </c>
      <c r="F825" s="66" t="s">
        <v>1057</v>
      </c>
      <c r="G825" s="66" t="s">
        <v>1089</v>
      </c>
      <c r="H825" s="82" t="s">
        <v>419</v>
      </c>
      <c r="I825" s="115">
        <v>33.96</v>
      </c>
      <c r="J825" s="84"/>
      <c r="K825" s="91"/>
      <c r="L825" s="66"/>
      <c r="M825" s="66"/>
      <c r="N825" s="66"/>
      <c r="O825" s="66"/>
      <c r="P825" s="66"/>
      <c r="Q825" s="66"/>
      <c r="R825" s="72"/>
      <c r="T825" s="66"/>
      <c r="U825" s="66"/>
    </row>
    <row r="826" spans="1:21" ht="18.75" customHeight="1" x14ac:dyDescent="0.2">
      <c r="A826" s="79"/>
      <c r="B826" s="79"/>
      <c r="C826" s="80"/>
      <c r="D826" s="66"/>
      <c r="E826" s="86"/>
      <c r="F826" s="66"/>
      <c r="G826" s="66" t="s">
        <v>353</v>
      </c>
      <c r="H826" s="82"/>
      <c r="I826" s="87"/>
      <c r="J826" s="84"/>
      <c r="K826" s="91"/>
      <c r="L826" s="66"/>
      <c r="M826" s="66"/>
      <c r="N826" s="66"/>
      <c r="O826" s="66"/>
      <c r="P826" s="66"/>
      <c r="Q826" s="66"/>
      <c r="R826" s="72"/>
      <c r="T826" s="66"/>
      <c r="U826" s="66"/>
    </row>
    <row r="827" spans="1:21" ht="18.75" customHeight="1" x14ac:dyDescent="0.2">
      <c r="A827" s="70">
        <v>38802</v>
      </c>
      <c r="B827" s="70">
        <v>38816</v>
      </c>
      <c r="C827" s="71">
        <v>14107</v>
      </c>
      <c r="D827" s="72" t="s">
        <v>681</v>
      </c>
      <c r="E827" s="72" t="s">
        <v>682</v>
      </c>
      <c r="F827" s="72" t="s">
        <v>682</v>
      </c>
      <c r="G827" s="72" t="s">
        <v>683</v>
      </c>
      <c r="H827" s="74" t="s">
        <v>349</v>
      </c>
      <c r="I827" s="107">
        <v>90.73</v>
      </c>
      <c r="J827" s="76"/>
      <c r="K827" s="76">
        <v>62.07</v>
      </c>
      <c r="L827" s="76"/>
      <c r="M827" s="70">
        <v>38961</v>
      </c>
      <c r="N827" s="89">
        <f>DATE(YEAR(M827)+8,MONTH(M827),DAY(M827)-1)</f>
        <v>41882</v>
      </c>
      <c r="O827" s="92" t="s">
        <v>21</v>
      </c>
      <c r="P827" s="92" t="s">
        <v>682</v>
      </c>
      <c r="Q827" s="92" t="s">
        <v>683</v>
      </c>
      <c r="R827" s="72" t="s">
        <v>349</v>
      </c>
      <c r="S827" s="72"/>
      <c r="T827" s="72"/>
      <c r="U827" s="72"/>
    </row>
    <row r="828" spans="1:21" ht="18.75" customHeight="1" x14ac:dyDescent="0.2">
      <c r="A828" s="79"/>
      <c r="B828" s="79"/>
      <c r="C828" s="80"/>
      <c r="D828" s="66"/>
      <c r="E828" s="86"/>
      <c r="F828" s="66"/>
      <c r="G828" s="66" t="s">
        <v>353</v>
      </c>
      <c r="H828" s="82"/>
      <c r="I828" s="87"/>
      <c r="J828" s="84"/>
      <c r="K828" s="91"/>
      <c r="L828" s="66"/>
      <c r="M828" s="66"/>
      <c r="N828" s="66"/>
      <c r="O828" s="66"/>
      <c r="P828" s="66"/>
      <c r="Q828" s="66"/>
      <c r="R828" s="72"/>
      <c r="T828" s="66"/>
      <c r="U828" s="66"/>
    </row>
    <row r="829" spans="1:21" ht="18.75" customHeight="1" x14ac:dyDescent="0.2">
      <c r="A829" s="70">
        <v>38802</v>
      </c>
      <c r="B829" s="70">
        <v>38816</v>
      </c>
      <c r="C829" s="71">
        <v>23502</v>
      </c>
      <c r="D829" s="72" t="s">
        <v>678</v>
      </c>
      <c r="E829" s="72" t="s">
        <v>19</v>
      </c>
      <c r="F829" s="72" t="s">
        <v>679</v>
      </c>
      <c r="G829" s="72" t="s">
        <v>368</v>
      </c>
      <c r="H829" s="74" t="s">
        <v>349</v>
      </c>
      <c r="I829" s="107">
        <v>59.45</v>
      </c>
      <c r="J829" s="76"/>
      <c r="K829" s="76">
        <v>70.459999999999994</v>
      </c>
      <c r="L829" s="76"/>
      <c r="M829" s="70">
        <v>38961</v>
      </c>
      <c r="N829" s="89">
        <f>DATE(YEAR(M829)+8,MONTH(M829),DAY(M829)-1)</f>
        <v>41882</v>
      </c>
      <c r="O829" s="92" t="s">
        <v>19</v>
      </c>
      <c r="P829" s="92" t="s">
        <v>679</v>
      </c>
      <c r="Q829" s="92" t="s">
        <v>368</v>
      </c>
      <c r="R829" s="72" t="s">
        <v>349</v>
      </c>
      <c r="S829" s="72"/>
      <c r="T829" s="72"/>
      <c r="U829" s="72"/>
    </row>
    <row r="830" spans="1:21" ht="18.75" customHeight="1" x14ac:dyDescent="0.2">
      <c r="A830" s="79"/>
      <c r="B830" s="79"/>
      <c r="C830" s="80"/>
      <c r="D830" s="66"/>
      <c r="E830" s="66" t="s">
        <v>21</v>
      </c>
      <c r="F830" s="66" t="s">
        <v>1169</v>
      </c>
      <c r="G830" s="66" t="s">
        <v>1170</v>
      </c>
      <c r="H830" s="82" t="s">
        <v>349</v>
      </c>
      <c r="I830" s="115">
        <v>40.549999999999997</v>
      </c>
      <c r="J830" s="84"/>
      <c r="K830" s="91"/>
      <c r="L830" s="66"/>
      <c r="M830" s="66"/>
      <c r="N830" s="66"/>
      <c r="O830" s="66"/>
      <c r="P830" s="66"/>
      <c r="Q830" s="66"/>
      <c r="R830" s="72"/>
      <c r="T830" s="66"/>
      <c r="U830" s="66"/>
    </row>
    <row r="831" spans="1:21" ht="18.75" customHeight="1" x14ac:dyDescent="0.2">
      <c r="A831" s="79"/>
      <c r="B831" s="79"/>
      <c r="C831" s="80"/>
      <c r="D831" s="66"/>
      <c r="E831" s="86"/>
      <c r="F831" s="66"/>
      <c r="G831" s="66" t="s">
        <v>353</v>
      </c>
      <c r="H831" s="82"/>
      <c r="I831" s="87"/>
      <c r="J831" s="84"/>
      <c r="K831" s="91"/>
      <c r="L831" s="66"/>
      <c r="M831" s="66"/>
      <c r="N831" s="66"/>
      <c r="O831" s="66"/>
      <c r="P831" s="66"/>
      <c r="Q831" s="66"/>
      <c r="R831" s="72"/>
      <c r="T831" s="66"/>
      <c r="U831" s="66"/>
    </row>
    <row r="832" spans="1:21" ht="18.75" customHeight="1" x14ac:dyDescent="0.2">
      <c r="A832" s="70">
        <v>38802</v>
      </c>
      <c r="B832" s="70">
        <v>38816</v>
      </c>
      <c r="C832" s="71">
        <v>33604</v>
      </c>
      <c r="D832" s="72" t="s">
        <v>652</v>
      </c>
      <c r="E832" s="72" t="s">
        <v>580</v>
      </c>
      <c r="F832" s="72" t="s">
        <v>580</v>
      </c>
      <c r="G832" s="72" t="s">
        <v>1171</v>
      </c>
      <c r="H832" s="74" t="s">
        <v>349</v>
      </c>
      <c r="I832" s="107">
        <v>34.36</v>
      </c>
      <c r="J832" s="121">
        <v>70.64</v>
      </c>
      <c r="K832" s="76">
        <v>65.47</v>
      </c>
      <c r="L832" s="76">
        <v>50.97</v>
      </c>
      <c r="M832" s="70">
        <v>38899</v>
      </c>
      <c r="N832" s="89">
        <f>DATE(YEAR(M832)+8,MONTH(M832),DAY(M832)-1)</f>
        <v>41820</v>
      </c>
      <c r="O832" s="73" t="s">
        <v>21</v>
      </c>
      <c r="P832" s="73" t="s">
        <v>653</v>
      </c>
      <c r="Q832" s="73" t="s">
        <v>381</v>
      </c>
      <c r="R832" s="72" t="s">
        <v>349</v>
      </c>
      <c r="S832" s="72" t="s">
        <v>1172</v>
      </c>
      <c r="T832" s="72"/>
      <c r="U832" s="72"/>
    </row>
    <row r="833" spans="1:21" ht="18.75" customHeight="1" x14ac:dyDescent="0.2">
      <c r="A833" s="79"/>
      <c r="B833" s="79"/>
      <c r="C833" s="80"/>
      <c r="D833" s="66"/>
      <c r="E833" s="66" t="s">
        <v>21</v>
      </c>
      <c r="F833" s="66" t="s">
        <v>1173</v>
      </c>
      <c r="G833" s="66" t="s">
        <v>477</v>
      </c>
      <c r="H833" s="82" t="s">
        <v>349</v>
      </c>
      <c r="I833" s="115">
        <v>23.77</v>
      </c>
      <c r="J833" s="123">
        <v>29.36</v>
      </c>
      <c r="K833" s="91"/>
      <c r="L833" s="66"/>
      <c r="M833" s="66"/>
      <c r="N833" s="66"/>
      <c r="O833" s="66"/>
      <c r="P833" s="66"/>
      <c r="Q833" s="66"/>
      <c r="R833" s="72"/>
      <c r="T833" s="66"/>
      <c r="U833" s="66"/>
    </row>
    <row r="834" spans="1:21" ht="18.75" customHeight="1" x14ac:dyDescent="0.2">
      <c r="A834" s="79"/>
      <c r="B834" s="79"/>
      <c r="C834" s="80"/>
      <c r="D834" s="66"/>
      <c r="E834" s="66" t="s">
        <v>19</v>
      </c>
      <c r="F834" s="66" t="s">
        <v>347</v>
      </c>
      <c r="G834" s="66" t="s">
        <v>358</v>
      </c>
      <c r="H834" s="82" t="s">
        <v>349</v>
      </c>
      <c r="I834" s="115">
        <v>18.66</v>
      </c>
      <c r="J834" s="84"/>
      <c r="K834" s="91"/>
      <c r="L834" s="66"/>
      <c r="M834" s="66"/>
      <c r="N834" s="66"/>
      <c r="O834" s="66"/>
      <c r="P834" s="66"/>
      <c r="Q834" s="66"/>
      <c r="R834" s="72"/>
      <c r="T834" s="66"/>
      <c r="U834" s="66"/>
    </row>
    <row r="835" spans="1:21" ht="18.75" customHeight="1" x14ac:dyDescent="0.2">
      <c r="A835" s="79"/>
      <c r="B835" s="79"/>
      <c r="C835" s="80"/>
      <c r="D835" s="66"/>
      <c r="E835" s="66" t="s">
        <v>1174</v>
      </c>
      <c r="F835" s="66" t="s">
        <v>1174</v>
      </c>
      <c r="G835" s="66" t="s">
        <v>389</v>
      </c>
      <c r="H835" s="82" t="s">
        <v>349</v>
      </c>
      <c r="I835" s="115">
        <v>15.16</v>
      </c>
      <c r="J835" s="84"/>
      <c r="K835" s="91"/>
      <c r="L835" s="66"/>
      <c r="M835" s="66"/>
      <c r="N835" s="66"/>
      <c r="O835" s="66"/>
      <c r="P835" s="66"/>
      <c r="Q835" s="66"/>
      <c r="R835" s="72"/>
      <c r="T835" s="72"/>
      <c r="U835" s="66"/>
    </row>
    <row r="836" spans="1:21" ht="18.75" customHeight="1" x14ac:dyDescent="0.2">
      <c r="A836" s="79"/>
      <c r="B836" s="79"/>
      <c r="C836" s="80"/>
      <c r="D836" s="66"/>
      <c r="E836" s="66" t="s">
        <v>55</v>
      </c>
      <c r="F836" s="66" t="s">
        <v>654</v>
      </c>
      <c r="G836" s="66" t="s">
        <v>655</v>
      </c>
      <c r="H836" s="82" t="s">
        <v>349</v>
      </c>
      <c r="I836" s="115">
        <v>8.0500000000000007</v>
      </c>
      <c r="J836" s="84"/>
      <c r="K836" s="91"/>
      <c r="L836" s="66"/>
      <c r="M836" s="66"/>
      <c r="N836" s="66"/>
      <c r="O836" s="66"/>
      <c r="P836" s="66"/>
      <c r="Q836" s="66"/>
      <c r="R836" s="72"/>
      <c r="T836" s="66"/>
      <c r="U836" s="66"/>
    </row>
    <row r="837" spans="1:21" ht="18.75" customHeight="1" x14ac:dyDescent="0.2">
      <c r="A837" s="79"/>
      <c r="B837" s="79"/>
      <c r="C837" s="80"/>
      <c r="D837" s="66"/>
      <c r="E837" s="86"/>
      <c r="F837" s="66"/>
      <c r="G837" s="66" t="s">
        <v>353</v>
      </c>
      <c r="H837" s="82"/>
      <c r="I837" s="87"/>
      <c r="J837" s="84"/>
      <c r="K837" s="91"/>
      <c r="L837" s="66"/>
      <c r="M837" s="66"/>
      <c r="N837" s="66"/>
      <c r="O837" s="66"/>
      <c r="P837" s="66"/>
      <c r="Q837" s="66"/>
      <c r="R837" s="72"/>
      <c r="T837" s="66"/>
      <c r="U837" s="66"/>
    </row>
    <row r="838" spans="1:21" ht="18.75" customHeight="1" x14ac:dyDescent="0.2">
      <c r="A838" s="70">
        <v>38809</v>
      </c>
      <c r="B838" s="70">
        <v>38830</v>
      </c>
      <c r="C838" s="71">
        <v>23201</v>
      </c>
      <c r="D838" s="72" t="s">
        <v>719</v>
      </c>
      <c r="E838" s="72" t="s">
        <v>19</v>
      </c>
      <c r="F838" s="72" t="s">
        <v>720</v>
      </c>
      <c r="G838" s="72" t="s">
        <v>721</v>
      </c>
      <c r="H838" s="74" t="s">
        <v>349</v>
      </c>
      <c r="I838" s="107">
        <v>87.2</v>
      </c>
      <c r="J838" s="76"/>
      <c r="K838" s="76">
        <v>40.6</v>
      </c>
      <c r="L838" s="76"/>
      <c r="M838" s="70">
        <v>39083</v>
      </c>
      <c r="N838" s="89">
        <v>40298</v>
      </c>
      <c r="O838" s="72"/>
      <c r="P838" s="72"/>
      <c r="Q838" s="72"/>
      <c r="R838" s="72"/>
      <c r="S838" s="145"/>
      <c r="T838" s="72"/>
      <c r="U838" s="76"/>
    </row>
    <row r="839" spans="1:21" ht="18.75" customHeight="1" x14ac:dyDescent="0.2">
      <c r="A839" s="79"/>
      <c r="B839" s="79"/>
      <c r="C839" s="80"/>
      <c r="D839" s="66"/>
      <c r="E839" s="86"/>
      <c r="F839" s="66"/>
      <c r="G839" s="66" t="s">
        <v>353</v>
      </c>
      <c r="H839" s="82"/>
      <c r="I839" s="87"/>
      <c r="J839" s="84"/>
      <c r="K839" s="91"/>
      <c r="L839" s="66"/>
      <c r="M839" s="66"/>
      <c r="N839" s="66"/>
      <c r="O839" s="66"/>
      <c r="P839" s="66"/>
      <c r="Q839" s="66"/>
      <c r="R839" s="72"/>
      <c r="T839" s="66"/>
      <c r="U839" s="66"/>
    </row>
    <row r="840" spans="1:21" ht="18.75" customHeight="1" x14ac:dyDescent="0.2">
      <c r="A840" s="70">
        <v>38879</v>
      </c>
      <c r="B840" s="70">
        <v>38900</v>
      </c>
      <c r="C840" s="71">
        <v>13301</v>
      </c>
      <c r="D840" s="72" t="s">
        <v>145</v>
      </c>
      <c r="E840" s="72" t="s">
        <v>21</v>
      </c>
      <c r="F840" s="72" t="s">
        <v>693</v>
      </c>
      <c r="G840" s="72" t="s">
        <v>389</v>
      </c>
      <c r="H840" s="74" t="s">
        <v>349</v>
      </c>
      <c r="I840" s="107">
        <v>66.7</v>
      </c>
      <c r="J840" s="76"/>
      <c r="K840" s="76">
        <v>45.56</v>
      </c>
      <c r="L840" s="76"/>
      <c r="M840" s="70">
        <v>39086</v>
      </c>
      <c r="N840" s="89">
        <f>DATE(YEAR(M840)+8,MONTH(M840),DAY(M840)-1)</f>
        <v>42007</v>
      </c>
      <c r="O840" s="92" t="s">
        <v>21</v>
      </c>
      <c r="P840" s="92" t="s">
        <v>693</v>
      </c>
      <c r="Q840" s="92" t="s">
        <v>389</v>
      </c>
      <c r="R840" s="72" t="s">
        <v>349</v>
      </c>
      <c r="S840" s="72"/>
      <c r="T840" s="72"/>
      <c r="U840" s="72"/>
    </row>
    <row r="841" spans="1:21" ht="18.75" customHeight="1" x14ac:dyDescent="0.2">
      <c r="A841" s="79"/>
      <c r="B841" s="79"/>
      <c r="C841" s="80"/>
      <c r="D841" s="66"/>
      <c r="E841" s="66" t="s">
        <v>1175</v>
      </c>
      <c r="F841" s="66" t="s">
        <v>1175</v>
      </c>
      <c r="G841" s="66" t="s">
        <v>1151</v>
      </c>
      <c r="H841" s="82" t="s">
        <v>349</v>
      </c>
      <c r="I841" s="115">
        <v>33.299999999999997</v>
      </c>
      <c r="J841" s="84"/>
      <c r="K841" s="91"/>
      <c r="L841" s="66"/>
      <c r="M841" s="66"/>
      <c r="N841" s="66"/>
      <c r="O841" s="66"/>
      <c r="P841" s="66"/>
      <c r="Q841" s="66"/>
      <c r="R841" s="72"/>
      <c r="T841" s="72"/>
      <c r="U841" s="66"/>
    </row>
    <row r="842" spans="1:21" ht="18.75" customHeight="1" x14ac:dyDescent="0.2">
      <c r="A842" s="79"/>
      <c r="B842" s="79"/>
      <c r="C842" s="80"/>
      <c r="D842" s="66"/>
      <c r="E842" s="86"/>
      <c r="F842" s="66"/>
      <c r="G842" s="66" t="s">
        <v>353</v>
      </c>
      <c r="H842" s="82"/>
      <c r="I842" s="87"/>
      <c r="J842" s="84"/>
      <c r="K842" s="91"/>
      <c r="L842" s="66"/>
      <c r="M842" s="66"/>
      <c r="N842" s="66"/>
      <c r="O842" s="66"/>
      <c r="P842" s="66"/>
      <c r="Q842" s="66"/>
      <c r="R842" s="72"/>
      <c r="T842" s="66"/>
      <c r="U842" s="66"/>
    </row>
    <row r="843" spans="1:21" ht="18.75" customHeight="1" x14ac:dyDescent="0.2">
      <c r="A843" s="70">
        <v>38879</v>
      </c>
      <c r="B843" s="70">
        <v>38893</v>
      </c>
      <c r="C843" s="71">
        <v>13804</v>
      </c>
      <c r="D843" s="72" t="s">
        <v>703</v>
      </c>
      <c r="E843" s="72" t="s">
        <v>19</v>
      </c>
      <c r="F843" s="72" t="s">
        <v>830</v>
      </c>
      <c r="G843" s="72" t="s">
        <v>1176</v>
      </c>
      <c r="H843" s="74" t="s">
        <v>349</v>
      </c>
      <c r="I843" s="107">
        <v>91.21</v>
      </c>
      <c r="J843" s="76"/>
      <c r="K843" s="76">
        <v>27.14</v>
      </c>
      <c r="L843" s="76"/>
      <c r="M843" s="70">
        <v>39110</v>
      </c>
      <c r="N843" s="89">
        <f>DATE(YEAR(M843)+8,MONTH(M843),DAY(M843)-1)</f>
        <v>42031</v>
      </c>
      <c r="O843" s="92" t="s">
        <v>704</v>
      </c>
      <c r="P843" s="92" t="s">
        <v>704</v>
      </c>
      <c r="Q843" s="92" t="s">
        <v>358</v>
      </c>
      <c r="R843" s="72" t="s">
        <v>349</v>
      </c>
      <c r="S843" s="111"/>
      <c r="T843" s="72"/>
      <c r="U843" s="72"/>
    </row>
    <row r="844" spans="1:21" ht="18.75" customHeight="1" x14ac:dyDescent="0.2">
      <c r="A844" s="79"/>
      <c r="B844" s="79"/>
      <c r="C844" s="80"/>
      <c r="D844" s="66"/>
      <c r="E844" s="86"/>
      <c r="F844" s="66"/>
      <c r="G844" s="66" t="s">
        <v>353</v>
      </c>
      <c r="H844" s="82"/>
      <c r="I844" s="87"/>
      <c r="J844" s="84"/>
      <c r="K844" s="91"/>
      <c r="L844" s="66"/>
      <c r="M844" s="66"/>
      <c r="N844" s="66"/>
      <c r="O844" s="66"/>
      <c r="P844" s="66"/>
      <c r="Q844" s="66"/>
      <c r="R844" s="72"/>
      <c r="T844" s="66"/>
      <c r="U844" s="66"/>
    </row>
    <row r="845" spans="1:21" ht="18.75" customHeight="1" x14ac:dyDescent="0.2">
      <c r="A845" s="70">
        <v>38893</v>
      </c>
      <c r="B845" s="70">
        <v>38907</v>
      </c>
      <c r="C845" s="71">
        <v>14307</v>
      </c>
      <c r="D845" s="72" t="s">
        <v>1177</v>
      </c>
      <c r="E845" s="72" t="s">
        <v>716</v>
      </c>
      <c r="F845" s="72" t="s">
        <v>716</v>
      </c>
      <c r="G845" s="72" t="s">
        <v>358</v>
      </c>
      <c r="H845" s="74" t="s">
        <v>349</v>
      </c>
      <c r="I845" s="107">
        <v>92.5</v>
      </c>
      <c r="J845" s="76"/>
      <c r="K845" s="76">
        <v>26.01</v>
      </c>
      <c r="L845" s="76"/>
      <c r="M845" s="70">
        <v>39156</v>
      </c>
      <c r="N845" s="89">
        <f>DATE(YEAR(M845)+8,MONTH(M845),DAY(M845)-1)</f>
        <v>42077</v>
      </c>
      <c r="O845" s="92" t="s">
        <v>55</v>
      </c>
      <c r="P845" s="92" t="s">
        <v>716</v>
      </c>
      <c r="Q845" s="92" t="s">
        <v>358</v>
      </c>
      <c r="R845" s="72" t="s">
        <v>349</v>
      </c>
      <c r="S845" s="72"/>
      <c r="T845" s="72"/>
      <c r="U845" s="72"/>
    </row>
    <row r="846" spans="1:21" ht="18.75" customHeight="1" x14ac:dyDescent="0.2">
      <c r="A846" s="79"/>
      <c r="B846" s="79"/>
      <c r="C846" s="80"/>
      <c r="D846" s="66"/>
      <c r="E846" s="86"/>
      <c r="F846" s="66"/>
      <c r="G846" s="66" t="s">
        <v>353</v>
      </c>
      <c r="H846" s="82"/>
      <c r="I846" s="87"/>
      <c r="J846" s="84"/>
      <c r="K846" s="91"/>
      <c r="L846" s="66"/>
      <c r="M846" s="66"/>
      <c r="N846" s="66"/>
      <c r="O846" s="66"/>
      <c r="P846" s="66"/>
      <c r="Q846" s="66"/>
      <c r="R846" s="72"/>
      <c r="T846" s="66"/>
      <c r="U846" s="66"/>
    </row>
    <row r="847" spans="1:21" ht="18.75" customHeight="1" x14ac:dyDescent="0.2">
      <c r="A847" s="70">
        <v>38900</v>
      </c>
      <c r="B847" s="70">
        <v>38914</v>
      </c>
      <c r="C847" s="71">
        <v>33406</v>
      </c>
      <c r="D847" s="72" t="s">
        <v>909</v>
      </c>
      <c r="E847" s="72" t="s">
        <v>1144</v>
      </c>
      <c r="F847" s="72" t="s">
        <v>911</v>
      </c>
      <c r="G847" s="72" t="s">
        <v>352</v>
      </c>
      <c r="H847" s="74" t="s">
        <v>349</v>
      </c>
      <c r="I847" s="107">
        <v>56.72</v>
      </c>
      <c r="J847" s="76"/>
      <c r="K847" s="76">
        <v>53.23</v>
      </c>
      <c r="L847" s="76"/>
      <c r="M847" s="70">
        <v>39022</v>
      </c>
      <c r="N847" s="68">
        <v>41820</v>
      </c>
      <c r="O847" s="72" t="s">
        <v>19</v>
      </c>
      <c r="P847" s="72" t="s">
        <v>910</v>
      </c>
      <c r="Q847" s="72" t="s">
        <v>374</v>
      </c>
      <c r="R847" s="72" t="s">
        <v>349</v>
      </c>
      <c r="S847" s="72"/>
      <c r="T847" s="72"/>
      <c r="U847" s="72"/>
    </row>
    <row r="848" spans="1:21" ht="18.75" customHeight="1" x14ac:dyDescent="0.2">
      <c r="A848" s="79"/>
      <c r="B848" s="79"/>
      <c r="C848" s="80"/>
      <c r="D848" s="66"/>
      <c r="E848" s="66" t="s">
        <v>19</v>
      </c>
      <c r="F848" s="66" t="s">
        <v>1178</v>
      </c>
      <c r="G848" s="66" t="s">
        <v>383</v>
      </c>
      <c r="H848" s="82" t="s">
        <v>349</v>
      </c>
      <c r="I848" s="115">
        <v>33.76</v>
      </c>
      <c r="J848" s="84"/>
      <c r="K848" s="91"/>
      <c r="L848" s="66"/>
      <c r="M848" s="66"/>
      <c r="N848" s="66"/>
      <c r="O848" s="66"/>
      <c r="P848" s="66"/>
      <c r="Q848" s="66"/>
      <c r="R848" s="72"/>
      <c r="T848" s="66"/>
      <c r="U848" s="66"/>
    </row>
    <row r="849" spans="1:21" ht="18.75" customHeight="1" x14ac:dyDescent="0.2">
      <c r="A849" s="79"/>
      <c r="B849" s="79"/>
      <c r="C849" s="80"/>
      <c r="D849" s="66"/>
      <c r="E849" s="66" t="s">
        <v>1179</v>
      </c>
      <c r="F849" s="66" t="s">
        <v>1179</v>
      </c>
      <c r="G849" s="66" t="s">
        <v>1180</v>
      </c>
      <c r="H849" s="82" t="s">
        <v>349</v>
      </c>
      <c r="I849" s="115">
        <v>6.54</v>
      </c>
      <c r="J849" s="84"/>
      <c r="K849" s="91"/>
      <c r="L849" s="66"/>
      <c r="M849" s="66"/>
      <c r="N849" s="66"/>
      <c r="O849" s="66"/>
      <c r="P849" s="66"/>
      <c r="Q849" s="66"/>
      <c r="R849" s="72"/>
      <c r="T849" s="72"/>
      <c r="U849" s="66"/>
    </row>
    <row r="850" spans="1:21" ht="18.75" customHeight="1" x14ac:dyDescent="0.2">
      <c r="A850" s="79"/>
      <c r="B850" s="79"/>
      <c r="C850" s="80"/>
      <c r="D850" s="66"/>
      <c r="E850" s="66" t="s">
        <v>38</v>
      </c>
      <c r="F850" s="66" t="s">
        <v>1181</v>
      </c>
      <c r="G850" s="66" t="s">
        <v>611</v>
      </c>
      <c r="H850" s="82" t="s">
        <v>349</v>
      </c>
      <c r="I850" s="115">
        <v>2.97</v>
      </c>
      <c r="J850" s="84"/>
      <c r="K850" s="91"/>
      <c r="L850" s="66"/>
      <c r="M850" s="66"/>
      <c r="N850" s="66"/>
      <c r="O850" s="66"/>
      <c r="P850" s="66"/>
      <c r="Q850" s="66"/>
      <c r="R850" s="72"/>
      <c r="T850" s="66"/>
      <c r="U850" s="66"/>
    </row>
    <row r="851" spans="1:21" ht="18.75" customHeight="1" x14ac:dyDescent="0.2">
      <c r="A851" s="79"/>
      <c r="B851" s="79"/>
      <c r="C851" s="80"/>
      <c r="D851" s="66"/>
      <c r="E851" s="86"/>
      <c r="F851" s="66"/>
      <c r="G851" s="66" t="s">
        <v>353</v>
      </c>
      <c r="H851" s="82"/>
      <c r="I851" s="87"/>
      <c r="J851" s="84"/>
      <c r="K851" s="91"/>
      <c r="L851" s="66"/>
      <c r="M851" s="66"/>
      <c r="N851" s="66"/>
      <c r="O851" s="66"/>
      <c r="P851" s="66"/>
      <c r="Q851" s="66"/>
      <c r="R851" s="72"/>
      <c r="T851" s="66"/>
      <c r="U851" s="66"/>
    </row>
    <row r="852" spans="1:21" ht="18.75" customHeight="1" x14ac:dyDescent="0.2">
      <c r="A852" s="70">
        <v>38963</v>
      </c>
      <c r="B852" s="70">
        <v>38977</v>
      </c>
      <c r="C852" s="71">
        <v>13705</v>
      </c>
      <c r="D852" s="72" t="s">
        <v>859</v>
      </c>
      <c r="E852" s="72" t="s">
        <v>21</v>
      </c>
      <c r="F852" s="72" t="s">
        <v>1182</v>
      </c>
      <c r="G852" s="72" t="s">
        <v>512</v>
      </c>
      <c r="H852" s="74" t="s">
        <v>349</v>
      </c>
      <c r="I852" s="107">
        <v>52.86</v>
      </c>
      <c r="J852" s="76"/>
      <c r="K852" s="76">
        <v>50.11</v>
      </c>
      <c r="L852" s="76"/>
      <c r="M852" s="70">
        <v>39083</v>
      </c>
      <c r="N852" s="146">
        <v>41820</v>
      </c>
      <c r="O852" s="92" t="s">
        <v>19</v>
      </c>
      <c r="P852" s="92" t="s">
        <v>860</v>
      </c>
      <c r="Q852" s="92" t="s">
        <v>861</v>
      </c>
      <c r="R852" s="72" t="s">
        <v>349</v>
      </c>
      <c r="S852" s="72" t="s">
        <v>1183</v>
      </c>
      <c r="U852" s="72"/>
    </row>
    <row r="853" spans="1:21" ht="18.75" customHeight="1" x14ac:dyDescent="0.2">
      <c r="A853" s="79"/>
      <c r="B853" s="79"/>
      <c r="C853" s="80"/>
      <c r="D853" s="66"/>
      <c r="E853" s="66" t="s">
        <v>19</v>
      </c>
      <c r="F853" s="66" t="s">
        <v>834</v>
      </c>
      <c r="G853" s="66" t="s">
        <v>512</v>
      </c>
      <c r="H853" s="82" t="s">
        <v>349</v>
      </c>
      <c r="I853" s="115">
        <v>47.14</v>
      </c>
      <c r="J853" s="84"/>
      <c r="K853" s="91"/>
      <c r="L853" s="66"/>
      <c r="M853" s="66"/>
      <c r="N853" s="66"/>
      <c r="O853" s="66"/>
      <c r="P853" s="66"/>
      <c r="Q853" s="66"/>
      <c r="R853" s="72"/>
      <c r="T853" s="66"/>
      <c r="U853" s="66"/>
    </row>
    <row r="854" spans="1:21" ht="18.75" customHeight="1" x14ac:dyDescent="0.2">
      <c r="A854" s="79"/>
      <c r="B854" s="79"/>
      <c r="C854" s="80"/>
      <c r="D854" s="66"/>
      <c r="E854" s="86"/>
      <c r="F854" s="66"/>
      <c r="G854" s="66" t="s">
        <v>353</v>
      </c>
      <c r="H854" s="82"/>
      <c r="I854" s="87"/>
      <c r="J854" s="84"/>
      <c r="K854" s="91"/>
      <c r="L854" s="66"/>
      <c r="M854" s="66"/>
      <c r="N854" s="66"/>
      <c r="O854" s="66"/>
      <c r="P854" s="66"/>
      <c r="Q854" s="66"/>
      <c r="R854" s="72"/>
      <c r="T854" s="66"/>
      <c r="U854" s="66"/>
    </row>
    <row r="855" spans="1:21" ht="18.75" customHeight="1" x14ac:dyDescent="0.2">
      <c r="A855" s="70">
        <v>38970</v>
      </c>
      <c r="B855" s="70">
        <v>38984</v>
      </c>
      <c r="C855" s="71">
        <v>14305</v>
      </c>
      <c r="D855" s="72" t="s">
        <v>687</v>
      </c>
      <c r="E855" s="72" t="s">
        <v>1184</v>
      </c>
      <c r="F855" s="72" t="s">
        <v>1184</v>
      </c>
      <c r="G855" s="72" t="s">
        <v>383</v>
      </c>
      <c r="H855" s="74" t="s">
        <v>349</v>
      </c>
      <c r="I855" s="107">
        <v>74</v>
      </c>
      <c r="J855" s="76"/>
      <c r="K855" s="76">
        <v>49.23</v>
      </c>
      <c r="L855" s="76"/>
      <c r="M855" s="70">
        <v>39022</v>
      </c>
      <c r="N855" s="89">
        <f>DATE(YEAR(M855)+8,MONTH(M855),DAY(M855)-1)</f>
        <v>41943</v>
      </c>
      <c r="O855" s="92" t="s">
        <v>19</v>
      </c>
      <c r="P855" s="92" t="s">
        <v>688</v>
      </c>
      <c r="Q855" s="92" t="s">
        <v>545</v>
      </c>
      <c r="R855" s="72" t="s">
        <v>349</v>
      </c>
      <c r="S855" s="72"/>
      <c r="T855" s="72"/>
      <c r="U855" s="72"/>
    </row>
    <row r="856" spans="1:21" ht="18.75" customHeight="1" x14ac:dyDescent="0.2">
      <c r="A856" s="79"/>
      <c r="B856" s="79"/>
      <c r="C856" s="80"/>
      <c r="D856" s="66"/>
      <c r="E856" s="66" t="s">
        <v>19</v>
      </c>
      <c r="F856" s="66" t="s">
        <v>1185</v>
      </c>
      <c r="G856" s="66" t="s">
        <v>407</v>
      </c>
      <c r="H856" s="82" t="s">
        <v>349</v>
      </c>
      <c r="I856" s="115">
        <v>26</v>
      </c>
      <c r="J856" s="84"/>
      <c r="K856" s="91"/>
      <c r="L856" s="66"/>
      <c r="M856" s="66"/>
      <c r="N856" s="66"/>
      <c r="O856" s="66"/>
      <c r="P856" s="66"/>
      <c r="Q856" s="66"/>
      <c r="R856" s="72"/>
      <c r="T856" s="66"/>
      <c r="U856" s="66"/>
    </row>
    <row r="857" spans="1:21" ht="18.75" customHeight="1" x14ac:dyDescent="0.2">
      <c r="A857" s="79"/>
      <c r="B857" s="79"/>
      <c r="C857" s="80"/>
      <c r="D857" s="66"/>
      <c r="E857" s="86"/>
      <c r="F857" s="66"/>
      <c r="G857" s="66" t="s">
        <v>353</v>
      </c>
      <c r="H857" s="82"/>
      <c r="I857" s="87"/>
      <c r="J857" s="84"/>
      <c r="K857" s="91"/>
      <c r="L857" s="66"/>
      <c r="M857" s="66"/>
      <c r="N857" s="66"/>
      <c r="O857" s="66"/>
      <c r="P857" s="66"/>
      <c r="Q857" s="66"/>
      <c r="R857" s="72"/>
      <c r="T857" s="66"/>
      <c r="U857" s="66"/>
    </row>
    <row r="858" spans="1:21" ht="18.75" customHeight="1" x14ac:dyDescent="0.2">
      <c r="A858" s="70">
        <v>38970</v>
      </c>
      <c r="B858" s="70">
        <v>38984</v>
      </c>
      <c r="C858" s="71">
        <v>34006</v>
      </c>
      <c r="D858" s="72" t="s">
        <v>804</v>
      </c>
      <c r="E858" s="72" t="s">
        <v>19</v>
      </c>
      <c r="F858" s="72" t="s">
        <v>422</v>
      </c>
      <c r="G858" s="72" t="s">
        <v>666</v>
      </c>
      <c r="H858" s="74" t="s">
        <v>349</v>
      </c>
      <c r="I858" s="107">
        <v>44.12</v>
      </c>
      <c r="J858" s="121">
        <v>53.77</v>
      </c>
      <c r="K858" s="76">
        <v>56.66</v>
      </c>
      <c r="L858" s="76">
        <v>50.73</v>
      </c>
      <c r="M858" s="70">
        <v>39083</v>
      </c>
      <c r="N858" s="89">
        <f>DATE(YEAR(M858)+8,MONTH(M858),DAY(M858)-1)</f>
        <v>42004</v>
      </c>
      <c r="O858" s="92" t="s">
        <v>19</v>
      </c>
      <c r="P858" s="92" t="s">
        <v>533</v>
      </c>
      <c r="Q858" s="92" t="s">
        <v>442</v>
      </c>
      <c r="R858" s="72" t="s">
        <v>349</v>
      </c>
      <c r="S858" s="72"/>
      <c r="T858" s="72"/>
      <c r="U858" s="72"/>
    </row>
    <row r="859" spans="1:21" ht="18.75" customHeight="1" x14ac:dyDescent="0.2">
      <c r="A859" s="79"/>
      <c r="B859" s="79"/>
      <c r="C859" s="80"/>
      <c r="D859" s="66"/>
      <c r="E859" s="66" t="s">
        <v>1144</v>
      </c>
      <c r="F859" s="66" t="s">
        <v>1186</v>
      </c>
      <c r="G859" s="66" t="s">
        <v>947</v>
      </c>
      <c r="H859" s="82" t="s">
        <v>349</v>
      </c>
      <c r="I859" s="115">
        <v>29.98</v>
      </c>
      <c r="J859" s="123">
        <v>46.23</v>
      </c>
      <c r="K859" s="91"/>
      <c r="L859" s="66"/>
      <c r="M859" s="66"/>
      <c r="N859" s="66"/>
      <c r="O859" s="66"/>
      <c r="P859" s="66"/>
      <c r="Q859" s="66"/>
      <c r="R859" s="72"/>
      <c r="T859" s="66"/>
      <c r="U859" s="66"/>
    </row>
    <row r="860" spans="1:21" ht="18.75" customHeight="1" x14ac:dyDescent="0.2">
      <c r="A860" s="79"/>
      <c r="B860" s="79"/>
      <c r="C860" s="80"/>
      <c r="D860" s="66"/>
      <c r="E860" s="66" t="s">
        <v>21</v>
      </c>
      <c r="F860" s="66" t="s">
        <v>1187</v>
      </c>
      <c r="G860" s="66" t="s">
        <v>1188</v>
      </c>
      <c r="H860" s="82" t="s">
        <v>349</v>
      </c>
      <c r="I860" s="115">
        <v>22.16</v>
      </c>
      <c r="J860" s="84"/>
      <c r="K860" s="91"/>
      <c r="L860" s="66"/>
      <c r="M860" s="66"/>
      <c r="N860" s="66"/>
      <c r="O860" s="66"/>
      <c r="P860" s="66"/>
      <c r="Q860" s="66"/>
      <c r="R860" s="72"/>
      <c r="T860" s="66"/>
      <c r="U860" s="66"/>
    </row>
    <row r="861" spans="1:21" ht="18.75" customHeight="1" x14ac:dyDescent="0.2">
      <c r="A861" s="79"/>
      <c r="B861" s="79"/>
      <c r="C861" s="80"/>
      <c r="D861" s="66"/>
      <c r="E861" s="66" t="s">
        <v>1189</v>
      </c>
      <c r="F861" s="66" t="s">
        <v>1189</v>
      </c>
      <c r="G861" s="66" t="s">
        <v>776</v>
      </c>
      <c r="H861" s="82" t="s">
        <v>349</v>
      </c>
      <c r="I861" s="115">
        <v>3.74</v>
      </c>
      <c r="J861" s="84"/>
      <c r="K861" s="91"/>
      <c r="L861" s="66"/>
      <c r="M861" s="66"/>
      <c r="N861" s="66"/>
      <c r="O861" s="66"/>
      <c r="P861" s="66"/>
      <c r="Q861" s="66"/>
      <c r="R861" s="72"/>
      <c r="T861" s="72"/>
      <c r="U861" s="66"/>
    </row>
    <row r="862" spans="1:21" ht="18.75" customHeight="1" x14ac:dyDescent="0.2">
      <c r="A862" s="79"/>
      <c r="B862" s="79"/>
      <c r="C862" s="80"/>
      <c r="D862" s="66"/>
      <c r="E862" s="86"/>
      <c r="F862" s="66"/>
      <c r="G862" s="66" t="s">
        <v>353</v>
      </c>
      <c r="H862" s="82"/>
      <c r="I862" s="87"/>
      <c r="J862" s="84"/>
      <c r="K862" s="91"/>
      <c r="L862" s="66"/>
      <c r="M862" s="66"/>
      <c r="N862" s="66"/>
      <c r="O862" s="66"/>
      <c r="P862" s="66"/>
      <c r="Q862" s="66"/>
      <c r="R862" s="72"/>
      <c r="T862" s="66"/>
      <c r="U862" s="66"/>
    </row>
    <row r="863" spans="1:21" ht="18.75" customHeight="1" x14ac:dyDescent="0.2">
      <c r="A863" s="70">
        <v>38977</v>
      </c>
      <c r="B863" s="70">
        <v>38991</v>
      </c>
      <c r="C863" s="71">
        <v>14003</v>
      </c>
      <c r="D863" s="72" t="s">
        <v>707</v>
      </c>
      <c r="E863" s="72" t="s">
        <v>1190</v>
      </c>
      <c r="F863" s="72" t="s">
        <v>1190</v>
      </c>
      <c r="G863" s="72" t="s">
        <v>1191</v>
      </c>
      <c r="H863" s="74" t="s">
        <v>419</v>
      </c>
      <c r="I863" s="107">
        <v>41.79</v>
      </c>
      <c r="J863" s="121">
        <v>65.86</v>
      </c>
      <c r="K863" s="76">
        <v>47.95</v>
      </c>
      <c r="L863" s="76">
        <v>42.38</v>
      </c>
      <c r="M863" s="70">
        <v>39083</v>
      </c>
      <c r="N863" s="146">
        <v>41820</v>
      </c>
      <c r="O863" s="92" t="s">
        <v>693</v>
      </c>
      <c r="P863" s="92" t="s">
        <v>693</v>
      </c>
      <c r="Q863" s="92" t="s">
        <v>708</v>
      </c>
      <c r="R863" s="72" t="s">
        <v>349</v>
      </c>
      <c r="S863" s="106" t="s">
        <v>1192</v>
      </c>
      <c r="T863" s="72"/>
      <c r="U863" s="72"/>
    </row>
    <row r="864" spans="1:21" ht="18.75" customHeight="1" x14ac:dyDescent="0.2">
      <c r="A864" s="79"/>
      <c r="B864" s="79"/>
      <c r="C864" s="80"/>
      <c r="D864" s="66"/>
      <c r="E864" s="66" t="s">
        <v>19</v>
      </c>
      <c r="F864" s="66" t="s">
        <v>1156</v>
      </c>
      <c r="G864" s="66" t="s">
        <v>547</v>
      </c>
      <c r="H864" s="82" t="s">
        <v>349</v>
      </c>
      <c r="I864" s="115">
        <v>33.85</v>
      </c>
      <c r="J864" s="123">
        <v>34.14</v>
      </c>
      <c r="K864" s="91"/>
      <c r="L864" s="66"/>
      <c r="M864" s="66"/>
      <c r="N864" s="66"/>
      <c r="O864" s="66"/>
      <c r="P864" s="66"/>
      <c r="Q864" s="66"/>
      <c r="R864" s="72"/>
      <c r="T864" s="66"/>
      <c r="U864" s="66"/>
    </row>
    <row r="865" spans="1:21" ht="18.75" customHeight="1" x14ac:dyDescent="0.2">
      <c r="A865" s="79"/>
      <c r="B865" s="79"/>
      <c r="C865" s="80"/>
      <c r="D865" s="66"/>
      <c r="E865" s="66" t="s">
        <v>21</v>
      </c>
      <c r="F865" s="66" t="s">
        <v>1193</v>
      </c>
      <c r="G865" s="66" t="s">
        <v>1194</v>
      </c>
      <c r="H865" s="82" t="s">
        <v>349</v>
      </c>
      <c r="I865" s="115">
        <v>24.37</v>
      </c>
      <c r="J865" s="84"/>
      <c r="K865" s="91"/>
      <c r="L865" s="66"/>
      <c r="M865" s="66"/>
      <c r="N865" s="66"/>
      <c r="O865" s="66"/>
      <c r="P865" s="66"/>
      <c r="Q865" s="66"/>
      <c r="R865" s="72"/>
      <c r="T865" s="66"/>
      <c r="U865" s="66"/>
    </row>
    <row r="866" spans="1:21" ht="18.75" customHeight="1" x14ac:dyDescent="0.2">
      <c r="A866" s="79"/>
      <c r="B866" s="79"/>
      <c r="C866" s="80"/>
      <c r="D866" s="66"/>
      <c r="E866" s="86"/>
      <c r="F866" s="66"/>
      <c r="G866" s="66" t="s">
        <v>353</v>
      </c>
      <c r="H866" s="82"/>
      <c r="I866" s="87"/>
      <c r="J866" s="84"/>
      <c r="K866" s="91"/>
      <c r="L866" s="66"/>
      <c r="M866" s="66"/>
      <c r="N866" s="66"/>
      <c r="O866" s="66"/>
      <c r="P866" s="66"/>
      <c r="Q866" s="66"/>
      <c r="R866" s="72"/>
      <c r="T866" s="66"/>
      <c r="U866" s="66"/>
    </row>
    <row r="867" spans="1:21" ht="18.75" customHeight="1" x14ac:dyDescent="0.2">
      <c r="A867" s="70">
        <v>38977</v>
      </c>
      <c r="B867" s="70">
        <v>38991</v>
      </c>
      <c r="C867" s="71">
        <v>33503</v>
      </c>
      <c r="D867" s="72" t="s">
        <v>729</v>
      </c>
      <c r="E867" s="72" t="s">
        <v>19</v>
      </c>
      <c r="F867" s="72" t="s">
        <v>730</v>
      </c>
      <c r="G867" s="72" t="s">
        <v>550</v>
      </c>
      <c r="H867" s="74" t="s">
        <v>349</v>
      </c>
      <c r="I867" s="107">
        <v>56.98</v>
      </c>
      <c r="J867" s="76"/>
      <c r="K867" s="76">
        <v>55.23</v>
      </c>
      <c r="L867" s="76"/>
      <c r="M867" s="70">
        <v>39173</v>
      </c>
      <c r="N867" s="146">
        <v>41820</v>
      </c>
      <c r="O867" s="73" t="s">
        <v>19</v>
      </c>
      <c r="P867" s="73" t="s">
        <v>730</v>
      </c>
      <c r="Q867" s="73" t="s">
        <v>550</v>
      </c>
      <c r="R867" s="72" t="s">
        <v>349</v>
      </c>
      <c r="S867" s="72" t="s">
        <v>1195</v>
      </c>
      <c r="T867" s="72"/>
      <c r="U867" s="72"/>
    </row>
    <row r="868" spans="1:21" ht="18.75" customHeight="1" x14ac:dyDescent="0.2">
      <c r="A868" s="79"/>
      <c r="B868" s="79"/>
      <c r="C868" s="80"/>
      <c r="D868" s="66"/>
      <c r="E868" s="66" t="s">
        <v>21</v>
      </c>
      <c r="F868" s="66" t="s">
        <v>1196</v>
      </c>
      <c r="G868" s="66" t="s">
        <v>710</v>
      </c>
      <c r="H868" s="82" t="s">
        <v>349</v>
      </c>
      <c r="I868" s="115">
        <v>43.02</v>
      </c>
      <c r="J868" s="84"/>
      <c r="K868" s="91"/>
      <c r="L868" s="66"/>
      <c r="M868" s="66"/>
      <c r="N868" s="66"/>
      <c r="O868" s="66"/>
      <c r="P868" s="66"/>
      <c r="Q868" s="66"/>
      <c r="R868" s="72"/>
      <c r="T868" s="66"/>
      <c r="U868" s="66"/>
    </row>
    <row r="869" spans="1:21" ht="18.75" customHeight="1" x14ac:dyDescent="0.2">
      <c r="A869" s="79"/>
      <c r="B869" s="79"/>
      <c r="C869" s="80"/>
      <c r="D869" s="66"/>
      <c r="E869" s="86"/>
      <c r="F869" s="66"/>
      <c r="G869" s="66" t="s">
        <v>353</v>
      </c>
      <c r="H869" s="82"/>
      <c r="I869" s="87"/>
      <c r="J869" s="84"/>
      <c r="K869" s="91"/>
      <c r="L869" s="66"/>
      <c r="M869" s="66"/>
      <c r="N869" s="66"/>
      <c r="O869" s="66"/>
      <c r="P869" s="66"/>
      <c r="Q869" s="66"/>
      <c r="R869" s="72"/>
      <c r="T869" s="66"/>
      <c r="U869" s="66"/>
    </row>
    <row r="870" spans="1:21" ht="18.75" customHeight="1" x14ac:dyDescent="0.2">
      <c r="A870" s="70">
        <v>39019</v>
      </c>
      <c r="B870" s="70">
        <v>39033</v>
      </c>
      <c r="C870" s="71">
        <v>13707</v>
      </c>
      <c r="D870" s="72" t="s">
        <v>698</v>
      </c>
      <c r="E870" s="72" t="s">
        <v>1197</v>
      </c>
      <c r="F870" s="72" t="s">
        <v>699</v>
      </c>
      <c r="G870" s="72" t="s">
        <v>700</v>
      </c>
      <c r="H870" s="74" t="s">
        <v>349</v>
      </c>
      <c r="I870" s="107">
        <v>67.7</v>
      </c>
      <c r="J870" s="76"/>
      <c r="K870" s="76">
        <v>53.4</v>
      </c>
      <c r="L870" s="76"/>
      <c r="M870" s="70">
        <v>39218</v>
      </c>
      <c r="N870" s="89">
        <f>DATE(YEAR(M870)+8,MONTH(M870),DAY(M870)-1)</f>
        <v>42139</v>
      </c>
      <c r="O870" s="72"/>
      <c r="P870" s="72"/>
      <c r="Q870" s="72"/>
      <c r="R870" s="72"/>
      <c r="S870" s="145"/>
      <c r="T870" s="72"/>
      <c r="U870" s="76"/>
    </row>
    <row r="871" spans="1:21" ht="18.75" customHeight="1" x14ac:dyDescent="0.2">
      <c r="A871" s="79"/>
      <c r="B871" s="79"/>
      <c r="C871" s="80"/>
      <c r="D871" s="66"/>
      <c r="E871" s="66" t="s">
        <v>19</v>
      </c>
      <c r="F871" s="66" t="s">
        <v>1198</v>
      </c>
      <c r="G871" s="66" t="s">
        <v>562</v>
      </c>
      <c r="H871" s="82" t="s">
        <v>349</v>
      </c>
      <c r="I871" s="115">
        <v>32.299999999999997</v>
      </c>
      <c r="J871" s="84"/>
      <c r="K871" s="91"/>
      <c r="L871" s="66"/>
      <c r="M871" s="66"/>
      <c r="N871" s="66"/>
      <c r="O871" s="66"/>
      <c r="P871" s="66"/>
      <c r="Q871" s="66"/>
      <c r="R871" s="72"/>
      <c r="T871" s="66"/>
      <c r="U871" s="66"/>
    </row>
    <row r="872" spans="1:21" ht="18.75" customHeight="1" x14ac:dyDescent="0.2">
      <c r="A872" s="79"/>
      <c r="B872" s="79"/>
      <c r="C872" s="80"/>
      <c r="D872" s="66"/>
      <c r="E872" s="86"/>
      <c r="F872" s="66"/>
      <c r="G872" s="66" t="s">
        <v>353</v>
      </c>
      <c r="H872" s="82"/>
      <c r="I872" s="87"/>
      <c r="J872" s="84"/>
      <c r="K872" s="91"/>
      <c r="L872" s="66"/>
      <c r="M872" s="66"/>
      <c r="N872" s="66"/>
      <c r="O872" s="66"/>
      <c r="P872" s="66"/>
      <c r="Q872" s="66"/>
      <c r="R872" s="72"/>
      <c r="T872" s="66"/>
      <c r="U872" s="66"/>
    </row>
    <row r="873" spans="1:21" ht="18.75" customHeight="1" x14ac:dyDescent="0.2">
      <c r="A873" s="70">
        <v>39019</v>
      </c>
      <c r="B873" s="70">
        <v>39033</v>
      </c>
      <c r="C873" s="71">
        <v>23106</v>
      </c>
      <c r="D873" s="72" t="s">
        <v>739</v>
      </c>
      <c r="E873" s="72" t="s">
        <v>740</v>
      </c>
      <c r="F873" s="72" t="s">
        <v>740</v>
      </c>
      <c r="G873" s="72" t="s">
        <v>741</v>
      </c>
      <c r="H873" s="74" t="s">
        <v>349</v>
      </c>
      <c r="I873" s="107">
        <v>86.42</v>
      </c>
      <c r="J873" s="76"/>
      <c r="K873" s="76">
        <v>59.9</v>
      </c>
      <c r="L873" s="76"/>
      <c r="M873" s="70">
        <v>39264</v>
      </c>
      <c r="N873" s="68">
        <v>41401</v>
      </c>
      <c r="O873" s="92" t="s">
        <v>740</v>
      </c>
      <c r="P873" s="92" t="s">
        <v>740</v>
      </c>
      <c r="Q873" s="92" t="s">
        <v>741</v>
      </c>
      <c r="R873" s="72" t="s">
        <v>349</v>
      </c>
      <c r="S873" s="111"/>
      <c r="T873" s="72"/>
      <c r="U873" s="72"/>
    </row>
    <row r="874" spans="1:21" ht="18.75" customHeight="1" x14ac:dyDescent="0.2">
      <c r="A874" s="79"/>
      <c r="B874" s="79"/>
      <c r="C874" s="80"/>
      <c r="D874" s="66"/>
      <c r="E874" s="66" t="s">
        <v>1199</v>
      </c>
      <c r="F874" s="66" t="s">
        <v>1199</v>
      </c>
      <c r="G874" s="66" t="s">
        <v>1200</v>
      </c>
      <c r="H874" s="82" t="s">
        <v>349</v>
      </c>
      <c r="I874" s="115">
        <v>13.58</v>
      </c>
      <c r="J874" s="84"/>
      <c r="K874" s="91"/>
      <c r="L874" s="66"/>
      <c r="M874" s="66"/>
      <c r="N874" s="66"/>
      <c r="O874" s="66"/>
      <c r="P874" s="66"/>
      <c r="Q874" s="66"/>
      <c r="R874" s="72"/>
      <c r="T874" s="72"/>
      <c r="U874" s="66"/>
    </row>
    <row r="875" spans="1:21" ht="18.75" customHeight="1" x14ac:dyDescent="0.2">
      <c r="A875" s="79"/>
      <c r="B875" s="79"/>
      <c r="C875" s="80"/>
      <c r="D875" s="66"/>
      <c r="E875" s="86"/>
      <c r="F875" s="66"/>
      <c r="G875" s="66" t="s">
        <v>353</v>
      </c>
      <c r="H875" s="82"/>
      <c r="I875" s="87"/>
      <c r="J875" s="84"/>
      <c r="K875" s="91"/>
      <c r="L875" s="66"/>
      <c r="M875" s="66"/>
      <c r="N875" s="66"/>
      <c r="O875" s="66"/>
      <c r="P875" s="66"/>
      <c r="Q875" s="66"/>
      <c r="R875" s="72"/>
      <c r="T875" s="66"/>
      <c r="U875" s="66"/>
    </row>
    <row r="876" spans="1:21" ht="18.75" customHeight="1" x14ac:dyDescent="0.2">
      <c r="A876" s="70">
        <v>39033</v>
      </c>
      <c r="B876" s="70">
        <v>39047</v>
      </c>
      <c r="C876" s="71">
        <v>14004</v>
      </c>
      <c r="D876" s="72" t="s">
        <v>767</v>
      </c>
      <c r="E876" s="72" t="s">
        <v>19</v>
      </c>
      <c r="F876" s="72" t="s">
        <v>1201</v>
      </c>
      <c r="G876" s="72" t="s">
        <v>591</v>
      </c>
      <c r="H876" s="74" t="s">
        <v>349</v>
      </c>
      <c r="I876" s="107">
        <v>35.630000000000003</v>
      </c>
      <c r="J876" s="121">
        <v>52.8</v>
      </c>
      <c r="K876" s="76">
        <v>43.59</v>
      </c>
      <c r="L876" s="76">
        <v>43.92</v>
      </c>
      <c r="M876" s="70">
        <v>39142</v>
      </c>
      <c r="N876" s="89">
        <f>DATE(YEAR(M876)+8,MONTH(M876),DAY(M876)-1)</f>
        <v>42063</v>
      </c>
      <c r="O876" s="92" t="s">
        <v>768</v>
      </c>
      <c r="P876" s="92" t="s">
        <v>768</v>
      </c>
      <c r="Q876" s="92" t="s">
        <v>769</v>
      </c>
      <c r="R876" s="72" t="s">
        <v>349</v>
      </c>
      <c r="S876" s="111"/>
      <c r="T876" s="72"/>
      <c r="U876" s="72"/>
    </row>
    <row r="877" spans="1:21" ht="18.75" customHeight="1" x14ac:dyDescent="0.2">
      <c r="A877" s="79"/>
      <c r="B877" s="79"/>
      <c r="C877" s="80"/>
      <c r="D877" s="66"/>
      <c r="E877" s="66" t="s">
        <v>21</v>
      </c>
      <c r="F877" s="66" t="s">
        <v>1113</v>
      </c>
      <c r="G877" s="66" t="s">
        <v>358</v>
      </c>
      <c r="H877" s="82" t="s">
        <v>349</v>
      </c>
      <c r="I877" s="115">
        <v>35.29</v>
      </c>
      <c r="J877" s="123">
        <v>47.2</v>
      </c>
      <c r="K877" s="91"/>
      <c r="L877" s="66"/>
      <c r="M877" s="66"/>
      <c r="N877" s="66"/>
      <c r="O877" s="66"/>
      <c r="P877" s="66"/>
      <c r="Q877" s="66"/>
      <c r="R877" s="72"/>
      <c r="T877" s="66"/>
      <c r="U877" s="66"/>
    </row>
    <row r="878" spans="1:21" ht="18.75" customHeight="1" x14ac:dyDescent="0.2">
      <c r="A878" s="79"/>
      <c r="B878" s="79"/>
      <c r="C878" s="80"/>
      <c r="D878" s="66"/>
      <c r="E878" s="66" t="s">
        <v>1202</v>
      </c>
      <c r="F878" s="66" t="s">
        <v>1202</v>
      </c>
      <c r="G878" s="66" t="s">
        <v>381</v>
      </c>
      <c r="H878" s="82" t="s">
        <v>349</v>
      </c>
      <c r="I878" s="115">
        <v>11.7</v>
      </c>
      <c r="J878" s="84"/>
      <c r="K878" s="91"/>
      <c r="L878" s="66"/>
      <c r="M878" s="66"/>
      <c r="N878" s="66"/>
      <c r="O878" s="66"/>
      <c r="P878" s="66"/>
      <c r="Q878" s="66"/>
      <c r="R878" s="72"/>
      <c r="T878" s="72"/>
      <c r="U878" s="66"/>
    </row>
    <row r="879" spans="1:21" ht="18.75" customHeight="1" x14ac:dyDescent="0.2">
      <c r="A879" s="79"/>
      <c r="B879" s="79"/>
      <c r="C879" s="80"/>
      <c r="D879" s="66"/>
      <c r="E879" s="66" t="s">
        <v>1203</v>
      </c>
      <c r="F879" s="66" t="s">
        <v>1203</v>
      </c>
      <c r="G879" s="66" t="s">
        <v>637</v>
      </c>
      <c r="H879" s="82" t="s">
        <v>349</v>
      </c>
      <c r="I879" s="115">
        <v>10.4</v>
      </c>
      <c r="J879" s="84"/>
      <c r="K879" s="91"/>
      <c r="L879" s="66"/>
      <c r="M879" s="66"/>
      <c r="N879" s="66"/>
      <c r="O879" s="66"/>
      <c r="P879" s="66"/>
      <c r="Q879" s="66"/>
      <c r="R879" s="72"/>
      <c r="T879" s="72"/>
      <c r="U879" s="66"/>
    </row>
    <row r="880" spans="1:21" ht="18.75" customHeight="1" x14ac:dyDescent="0.2">
      <c r="A880" s="79"/>
      <c r="B880" s="79"/>
      <c r="C880" s="80"/>
      <c r="D880" s="66"/>
      <c r="E880" s="66" t="s">
        <v>38</v>
      </c>
      <c r="F880" s="66" t="s">
        <v>1204</v>
      </c>
      <c r="G880" s="66" t="s">
        <v>348</v>
      </c>
      <c r="H880" s="82" t="s">
        <v>349</v>
      </c>
      <c r="I880" s="115">
        <v>6.98</v>
      </c>
      <c r="J880" s="84"/>
      <c r="K880" s="91"/>
      <c r="L880" s="66"/>
      <c r="M880" s="66"/>
      <c r="N880" s="66"/>
      <c r="O880" s="66"/>
      <c r="P880" s="66"/>
      <c r="Q880" s="66"/>
      <c r="R880" s="72"/>
      <c r="T880" s="66"/>
      <c r="U880" s="66"/>
    </row>
    <row r="881" spans="1:21" ht="18.75" customHeight="1" x14ac:dyDescent="0.2">
      <c r="A881" s="79"/>
      <c r="B881" s="79"/>
      <c r="C881" s="80"/>
      <c r="D881" s="66"/>
      <c r="E881" s="86"/>
      <c r="F881" s="66"/>
      <c r="G881" s="66" t="s">
        <v>353</v>
      </c>
      <c r="H881" s="82"/>
      <c r="I881" s="87"/>
      <c r="J881" s="84"/>
      <c r="K881" s="91"/>
      <c r="L881" s="66"/>
      <c r="M881" s="66"/>
      <c r="N881" s="66"/>
      <c r="O881" s="66"/>
      <c r="P881" s="66"/>
      <c r="Q881" s="66"/>
      <c r="R881" s="72"/>
      <c r="T881" s="66"/>
      <c r="U881" s="66"/>
    </row>
    <row r="882" spans="1:21" ht="18.75" customHeight="1" x14ac:dyDescent="0.2">
      <c r="A882" s="70">
        <v>39033</v>
      </c>
      <c r="B882" s="70">
        <v>39047</v>
      </c>
      <c r="C882" s="71">
        <v>33206</v>
      </c>
      <c r="D882" s="72" t="s">
        <v>724</v>
      </c>
      <c r="E882" s="72" t="s">
        <v>1205</v>
      </c>
      <c r="F882" s="72" t="s">
        <v>1205</v>
      </c>
      <c r="G882" s="72" t="s">
        <v>702</v>
      </c>
      <c r="H882" s="74" t="s">
        <v>349</v>
      </c>
      <c r="I882" s="107">
        <v>34.520000000000003</v>
      </c>
      <c r="J882" s="121">
        <v>56.79</v>
      </c>
      <c r="K882" s="76">
        <v>60.04</v>
      </c>
      <c r="L882" s="76">
        <v>56.19</v>
      </c>
      <c r="M882" s="70">
        <v>39203</v>
      </c>
      <c r="N882" s="89">
        <f>DATE(YEAR(M882)+8,MONTH(M882),DAY(M882)-1)</f>
        <v>42124</v>
      </c>
      <c r="O882" s="73" t="s">
        <v>21</v>
      </c>
      <c r="P882" s="73" t="s">
        <v>725</v>
      </c>
      <c r="Q882" s="73" t="s">
        <v>358</v>
      </c>
      <c r="R882" s="72" t="s">
        <v>349</v>
      </c>
      <c r="S882" s="72"/>
      <c r="T882" s="72"/>
      <c r="U882" s="72"/>
    </row>
    <row r="883" spans="1:21" ht="18.75" customHeight="1" x14ac:dyDescent="0.2">
      <c r="A883" s="79"/>
      <c r="B883" s="79"/>
      <c r="C883" s="80"/>
      <c r="D883" s="66"/>
      <c r="E883" s="66" t="s">
        <v>21</v>
      </c>
      <c r="F883" s="66" t="s">
        <v>1206</v>
      </c>
      <c r="G883" s="66" t="s">
        <v>562</v>
      </c>
      <c r="H883" s="82" t="s">
        <v>349</v>
      </c>
      <c r="I883" s="115">
        <v>33.92</v>
      </c>
      <c r="J883" s="123">
        <v>43.21</v>
      </c>
      <c r="K883" s="91"/>
      <c r="L883" s="66"/>
      <c r="M883" s="66"/>
      <c r="N883" s="66"/>
      <c r="O883" s="66"/>
      <c r="P883" s="66"/>
      <c r="Q883" s="66"/>
      <c r="R883" s="72"/>
      <c r="T883" s="66"/>
      <c r="U883" s="66"/>
    </row>
    <row r="884" spans="1:21" ht="18.75" customHeight="1" x14ac:dyDescent="0.2">
      <c r="A884" s="79"/>
      <c r="B884" s="79"/>
      <c r="C884" s="80"/>
      <c r="D884" s="66"/>
      <c r="E884" s="66" t="s">
        <v>19</v>
      </c>
      <c r="F884" s="66" t="s">
        <v>1207</v>
      </c>
      <c r="G884" s="66" t="s">
        <v>1208</v>
      </c>
      <c r="H884" s="82" t="s">
        <v>349</v>
      </c>
      <c r="I884" s="115">
        <v>27.14</v>
      </c>
      <c r="J884" s="84"/>
      <c r="K884" s="91"/>
      <c r="L884" s="66"/>
      <c r="M884" s="66"/>
      <c r="N884" s="66"/>
      <c r="O884" s="66"/>
      <c r="P884" s="66"/>
      <c r="Q884" s="66"/>
      <c r="R884" s="72"/>
      <c r="T884" s="66"/>
      <c r="U884" s="66"/>
    </row>
    <row r="885" spans="1:21" ht="18.75" customHeight="1" x14ac:dyDescent="0.2">
      <c r="A885" s="79"/>
      <c r="B885" s="79"/>
      <c r="C885" s="80"/>
      <c r="D885" s="66"/>
      <c r="E885" s="66" t="s">
        <v>1209</v>
      </c>
      <c r="F885" s="66" t="s">
        <v>1209</v>
      </c>
      <c r="G885" s="66" t="s">
        <v>1188</v>
      </c>
      <c r="H885" s="82" t="s">
        <v>349</v>
      </c>
      <c r="I885" s="115">
        <v>4.43</v>
      </c>
      <c r="J885" s="84"/>
      <c r="K885" s="91"/>
      <c r="L885" s="66"/>
      <c r="M885" s="66"/>
      <c r="N885" s="66"/>
      <c r="O885" s="66"/>
      <c r="P885" s="66"/>
      <c r="Q885" s="66"/>
      <c r="R885" s="72"/>
      <c r="T885" s="72"/>
      <c r="U885" s="66"/>
    </row>
    <row r="886" spans="1:21" ht="18.75" customHeight="1" x14ac:dyDescent="0.2">
      <c r="A886" s="79"/>
      <c r="B886" s="79"/>
      <c r="C886" s="80"/>
      <c r="D886" s="66"/>
      <c r="E886" s="86"/>
      <c r="F886" s="66"/>
      <c r="G886" s="66" t="s">
        <v>353</v>
      </c>
      <c r="H886" s="82"/>
      <c r="I886" s="87"/>
      <c r="J886" s="84"/>
      <c r="K886" s="91"/>
      <c r="L886" s="66"/>
      <c r="M886" s="66"/>
      <c r="N886" s="66"/>
      <c r="O886" s="66"/>
      <c r="P886" s="66"/>
      <c r="Q886" s="66"/>
      <c r="R886" s="72"/>
      <c r="T886" s="66"/>
      <c r="U886" s="66"/>
    </row>
    <row r="887" spans="1:21" ht="18.75" customHeight="1" x14ac:dyDescent="0.2">
      <c r="A887" s="70">
        <v>39033</v>
      </c>
      <c r="B887" s="70">
        <v>39047</v>
      </c>
      <c r="C887" s="71">
        <v>34002</v>
      </c>
      <c r="D887" s="72" t="s">
        <v>1210</v>
      </c>
      <c r="E887" s="72" t="s">
        <v>19</v>
      </c>
      <c r="F887" s="72" t="s">
        <v>1211</v>
      </c>
      <c r="G887" s="72" t="s">
        <v>371</v>
      </c>
      <c r="H887" s="74" t="s">
        <v>349</v>
      </c>
      <c r="I887" s="107">
        <v>39.64</v>
      </c>
      <c r="J887" s="121">
        <v>53.16</v>
      </c>
      <c r="K887" s="76">
        <v>48.64</v>
      </c>
      <c r="L887" s="76">
        <v>49.81</v>
      </c>
      <c r="M887" s="70">
        <v>39173</v>
      </c>
      <c r="N887" s="89">
        <f>DATE(YEAR(M887)+8,MONTH(M887),DAY(M887)-1)</f>
        <v>42094</v>
      </c>
      <c r="O887" s="92" t="s">
        <v>21</v>
      </c>
      <c r="P887" s="92" t="s">
        <v>733</v>
      </c>
      <c r="Q887" s="92" t="s">
        <v>734</v>
      </c>
      <c r="R887" s="72" t="s">
        <v>349</v>
      </c>
      <c r="S887" s="72"/>
      <c r="T887" s="72"/>
      <c r="U887" s="72"/>
    </row>
    <row r="888" spans="1:21" ht="18.75" customHeight="1" x14ac:dyDescent="0.2">
      <c r="A888" s="79"/>
      <c r="B888" s="79"/>
      <c r="C888" s="80"/>
      <c r="D888" s="66"/>
      <c r="E888" s="66" t="s">
        <v>1212</v>
      </c>
      <c r="F888" s="66" t="s">
        <v>1212</v>
      </c>
      <c r="G888" s="66" t="s">
        <v>1213</v>
      </c>
      <c r="H888" s="82" t="s">
        <v>419</v>
      </c>
      <c r="I888" s="115">
        <v>29.58</v>
      </c>
      <c r="J888" s="123">
        <v>46.84</v>
      </c>
      <c r="K888" s="91"/>
      <c r="L888" s="66"/>
      <c r="M888" s="66"/>
      <c r="N888" s="66"/>
      <c r="O888" s="66"/>
      <c r="P888" s="66"/>
      <c r="Q888" s="66"/>
      <c r="R888" s="72"/>
      <c r="T888" s="72"/>
      <c r="U888" s="66"/>
    </row>
    <row r="889" spans="1:21" ht="18.75" customHeight="1" x14ac:dyDescent="0.2">
      <c r="A889" s="79"/>
      <c r="B889" s="79"/>
      <c r="C889" s="80"/>
      <c r="D889" s="66"/>
      <c r="E889" s="66" t="s">
        <v>21</v>
      </c>
      <c r="F889" s="66" t="s">
        <v>1214</v>
      </c>
      <c r="G889" s="66" t="s">
        <v>1215</v>
      </c>
      <c r="H889" s="82" t="s">
        <v>349</v>
      </c>
      <c r="I889" s="115">
        <v>16.45</v>
      </c>
      <c r="J889" s="84"/>
      <c r="K889" s="91"/>
      <c r="L889" s="66"/>
      <c r="M889" s="66"/>
      <c r="N889" s="66"/>
      <c r="O889" s="66"/>
      <c r="P889" s="66"/>
      <c r="Q889" s="66"/>
      <c r="R889" s="72"/>
      <c r="T889" s="66"/>
      <c r="U889" s="66"/>
    </row>
    <row r="890" spans="1:21" ht="18.75" customHeight="1" x14ac:dyDescent="0.2">
      <c r="A890" s="79"/>
      <c r="B890" s="79"/>
      <c r="C890" s="80"/>
      <c r="D890" s="66"/>
      <c r="E890" s="66" t="s">
        <v>1216</v>
      </c>
      <c r="F890" s="66" t="s">
        <v>1216</v>
      </c>
      <c r="G890" s="66" t="s">
        <v>360</v>
      </c>
      <c r="H890" s="82" t="s">
        <v>349</v>
      </c>
      <c r="I890" s="115">
        <v>14.34</v>
      </c>
      <c r="J890" s="84"/>
      <c r="K890" s="91"/>
      <c r="L890" s="66"/>
      <c r="M890" s="66"/>
      <c r="N890" s="66"/>
      <c r="O890" s="66"/>
      <c r="P890" s="66"/>
      <c r="Q890" s="66"/>
      <c r="R890" s="72"/>
      <c r="T890" s="72"/>
      <c r="U890" s="66"/>
    </row>
    <row r="891" spans="1:21" ht="18.75" customHeight="1" x14ac:dyDescent="0.2">
      <c r="A891" s="79"/>
      <c r="B891" s="79"/>
      <c r="C891" s="80"/>
      <c r="D891" s="66"/>
      <c r="E891" s="86"/>
      <c r="F891" s="66"/>
      <c r="G891" s="66" t="s">
        <v>353</v>
      </c>
      <c r="H891" s="82"/>
      <c r="I891" s="87"/>
      <c r="J891" s="84"/>
      <c r="K891" s="91"/>
      <c r="L891" s="66"/>
      <c r="M891" s="66"/>
      <c r="N891" s="66"/>
      <c r="O891" s="66"/>
      <c r="P891" s="66"/>
      <c r="Q891" s="66"/>
      <c r="R891" s="72"/>
      <c r="T891" s="66"/>
      <c r="U891" s="66"/>
    </row>
    <row r="892" spans="1:21" ht="18.75" customHeight="1" x14ac:dyDescent="0.2">
      <c r="A892" s="70">
        <v>39040</v>
      </c>
      <c r="B892" s="70">
        <v>39054</v>
      </c>
      <c r="C892" s="71">
        <v>14103</v>
      </c>
      <c r="D892" s="72" t="s">
        <v>709</v>
      </c>
      <c r="E892" s="72" t="s">
        <v>367</v>
      </c>
      <c r="F892" s="72" t="s">
        <v>367</v>
      </c>
      <c r="G892" s="72" t="s">
        <v>710</v>
      </c>
      <c r="H892" s="74" t="s">
        <v>349</v>
      </c>
      <c r="I892" s="107">
        <v>81.16</v>
      </c>
      <c r="J892" s="76"/>
      <c r="K892" s="76">
        <v>17.829999999999998</v>
      </c>
      <c r="L892" s="76"/>
      <c r="M892" s="70">
        <v>39234</v>
      </c>
      <c r="N892" s="89">
        <f>DATE(YEAR(M892)+8,MONTH(M892),DAY(M892)-1)</f>
        <v>42155</v>
      </c>
      <c r="O892" s="92" t="s">
        <v>21</v>
      </c>
      <c r="P892" s="92" t="s">
        <v>367</v>
      </c>
      <c r="Q892" s="92" t="s">
        <v>710</v>
      </c>
      <c r="R892" s="72" t="s">
        <v>349</v>
      </c>
      <c r="S892" s="72"/>
      <c r="T892" s="72"/>
      <c r="U892" s="72"/>
    </row>
    <row r="893" spans="1:21" ht="18.75" customHeight="1" x14ac:dyDescent="0.2">
      <c r="A893" s="79"/>
      <c r="B893" s="79"/>
      <c r="C893" s="80"/>
      <c r="D893" s="66"/>
      <c r="E893" s="86"/>
      <c r="F893" s="66"/>
      <c r="G893" s="66" t="s">
        <v>353</v>
      </c>
      <c r="H893" s="82"/>
      <c r="I893" s="87"/>
      <c r="J893" s="84"/>
      <c r="K893" s="91"/>
      <c r="L893" s="66"/>
      <c r="M893" s="66"/>
      <c r="N893" s="66"/>
      <c r="O893" s="66"/>
      <c r="P893" s="66"/>
      <c r="Q893" s="66"/>
      <c r="R893" s="72"/>
      <c r="T893" s="66"/>
      <c r="U893" s="66"/>
    </row>
    <row r="894" spans="1:21" ht="18.75" customHeight="1" x14ac:dyDescent="0.2">
      <c r="A894" s="70">
        <v>39047</v>
      </c>
      <c r="B894" s="70">
        <v>39061</v>
      </c>
      <c r="C894" s="71">
        <v>13202</v>
      </c>
      <c r="D894" s="72" t="s">
        <v>689</v>
      </c>
      <c r="E894" s="72" t="s">
        <v>21</v>
      </c>
      <c r="F894" s="72" t="s">
        <v>1217</v>
      </c>
      <c r="G894" s="72" t="s">
        <v>444</v>
      </c>
      <c r="H894" s="74" t="s">
        <v>349</v>
      </c>
      <c r="I894" s="107">
        <v>65.540000000000006</v>
      </c>
      <c r="J894" s="76"/>
      <c r="K894" s="76">
        <v>45.93</v>
      </c>
      <c r="L894" s="76"/>
      <c r="M894" s="70">
        <v>39093</v>
      </c>
      <c r="N894" s="89">
        <f>DATE(YEAR(M894)+8,MONTH(M894),DAY(M894)-1)</f>
        <v>42014</v>
      </c>
      <c r="O894" s="92" t="s">
        <v>19</v>
      </c>
      <c r="P894" s="92" t="s">
        <v>690</v>
      </c>
      <c r="Q894" s="92" t="s">
        <v>383</v>
      </c>
      <c r="R894" s="72" t="s">
        <v>349</v>
      </c>
      <c r="S894" s="72"/>
      <c r="T894" s="72"/>
      <c r="U894" s="72"/>
    </row>
    <row r="895" spans="1:21" ht="18.75" customHeight="1" x14ac:dyDescent="0.2">
      <c r="A895" s="79"/>
      <c r="B895" s="79"/>
      <c r="C895" s="80"/>
      <c r="D895" s="66"/>
      <c r="E895" s="66" t="s">
        <v>19</v>
      </c>
      <c r="F895" s="66" t="s">
        <v>1218</v>
      </c>
      <c r="G895" s="66" t="s">
        <v>1219</v>
      </c>
      <c r="H895" s="82" t="s">
        <v>349</v>
      </c>
      <c r="I895" s="115">
        <v>34.46</v>
      </c>
      <c r="J895" s="84"/>
      <c r="K895" s="91"/>
      <c r="L895" s="66"/>
      <c r="M895" s="66"/>
      <c r="N895" s="66"/>
      <c r="O895" s="66"/>
      <c r="P895" s="66"/>
      <c r="Q895" s="66"/>
      <c r="R895" s="72"/>
      <c r="T895" s="66"/>
      <c r="U895" s="66"/>
    </row>
    <row r="896" spans="1:21" ht="18.75" customHeight="1" x14ac:dyDescent="0.2">
      <c r="A896" s="79"/>
      <c r="B896" s="79"/>
      <c r="C896" s="80"/>
      <c r="D896" s="66"/>
      <c r="E896" s="86"/>
      <c r="F896" s="66"/>
      <c r="G896" s="66" t="s">
        <v>353</v>
      </c>
      <c r="H896" s="82"/>
      <c r="I896" s="87"/>
      <c r="J896" s="84"/>
      <c r="K896" s="91"/>
      <c r="L896" s="66"/>
      <c r="M896" s="66"/>
      <c r="N896" s="66"/>
      <c r="O896" s="66"/>
      <c r="P896" s="66"/>
      <c r="Q896" s="66"/>
      <c r="R896" s="72"/>
      <c r="T896" s="66"/>
      <c r="U896" s="66"/>
    </row>
    <row r="897" spans="1:21" ht="18.75" customHeight="1" x14ac:dyDescent="0.2">
      <c r="A897" s="70">
        <v>39047</v>
      </c>
      <c r="B897" s="70">
        <v>39061</v>
      </c>
      <c r="C897" s="71">
        <v>33901</v>
      </c>
      <c r="D897" s="72" t="s">
        <v>498</v>
      </c>
      <c r="E897" s="72" t="s">
        <v>1220</v>
      </c>
      <c r="F897" s="72" t="s">
        <v>1220</v>
      </c>
      <c r="G897" s="72" t="s">
        <v>376</v>
      </c>
      <c r="H897" s="74" t="s">
        <v>349</v>
      </c>
      <c r="I897" s="107">
        <v>55.3</v>
      </c>
      <c r="J897" s="76"/>
      <c r="K897" s="76">
        <v>52.46</v>
      </c>
      <c r="L897" s="76"/>
      <c r="M897" s="70">
        <v>39234</v>
      </c>
      <c r="N897" s="89">
        <f>DATE(YEAR(M897)+8,MONTH(M897),DAY(M897)-1)</f>
        <v>42155</v>
      </c>
      <c r="O897" s="92" t="s">
        <v>19</v>
      </c>
      <c r="P897" s="92" t="s">
        <v>747</v>
      </c>
      <c r="Q897" s="92" t="s">
        <v>348</v>
      </c>
      <c r="R897" s="72" t="s">
        <v>349</v>
      </c>
      <c r="S897" s="72"/>
      <c r="T897" s="72"/>
      <c r="U897" s="72"/>
    </row>
    <row r="898" spans="1:21" ht="18.75" customHeight="1" x14ac:dyDescent="0.2">
      <c r="A898" s="79"/>
      <c r="B898" s="79"/>
      <c r="C898" s="80"/>
      <c r="D898" s="66"/>
      <c r="E898" s="66" t="s">
        <v>19</v>
      </c>
      <c r="F898" s="66" t="s">
        <v>747</v>
      </c>
      <c r="G898" s="66" t="s">
        <v>348</v>
      </c>
      <c r="H898" s="82" t="s">
        <v>349</v>
      </c>
      <c r="I898" s="115">
        <v>44.7</v>
      </c>
      <c r="J898" s="84"/>
      <c r="K898" s="91"/>
      <c r="L898" s="66"/>
      <c r="M898" s="66"/>
      <c r="N898" s="66"/>
      <c r="O898" s="66"/>
      <c r="P898" s="66"/>
      <c r="Q898" s="66"/>
      <c r="R898" s="72"/>
      <c r="T898" s="66"/>
      <c r="U898" s="66"/>
    </row>
    <row r="899" spans="1:21" ht="18.75" customHeight="1" x14ac:dyDescent="0.2">
      <c r="A899" s="79"/>
      <c r="B899" s="79"/>
      <c r="C899" s="80"/>
      <c r="D899" s="66"/>
      <c r="E899" s="86"/>
      <c r="F899" s="66"/>
      <c r="G899" s="66" t="s">
        <v>353</v>
      </c>
      <c r="H899" s="82"/>
      <c r="I899" s="87"/>
      <c r="J899" s="84"/>
      <c r="K899" s="91"/>
      <c r="L899" s="66"/>
      <c r="M899" s="66"/>
      <c r="N899" s="66"/>
      <c r="O899" s="66"/>
      <c r="P899" s="66"/>
      <c r="Q899" s="66"/>
      <c r="R899" s="72"/>
      <c r="T899" s="66"/>
      <c r="U899" s="66"/>
    </row>
    <row r="900" spans="1:21" ht="18.75" customHeight="1" x14ac:dyDescent="0.2">
      <c r="A900" s="70">
        <v>39054</v>
      </c>
      <c r="B900" s="70">
        <v>39068</v>
      </c>
      <c r="C900" s="71">
        <v>13307</v>
      </c>
      <c r="D900" s="72" t="s">
        <v>890</v>
      </c>
      <c r="E900" s="72" t="s">
        <v>19</v>
      </c>
      <c r="F900" s="72" t="s">
        <v>1221</v>
      </c>
      <c r="G900" s="72" t="s">
        <v>562</v>
      </c>
      <c r="H900" s="74" t="s">
        <v>349</v>
      </c>
      <c r="I900" s="107">
        <v>62.74</v>
      </c>
      <c r="J900" s="76"/>
      <c r="K900" s="76">
        <v>44.76</v>
      </c>
      <c r="L900" s="76"/>
      <c r="M900" s="70">
        <v>39083</v>
      </c>
      <c r="N900" s="89">
        <f>DATE(YEAR(M900)+8,MONTH(M900),DAY(M900)-1)</f>
        <v>42004</v>
      </c>
      <c r="O900" s="72" t="s">
        <v>21</v>
      </c>
      <c r="P900" s="72" t="s">
        <v>891</v>
      </c>
      <c r="Q900" s="72" t="s">
        <v>892</v>
      </c>
      <c r="R900" s="72" t="s">
        <v>349</v>
      </c>
      <c r="S900" s="72"/>
      <c r="T900" s="72"/>
      <c r="U900" s="72"/>
    </row>
    <row r="901" spans="1:21" ht="18.75" customHeight="1" x14ac:dyDescent="0.2">
      <c r="A901" s="79"/>
      <c r="B901" s="79"/>
      <c r="C901" s="80"/>
      <c r="D901" s="66"/>
      <c r="E901" s="66" t="s">
        <v>21</v>
      </c>
      <c r="F901" s="66" t="s">
        <v>1222</v>
      </c>
      <c r="G901" s="66" t="s">
        <v>1117</v>
      </c>
      <c r="H901" s="82" t="s">
        <v>349</v>
      </c>
      <c r="I901" s="115">
        <v>37.26</v>
      </c>
      <c r="J901" s="84"/>
      <c r="K901" s="91"/>
      <c r="L901" s="66"/>
      <c r="M901" s="66"/>
      <c r="N901" s="66"/>
      <c r="O901" s="66"/>
      <c r="P901" s="66"/>
      <c r="Q901" s="66"/>
      <c r="R901" s="72"/>
      <c r="T901" s="66"/>
      <c r="U901" s="66"/>
    </row>
    <row r="902" spans="1:21" ht="18.75" customHeight="1" x14ac:dyDescent="0.2">
      <c r="A902" s="79"/>
      <c r="B902" s="79"/>
      <c r="C902" s="80"/>
      <c r="D902" s="66"/>
      <c r="E902" s="86"/>
      <c r="F902" s="66"/>
      <c r="G902" s="66" t="s">
        <v>353</v>
      </c>
      <c r="H902" s="82"/>
      <c r="I902" s="87"/>
      <c r="J902" s="84"/>
      <c r="K902" s="91"/>
      <c r="L902" s="66"/>
      <c r="M902" s="66"/>
      <c r="N902" s="66"/>
      <c r="O902" s="66"/>
      <c r="P902" s="66"/>
      <c r="Q902" s="66"/>
      <c r="R902" s="72"/>
      <c r="T902" s="66"/>
      <c r="U902" s="66"/>
    </row>
    <row r="903" spans="1:21" ht="18.75" customHeight="1" x14ac:dyDescent="0.2">
      <c r="A903" s="70">
        <v>39096</v>
      </c>
      <c r="B903" s="70">
        <v>39110</v>
      </c>
      <c r="C903" s="71">
        <v>13802</v>
      </c>
      <c r="D903" s="72" t="s">
        <v>763</v>
      </c>
      <c r="E903" s="72" t="s">
        <v>21</v>
      </c>
      <c r="F903" s="72" t="s">
        <v>764</v>
      </c>
      <c r="G903" s="72" t="s">
        <v>383</v>
      </c>
      <c r="H903" s="74" t="s">
        <v>349</v>
      </c>
      <c r="I903" s="107">
        <v>73.209999999999994</v>
      </c>
      <c r="J903" s="76"/>
      <c r="K903" s="76">
        <v>50.8</v>
      </c>
      <c r="L903" s="76"/>
      <c r="M903" s="70">
        <v>39356</v>
      </c>
      <c r="N903" s="89">
        <f>DATE(YEAR(M903)+8,MONTH(M903),DAY(M903)-1)</f>
        <v>42277</v>
      </c>
      <c r="O903" s="92" t="s">
        <v>21</v>
      </c>
      <c r="P903" s="92" t="s">
        <v>764</v>
      </c>
      <c r="Q903" s="92" t="s">
        <v>383</v>
      </c>
      <c r="R903" s="72" t="s">
        <v>349</v>
      </c>
      <c r="S903" s="72"/>
      <c r="T903" s="72"/>
      <c r="U903" s="72"/>
    </row>
    <row r="904" spans="1:21" ht="18.75" customHeight="1" x14ac:dyDescent="0.2">
      <c r="A904" s="79"/>
      <c r="B904" s="79"/>
      <c r="C904" s="80"/>
      <c r="D904" s="66"/>
      <c r="E904" s="66" t="s">
        <v>19</v>
      </c>
      <c r="F904" s="66" t="s">
        <v>1223</v>
      </c>
      <c r="G904" s="66" t="s">
        <v>1224</v>
      </c>
      <c r="H904" s="82" t="s">
        <v>419</v>
      </c>
      <c r="I904" s="115">
        <v>26.79</v>
      </c>
      <c r="J904" s="84"/>
      <c r="K904" s="91"/>
      <c r="L904" s="66"/>
      <c r="M904" s="66"/>
      <c r="N904" s="66"/>
      <c r="O904" s="66"/>
      <c r="P904" s="66"/>
      <c r="Q904" s="66"/>
      <c r="R904" s="72"/>
      <c r="T904" s="66"/>
      <c r="U904" s="66"/>
    </row>
    <row r="905" spans="1:21" ht="18.75" customHeight="1" x14ac:dyDescent="0.2">
      <c r="A905" s="79"/>
      <c r="B905" s="79"/>
      <c r="C905" s="80"/>
      <c r="D905" s="66"/>
      <c r="E905" s="86"/>
      <c r="F905" s="66"/>
      <c r="G905" s="66" t="s">
        <v>353</v>
      </c>
      <c r="H905" s="82"/>
      <c r="I905" s="87"/>
      <c r="J905" s="84"/>
      <c r="K905" s="91"/>
      <c r="L905" s="66"/>
      <c r="M905" s="66"/>
      <c r="N905" s="66"/>
      <c r="O905" s="66"/>
      <c r="P905" s="66"/>
      <c r="Q905" s="66"/>
      <c r="R905" s="72"/>
      <c r="T905" s="66"/>
      <c r="U905" s="66"/>
    </row>
    <row r="906" spans="1:21" ht="18.75" customHeight="1" x14ac:dyDescent="0.2">
      <c r="A906" s="70">
        <v>39103</v>
      </c>
      <c r="B906" s="70">
        <v>39124</v>
      </c>
      <c r="C906" s="71">
        <v>13204</v>
      </c>
      <c r="D906" s="72" t="s">
        <v>756</v>
      </c>
      <c r="E906" s="72" t="s">
        <v>658</v>
      </c>
      <c r="F906" s="72" t="s">
        <v>658</v>
      </c>
      <c r="G906" s="72" t="s">
        <v>487</v>
      </c>
      <c r="H906" s="74" t="s">
        <v>349</v>
      </c>
      <c r="I906" s="107">
        <v>70.75</v>
      </c>
      <c r="J906" s="76"/>
      <c r="K906" s="76">
        <v>35.17</v>
      </c>
      <c r="L906" s="76"/>
      <c r="M906" s="70">
        <v>39372</v>
      </c>
      <c r="N906" s="68">
        <v>42004</v>
      </c>
      <c r="O906" s="92" t="s">
        <v>19</v>
      </c>
      <c r="P906" s="92" t="s">
        <v>658</v>
      </c>
      <c r="Q906" s="92" t="s">
        <v>487</v>
      </c>
      <c r="R906" s="72" t="s">
        <v>349</v>
      </c>
      <c r="S906" s="72"/>
      <c r="T906" s="72"/>
      <c r="U906" s="72"/>
    </row>
    <row r="907" spans="1:21" ht="18.75" customHeight="1" x14ac:dyDescent="0.2">
      <c r="A907" s="79"/>
      <c r="B907" s="79"/>
      <c r="C907" s="80"/>
      <c r="D907" s="66"/>
      <c r="E907" s="86"/>
      <c r="F907" s="66"/>
      <c r="G907" s="66" t="s">
        <v>353</v>
      </c>
      <c r="H907" s="82"/>
      <c r="I907" s="87"/>
      <c r="J907" s="84"/>
      <c r="K907" s="91"/>
      <c r="L907" s="66"/>
      <c r="M907" s="66"/>
      <c r="N907" s="66"/>
      <c r="O907" s="66"/>
      <c r="P907" s="66"/>
      <c r="Q907" s="66"/>
      <c r="R907" s="72"/>
      <c r="T907" s="66"/>
      <c r="U907" s="66"/>
    </row>
    <row r="908" spans="1:21" ht="18.75" customHeight="1" x14ac:dyDescent="0.2">
      <c r="A908" s="70">
        <v>39152</v>
      </c>
      <c r="B908" s="70">
        <v>39166</v>
      </c>
      <c r="C908" s="71">
        <v>14104</v>
      </c>
      <c r="D908" s="72" t="s">
        <v>773</v>
      </c>
      <c r="E908" s="72" t="s">
        <v>774</v>
      </c>
      <c r="F908" s="72" t="s">
        <v>774</v>
      </c>
      <c r="G908" s="72" t="s">
        <v>695</v>
      </c>
      <c r="H908" s="74" t="s">
        <v>349</v>
      </c>
      <c r="I908" s="107">
        <v>92.16</v>
      </c>
      <c r="J908" s="76"/>
      <c r="K908" s="76">
        <v>40.1</v>
      </c>
      <c r="L908" s="76"/>
      <c r="M908" s="70">
        <v>39264</v>
      </c>
      <c r="N908" s="89">
        <f>DATE(YEAR(M908)+8,MONTH(M908),DAY(M908)-1)</f>
        <v>42185</v>
      </c>
      <c r="O908" s="92" t="s">
        <v>55</v>
      </c>
      <c r="P908" s="92" t="s">
        <v>774</v>
      </c>
      <c r="Q908" s="92" t="s">
        <v>695</v>
      </c>
      <c r="R908" s="72" t="s">
        <v>349</v>
      </c>
      <c r="S908" s="72"/>
      <c r="T908" s="72"/>
      <c r="U908" s="72"/>
    </row>
    <row r="909" spans="1:21" ht="18.75" customHeight="1" x14ac:dyDescent="0.2">
      <c r="A909" s="79"/>
      <c r="B909" s="79"/>
      <c r="C909" s="80"/>
      <c r="D909" s="66"/>
      <c r="E909" s="86"/>
      <c r="F909" s="66"/>
      <c r="G909" s="66" t="s">
        <v>353</v>
      </c>
      <c r="H909" s="82"/>
      <c r="I909" s="87"/>
      <c r="J909" s="84"/>
      <c r="K909" s="91"/>
      <c r="L909" s="66"/>
      <c r="M909" s="66"/>
      <c r="N909" s="66"/>
      <c r="O909" s="66"/>
      <c r="P909" s="66"/>
      <c r="Q909" s="66"/>
      <c r="R909" s="72"/>
      <c r="T909" s="66"/>
      <c r="U909" s="66"/>
    </row>
    <row r="910" spans="1:21" ht="18.75" customHeight="1" x14ac:dyDescent="0.2">
      <c r="A910" s="70">
        <v>39152</v>
      </c>
      <c r="B910" s="70">
        <v>39173</v>
      </c>
      <c r="C910" s="71">
        <v>33508</v>
      </c>
      <c r="D910" s="72" t="s">
        <v>395</v>
      </c>
      <c r="E910" s="72" t="s">
        <v>19</v>
      </c>
      <c r="F910" s="72" t="s">
        <v>793</v>
      </c>
      <c r="G910" s="72" t="s">
        <v>358</v>
      </c>
      <c r="H910" s="74" t="s">
        <v>349</v>
      </c>
      <c r="I910" s="107">
        <v>68.55</v>
      </c>
      <c r="J910" s="76"/>
      <c r="K910" s="76">
        <v>51.9</v>
      </c>
      <c r="L910" s="76"/>
      <c r="M910" s="70">
        <v>39356</v>
      </c>
      <c r="N910" s="89">
        <f>DATE(YEAR(M910)+8,MONTH(M910),DAY(M910)-1)</f>
        <v>42277</v>
      </c>
      <c r="O910" s="92" t="s">
        <v>19</v>
      </c>
      <c r="P910" s="92" t="s">
        <v>793</v>
      </c>
      <c r="Q910" s="92" t="s">
        <v>358</v>
      </c>
      <c r="R910" s="72" t="s">
        <v>349</v>
      </c>
      <c r="S910" s="72"/>
      <c r="T910" s="72"/>
      <c r="U910" s="72"/>
    </row>
    <row r="911" spans="1:21" ht="18.75" customHeight="1" x14ac:dyDescent="0.2">
      <c r="A911" s="79"/>
      <c r="B911" s="79"/>
      <c r="C911" s="80"/>
      <c r="D911" s="66"/>
      <c r="E911" s="66" t="s">
        <v>21</v>
      </c>
      <c r="F911" s="66" t="s">
        <v>1225</v>
      </c>
      <c r="G911" s="66" t="s">
        <v>1188</v>
      </c>
      <c r="H911" s="82" t="s">
        <v>349</v>
      </c>
      <c r="I911" s="115">
        <v>31.45</v>
      </c>
      <c r="J911" s="84"/>
      <c r="K911" s="91"/>
      <c r="L911" s="66"/>
      <c r="M911" s="66"/>
      <c r="N911" s="66"/>
      <c r="O911" s="66"/>
      <c r="P911" s="66"/>
      <c r="Q911" s="66"/>
      <c r="R911" s="72"/>
      <c r="T911" s="66"/>
      <c r="U911" s="66"/>
    </row>
    <row r="912" spans="1:21" ht="18.75" customHeight="1" x14ac:dyDescent="0.2">
      <c r="A912" s="79"/>
      <c r="B912" s="79"/>
      <c r="C912" s="80"/>
      <c r="D912" s="66"/>
      <c r="E912" s="86"/>
      <c r="F912" s="66"/>
      <c r="G912" s="66" t="s">
        <v>353</v>
      </c>
      <c r="H912" s="82"/>
      <c r="I912" s="87"/>
      <c r="J912" s="84"/>
      <c r="K912" s="91"/>
      <c r="L912" s="66"/>
      <c r="M912" s="66"/>
      <c r="N912" s="66"/>
      <c r="O912" s="66"/>
      <c r="P912" s="66"/>
      <c r="Q912" s="66"/>
      <c r="R912" s="72"/>
      <c r="T912" s="66"/>
      <c r="U912" s="66"/>
    </row>
    <row r="913" spans="1:21" ht="18.75" customHeight="1" x14ac:dyDescent="0.2">
      <c r="A913" s="70">
        <v>39152</v>
      </c>
      <c r="B913" s="70">
        <v>39166</v>
      </c>
      <c r="C913" s="71">
        <v>33803</v>
      </c>
      <c r="D913" s="72" t="s">
        <v>742</v>
      </c>
      <c r="E913" s="72" t="s">
        <v>55</v>
      </c>
      <c r="F913" s="72" t="s">
        <v>746</v>
      </c>
      <c r="G913" s="72" t="s">
        <v>358</v>
      </c>
      <c r="H913" s="74" t="s">
        <v>349</v>
      </c>
      <c r="I913" s="107">
        <v>41.25</v>
      </c>
      <c r="J913" s="121">
        <v>55.78</v>
      </c>
      <c r="K913" s="76">
        <v>56.4</v>
      </c>
      <c r="L913" s="76">
        <v>49.1</v>
      </c>
      <c r="M913" s="70">
        <v>39264</v>
      </c>
      <c r="N913" s="146">
        <v>41820</v>
      </c>
      <c r="O913" s="92" t="s">
        <v>21</v>
      </c>
      <c r="P913" s="92" t="s">
        <v>743</v>
      </c>
      <c r="Q913" s="92" t="s">
        <v>455</v>
      </c>
      <c r="R913" s="72" t="s">
        <v>349</v>
      </c>
      <c r="S913" s="72" t="s">
        <v>1226</v>
      </c>
      <c r="U913" s="72"/>
    </row>
    <row r="914" spans="1:21" ht="18.75" customHeight="1" x14ac:dyDescent="0.2">
      <c r="A914" s="79"/>
      <c r="B914" s="79"/>
      <c r="C914" s="80"/>
      <c r="D914" s="66"/>
      <c r="E914" s="66" t="s">
        <v>1227</v>
      </c>
      <c r="F914" s="66" t="s">
        <v>1227</v>
      </c>
      <c r="G914" s="66" t="s">
        <v>1228</v>
      </c>
      <c r="H914" s="82" t="s">
        <v>349</v>
      </c>
      <c r="I914" s="115">
        <v>21.49</v>
      </c>
      <c r="J914" s="123">
        <v>44.22</v>
      </c>
      <c r="K914" s="91"/>
      <c r="L914" s="66"/>
      <c r="M914" s="66"/>
      <c r="N914" s="66"/>
      <c r="O914" s="66"/>
      <c r="P914" s="66"/>
      <c r="Q914" s="66"/>
      <c r="R914" s="72"/>
      <c r="T914" s="72"/>
      <c r="U914" s="66"/>
    </row>
    <row r="915" spans="1:21" ht="18.75" customHeight="1" x14ac:dyDescent="0.2">
      <c r="A915" s="79"/>
      <c r="B915" s="79"/>
      <c r="C915" s="80"/>
      <c r="D915" s="66"/>
      <c r="E915" s="66" t="s">
        <v>21</v>
      </c>
      <c r="F915" s="66" t="s">
        <v>1229</v>
      </c>
      <c r="G915" s="66" t="s">
        <v>1230</v>
      </c>
      <c r="H915" s="82" t="s">
        <v>349</v>
      </c>
      <c r="I915" s="115">
        <v>19.64</v>
      </c>
      <c r="J915" s="84"/>
      <c r="K915" s="91"/>
      <c r="L915" s="66"/>
      <c r="M915" s="66"/>
      <c r="N915" s="66"/>
      <c r="O915" s="66"/>
      <c r="P915" s="66"/>
      <c r="Q915" s="66"/>
      <c r="R915" s="72"/>
      <c r="T915" s="66"/>
      <c r="U915" s="66"/>
    </row>
    <row r="916" spans="1:21" ht="18.75" customHeight="1" x14ac:dyDescent="0.2">
      <c r="A916" s="79"/>
      <c r="B916" s="79"/>
      <c r="C916" s="80"/>
      <c r="D916" s="66"/>
      <c r="E916" s="66" t="s">
        <v>19</v>
      </c>
      <c r="F916" s="66" t="s">
        <v>1231</v>
      </c>
      <c r="G916" s="66" t="s">
        <v>512</v>
      </c>
      <c r="H916" s="82" t="s">
        <v>349</v>
      </c>
      <c r="I916" s="115">
        <v>17.62</v>
      </c>
      <c r="J916" s="84"/>
      <c r="K916" s="91"/>
      <c r="L916" s="66"/>
      <c r="M916" s="66"/>
      <c r="N916" s="66"/>
      <c r="O916" s="66"/>
      <c r="P916" s="66"/>
      <c r="Q916" s="66"/>
      <c r="R916" s="72"/>
      <c r="T916" s="66"/>
      <c r="U916" s="66"/>
    </row>
    <row r="917" spans="1:21" ht="18.75" customHeight="1" x14ac:dyDescent="0.2">
      <c r="A917" s="79"/>
      <c r="B917" s="79"/>
      <c r="C917" s="80"/>
      <c r="D917" s="66"/>
      <c r="E917" s="86"/>
      <c r="F917" s="66"/>
      <c r="G917" s="66" t="s">
        <v>353</v>
      </c>
      <c r="H917" s="82"/>
      <c r="I917" s="87"/>
      <c r="J917" s="84"/>
      <c r="K917" s="91"/>
      <c r="L917" s="66"/>
      <c r="M917" s="66"/>
      <c r="N917" s="66"/>
      <c r="O917" s="66"/>
      <c r="P917" s="66"/>
      <c r="Q917" s="66"/>
      <c r="R917" s="72"/>
      <c r="T917" s="66"/>
      <c r="U917" s="66"/>
    </row>
    <row r="918" spans="1:21" ht="18.75" customHeight="1" x14ac:dyDescent="0.2">
      <c r="A918" s="70">
        <v>39173</v>
      </c>
      <c r="B918" s="70">
        <v>39194</v>
      </c>
      <c r="C918" s="71">
        <v>23105</v>
      </c>
      <c r="D918" s="72" t="s">
        <v>873</v>
      </c>
      <c r="E918" s="72" t="s">
        <v>19</v>
      </c>
      <c r="F918" s="72" t="s">
        <v>1232</v>
      </c>
      <c r="G918" s="72" t="s">
        <v>1233</v>
      </c>
      <c r="H918" s="74" t="s">
        <v>419</v>
      </c>
      <c r="I918" s="107">
        <v>60.62</v>
      </c>
      <c r="J918" s="76"/>
      <c r="K918" s="76">
        <v>65.900000000000006</v>
      </c>
      <c r="L918" s="76"/>
      <c r="M918" s="70">
        <v>39198</v>
      </c>
      <c r="N918" s="146">
        <v>40908</v>
      </c>
      <c r="O918" s="92" t="s">
        <v>276</v>
      </c>
      <c r="P918" s="92" t="s">
        <v>276</v>
      </c>
      <c r="Q918" s="92" t="s">
        <v>585</v>
      </c>
      <c r="R918" s="72" t="s">
        <v>349</v>
      </c>
      <c r="S918" s="72" t="s">
        <v>1234</v>
      </c>
      <c r="U918" s="72"/>
    </row>
    <row r="919" spans="1:21" ht="18.75" customHeight="1" x14ac:dyDescent="0.2">
      <c r="A919" s="79"/>
      <c r="B919" s="79"/>
      <c r="C919" s="80"/>
      <c r="D919" s="66"/>
      <c r="E919" s="66" t="s">
        <v>1235</v>
      </c>
      <c r="F919" s="66" t="s">
        <v>1235</v>
      </c>
      <c r="G919" s="66" t="s">
        <v>1022</v>
      </c>
      <c r="H919" s="82" t="s">
        <v>349</v>
      </c>
      <c r="I919" s="115">
        <v>12.79</v>
      </c>
      <c r="J919" s="84"/>
      <c r="K919" s="91"/>
      <c r="L919" s="66"/>
      <c r="M919" s="66"/>
      <c r="N919" s="66"/>
      <c r="O919" s="66"/>
      <c r="P919" s="66"/>
      <c r="Q919" s="66"/>
      <c r="R919" s="72"/>
      <c r="T919" s="72"/>
      <c r="U919" s="66"/>
    </row>
    <row r="920" spans="1:21" ht="18.75" customHeight="1" x14ac:dyDescent="0.2">
      <c r="A920" s="79"/>
      <c r="B920" s="79"/>
      <c r="C920" s="80"/>
      <c r="D920" s="66"/>
      <c r="E920" s="66" t="s">
        <v>1236</v>
      </c>
      <c r="F920" s="66" t="s">
        <v>1236</v>
      </c>
      <c r="G920" s="66" t="s">
        <v>1237</v>
      </c>
      <c r="H920" s="82" t="s">
        <v>349</v>
      </c>
      <c r="I920" s="115">
        <v>8.5500000000000007</v>
      </c>
      <c r="J920" s="84"/>
      <c r="K920" s="91"/>
      <c r="L920" s="66"/>
      <c r="M920" s="66"/>
      <c r="N920" s="66"/>
      <c r="O920" s="66"/>
      <c r="P920" s="66"/>
      <c r="Q920" s="66"/>
      <c r="R920" s="72"/>
      <c r="T920" s="72"/>
      <c r="U920" s="66"/>
    </row>
    <row r="921" spans="1:21" ht="18.75" customHeight="1" x14ac:dyDescent="0.2">
      <c r="A921" s="79"/>
      <c r="B921" s="79"/>
      <c r="C921" s="80"/>
      <c r="D921" s="66"/>
      <c r="E921" s="66" t="s">
        <v>38</v>
      </c>
      <c r="F921" s="66" t="s">
        <v>1238</v>
      </c>
      <c r="G921" s="66" t="s">
        <v>831</v>
      </c>
      <c r="H921" s="82" t="s">
        <v>349</v>
      </c>
      <c r="I921" s="115">
        <v>5.38</v>
      </c>
      <c r="J921" s="84"/>
      <c r="K921" s="91"/>
      <c r="L921" s="66"/>
      <c r="M921" s="66"/>
      <c r="N921" s="66"/>
      <c r="O921" s="66"/>
      <c r="P921" s="66"/>
      <c r="Q921" s="66"/>
      <c r="R921" s="72"/>
      <c r="T921" s="66"/>
      <c r="U921" s="66"/>
    </row>
    <row r="922" spans="1:21" ht="18.75" customHeight="1" x14ac:dyDescent="0.2">
      <c r="A922" s="79"/>
      <c r="B922" s="79"/>
      <c r="C922" s="80"/>
      <c r="D922" s="66"/>
      <c r="E922" s="66" t="s">
        <v>816</v>
      </c>
      <c r="F922" s="66" t="s">
        <v>816</v>
      </c>
      <c r="G922" s="66" t="s">
        <v>233</v>
      </c>
      <c r="H922" s="82" t="s">
        <v>349</v>
      </c>
      <c r="I922" s="115">
        <v>4.84</v>
      </c>
      <c r="J922" s="84"/>
      <c r="K922" s="91"/>
      <c r="L922" s="66"/>
      <c r="M922" s="66"/>
      <c r="N922" s="66"/>
      <c r="O922" s="66"/>
      <c r="P922" s="66"/>
      <c r="Q922" s="66"/>
      <c r="R922" s="72"/>
      <c r="T922" s="72"/>
      <c r="U922" s="66"/>
    </row>
    <row r="923" spans="1:21" ht="18.75" customHeight="1" x14ac:dyDescent="0.2">
      <c r="A923" s="79"/>
      <c r="B923" s="79"/>
      <c r="C923" s="80"/>
      <c r="D923" s="66"/>
      <c r="E923" s="66" t="s">
        <v>1239</v>
      </c>
      <c r="F923" s="66" t="s">
        <v>1239</v>
      </c>
      <c r="G923" s="66" t="s">
        <v>444</v>
      </c>
      <c r="H923" s="82" t="s">
        <v>349</v>
      </c>
      <c r="I923" s="115">
        <v>4.34</v>
      </c>
      <c r="J923" s="84"/>
      <c r="K923" s="91"/>
      <c r="L923" s="66"/>
      <c r="M923" s="66"/>
      <c r="N923" s="66"/>
      <c r="O923" s="66"/>
      <c r="P923" s="66"/>
      <c r="Q923" s="66"/>
      <c r="R923" s="72"/>
      <c r="T923" s="72"/>
      <c r="U923" s="66"/>
    </row>
    <row r="924" spans="1:21" ht="18.75" customHeight="1" x14ac:dyDescent="0.2">
      <c r="A924" s="79"/>
      <c r="B924" s="79"/>
      <c r="C924" s="80"/>
      <c r="D924" s="66"/>
      <c r="E924" s="66" t="s">
        <v>1240</v>
      </c>
      <c r="F924" s="66" t="s">
        <v>1240</v>
      </c>
      <c r="G924" s="66" t="s">
        <v>1241</v>
      </c>
      <c r="H924" s="82" t="s">
        <v>419</v>
      </c>
      <c r="I924" s="115">
        <v>2.25</v>
      </c>
      <c r="J924" s="84"/>
      <c r="K924" s="91"/>
      <c r="L924" s="66"/>
      <c r="M924" s="66"/>
      <c r="N924" s="66"/>
      <c r="O924" s="66"/>
      <c r="P924" s="66"/>
      <c r="Q924" s="66"/>
      <c r="R924" s="72"/>
      <c r="T924" s="72"/>
      <c r="U924" s="66"/>
    </row>
    <row r="925" spans="1:21" ht="18.75" customHeight="1" x14ac:dyDescent="0.2">
      <c r="A925" s="79"/>
      <c r="B925" s="79"/>
      <c r="C925" s="80"/>
      <c r="D925" s="66"/>
      <c r="E925" s="66" t="s">
        <v>1242</v>
      </c>
      <c r="F925" s="66" t="s">
        <v>1242</v>
      </c>
      <c r="G925" s="66" t="s">
        <v>358</v>
      </c>
      <c r="H925" s="82" t="s">
        <v>349</v>
      </c>
      <c r="I925" s="115">
        <v>1.23</v>
      </c>
      <c r="J925" s="84"/>
      <c r="K925" s="91"/>
      <c r="L925" s="66"/>
      <c r="M925" s="66"/>
      <c r="N925" s="66"/>
      <c r="O925" s="66"/>
      <c r="P925" s="66"/>
      <c r="Q925" s="66"/>
      <c r="R925" s="72"/>
      <c r="T925" s="72"/>
      <c r="U925" s="66"/>
    </row>
    <row r="926" spans="1:21" ht="18.75" customHeight="1" x14ac:dyDescent="0.2">
      <c r="A926" s="79"/>
      <c r="B926" s="79"/>
      <c r="C926" s="80"/>
      <c r="D926" s="66"/>
      <c r="E926" s="86"/>
      <c r="F926" s="66"/>
      <c r="G926" s="66" t="s">
        <v>353</v>
      </c>
      <c r="H926" s="82"/>
      <c r="I926" s="87"/>
      <c r="J926" s="84"/>
      <c r="K926" s="91"/>
      <c r="L926" s="66"/>
      <c r="M926" s="66"/>
      <c r="N926" s="66"/>
      <c r="O926" s="66"/>
      <c r="P926" s="66"/>
      <c r="Q926" s="66"/>
      <c r="R926" s="72"/>
      <c r="T926" s="66"/>
      <c r="U926" s="66"/>
    </row>
    <row r="927" spans="1:21" ht="18.75" customHeight="1" x14ac:dyDescent="0.2">
      <c r="A927" s="70">
        <v>39194</v>
      </c>
      <c r="B927" s="70">
        <v>39208</v>
      </c>
      <c r="C927" s="71">
        <v>33303</v>
      </c>
      <c r="D927" s="72" t="s">
        <v>779</v>
      </c>
      <c r="E927" s="72" t="s">
        <v>1243</v>
      </c>
      <c r="F927" s="72" t="s">
        <v>781</v>
      </c>
      <c r="G927" s="72" t="s">
        <v>782</v>
      </c>
      <c r="H927" s="74" t="s">
        <v>349</v>
      </c>
      <c r="I927" s="107">
        <v>73.599999999999994</v>
      </c>
      <c r="J927" s="76"/>
      <c r="K927" s="76">
        <v>39.1</v>
      </c>
      <c r="L927" s="76"/>
      <c r="M927" s="70">
        <v>39356</v>
      </c>
      <c r="N927" s="89">
        <f>DATE(YEAR(M927)+8,MONTH(M927),DAY(M927)-1)</f>
        <v>42277</v>
      </c>
      <c r="O927" s="92" t="s">
        <v>780</v>
      </c>
      <c r="P927" s="92" t="s">
        <v>781</v>
      </c>
      <c r="Q927" s="92" t="s">
        <v>782</v>
      </c>
      <c r="R927" s="72" t="s">
        <v>349</v>
      </c>
      <c r="S927" s="72"/>
      <c r="T927" s="72"/>
      <c r="U927" s="72"/>
    </row>
    <row r="928" spans="1:21" ht="18.75" customHeight="1" x14ac:dyDescent="0.2">
      <c r="A928" s="79"/>
      <c r="B928" s="79"/>
      <c r="C928" s="80"/>
      <c r="D928" s="66"/>
      <c r="E928" s="66" t="s">
        <v>21</v>
      </c>
      <c r="F928" s="66" t="s">
        <v>1244</v>
      </c>
      <c r="G928" s="66" t="s">
        <v>516</v>
      </c>
      <c r="H928" s="82" t="s">
        <v>349</v>
      </c>
      <c r="I928" s="115">
        <v>26.4</v>
      </c>
      <c r="J928" s="84"/>
      <c r="K928" s="91"/>
      <c r="L928" s="66"/>
      <c r="M928" s="66"/>
      <c r="N928" s="66"/>
      <c r="O928" s="66"/>
      <c r="P928" s="66"/>
      <c r="Q928" s="66"/>
      <c r="R928" s="72"/>
      <c r="T928" s="66"/>
      <c r="U928" s="66"/>
    </row>
    <row r="929" spans="1:21" ht="18.75" customHeight="1" x14ac:dyDescent="0.2">
      <c r="A929" s="79"/>
      <c r="B929" s="79"/>
      <c r="C929" s="80"/>
      <c r="D929" s="66"/>
      <c r="E929" s="86"/>
      <c r="F929" s="66"/>
      <c r="G929" s="66" t="s">
        <v>353</v>
      </c>
      <c r="H929" s="82"/>
      <c r="I929" s="87"/>
      <c r="J929" s="84"/>
      <c r="K929" s="91"/>
      <c r="L929" s="66"/>
      <c r="M929" s="66"/>
      <c r="N929" s="66"/>
      <c r="O929" s="66"/>
      <c r="P929" s="66"/>
      <c r="Q929" s="66"/>
      <c r="R929" s="72"/>
      <c r="T929" s="66"/>
      <c r="U929" s="66"/>
    </row>
    <row r="930" spans="1:21" ht="18.75" customHeight="1" x14ac:dyDescent="0.2">
      <c r="A930" s="70">
        <v>39194</v>
      </c>
      <c r="B930" s="70">
        <v>39208</v>
      </c>
      <c r="C930" s="71">
        <v>33504</v>
      </c>
      <c r="D930" s="72" t="s">
        <v>787</v>
      </c>
      <c r="E930" s="72" t="s">
        <v>55</v>
      </c>
      <c r="F930" s="72" t="s">
        <v>788</v>
      </c>
      <c r="G930" s="72" t="s">
        <v>789</v>
      </c>
      <c r="H930" s="74" t="s">
        <v>349</v>
      </c>
      <c r="I930" s="107">
        <v>58.31</v>
      </c>
      <c r="J930" s="76"/>
      <c r="K930" s="76">
        <v>58.5</v>
      </c>
      <c r="L930" s="76"/>
      <c r="M930" s="70">
        <v>39469</v>
      </c>
      <c r="N930" s="89">
        <f>DATE(YEAR(M930)+8,MONTH(M930),DAY(M930)-1)</f>
        <v>42390</v>
      </c>
      <c r="O930" s="92" t="s">
        <v>55</v>
      </c>
      <c r="P930" s="92" t="s">
        <v>788</v>
      </c>
      <c r="Q930" s="92" t="s">
        <v>789</v>
      </c>
      <c r="R930" s="72" t="s">
        <v>349</v>
      </c>
      <c r="S930" s="72"/>
      <c r="T930" s="72"/>
      <c r="U930" s="72"/>
    </row>
    <row r="931" spans="1:21" ht="18.75" customHeight="1" x14ac:dyDescent="0.2">
      <c r="A931" s="79"/>
      <c r="B931" s="79"/>
      <c r="C931" s="80"/>
      <c r="D931" s="66"/>
      <c r="E931" s="66" t="s">
        <v>21</v>
      </c>
      <c r="F931" s="66" t="s">
        <v>827</v>
      </c>
      <c r="G931" s="66" t="s">
        <v>792</v>
      </c>
      <c r="H931" s="82" t="s">
        <v>349</v>
      </c>
      <c r="I931" s="115">
        <v>22.85</v>
      </c>
      <c r="J931" s="84"/>
      <c r="K931" s="91"/>
      <c r="L931" s="66"/>
      <c r="M931" s="66"/>
      <c r="N931" s="66"/>
      <c r="O931" s="66"/>
      <c r="P931" s="66"/>
      <c r="Q931" s="66"/>
      <c r="R931" s="72"/>
      <c r="T931" s="66"/>
      <c r="U931" s="66"/>
    </row>
    <row r="932" spans="1:21" ht="18.75" customHeight="1" x14ac:dyDescent="0.2">
      <c r="A932" s="79"/>
      <c r="B932" s="79"/>
      <c r="C932" s="80"/>
      <c r="D932" s="66"/>
      <c r="E932" s="66" t="s">
        <v>19</v>
      </c>
      <c r="F932" s="66" t="s">
        <v>393</v>
      </c>
      <c r="G932" s="66" t="s">
        <v>695</v>
      </c>
      <c r="H932" s="82" t="s">
        <v>349</v>
      </c>
      <c r="I932" s="115">
        <v>11.56</v>
      </c>
      <c r="J932" s="84"/>
      <c r="K932" s="91"/>
      <c r="L932" s="66"/>
      <c r="M932" s="66"/>
      <c r="N932" s="66"/>
      <c r="O932" s="66"/>
      <c r="P932" s="66"/>
      <c r="Q932" s="66"/>
      <c r="R932" s="72"/>
      <c r="T932" s="66"/>
      <c r="U932" s="66"/>
    </row>
    <row r="933" spans="1:21" ht="18.75" customHeight="1" x14ac:dyDescent="0.2">
      <c r="A933" s="79"/>
      <c r="B933" s="79"/>
      <c r="C933" s="80"/>
      <c r="D933" s="66"/>
      <c r="E933" s="66" t="s">
        <v>38</v>
      </c>
      <c r="F933" s="66" t="s">
        <v>1245</v>
      </c>
      <c r="G933" s="66" t="s">
        <v>1213</v>
      </c>
      <c r="H933" s="82" t="s">
        <v>419</v>
      </c>
      <c r="I933" s="115">
        <v>7.28</v>
      </c>
      <c r="J933" s="84"/>
      <c r="K933" s="91"/>
      <c r="L933" s="66"/>
      <c r="M933" s="66"/>
      <c r="N933" s="66"/>
      <c r="O933" s="66"/>
      <c r="P933" s="66"/>
      <c r="Q933" s="66"/>
      <c r="R933" s="72"/>
      <c r="T933" s="66"/>
      <c r="U933" s="66"/>
    </row>
    <row r="934" spans="1:21" ht="18.75" customHeight="1" x14ac:dyDescent="0.2">
      <c r="A934" s="79"/>
      <c r="B934" s="79"/>
      <c r="C934" s="80"/>
      <c r="D934" s="66"/>
      <c r="E934" s="86"/>
      <c r="F934" s="66"/>
      <c r="G934" s="66" t="s">
        <v>353</v>
      </c>
      <c r="H934" s="82"/>
      <c r="I934" s="87"/>
      <c r="J934" s="84"/>
      <c r="K934" s="91"/>
      <c r="L934" s="66"/>
      <c r="M934" s="66"/>
      <c r="N934" s="66"/>
      <c r="O934" s="66"/>
      <c r="P934" s="66"/>
      <c r="Q934" s="66"/>
      <c r="R934" s="72"/>
      <c r="T934" s="66"/>
      <c r="U934" s="66"/>
    </row>
    <row r="935" spans="1:21" ht="18.75" customHeight="1" x14ac:dyDescent="0.2">
      <c r="A935" s="70">
        <v>39208</v>
      </c>
      <c r="B935" s="70">
        <v>39222</v>
      </c>
      <c r="C935" s="71">
        <v>33702</v>
      </c>
      <c r="D935" s="72" t="s">
        <v>800</v>
      </c>
      <c r="E935" s="72" t="s">
        <v>21</v>
      </c>
      <c r="F935" s="72" t="s">
        <v>801</v>
      </c>
      <c r="G935" s="72" t="s">
        <v>754</v>
      </c>
      <c r="H935" s="74" t="s">
        <v>349</v>
      </c>
      <c r="I935" s="107">
        <v>64.03</v>
      </c>
      <c r="J935" s="76"/>
      <c r="K935" s="76">
        <v>53.7</v>
      </c>
      <c r="L935" s="76"/>
      <c r="M935" s="70">
        <v>39417</v>
      </c>
      <c r="N935" s="89">
        <f>DATE(YEAR(M935)+8,MONTH(M935),DAY(M935)-1)</f>
        <v>42338</v>
      </c>
      <c r="O935" s="92" t="s">
        <v>21</v>
      </c>
      <c r="P935" s="92" t="s">
        <v>801</v>
      </c>
      <c r="Q935" s="92" t="s">
        <v>754</v>
      </c>
      <c r="R935" s="72" t="s">
        <v>349</v>
      </c>
      <c r="S935" s="72"/>
      <c r="T935" s="72"/>
      <c r="U935" s="72"/>
    </row>
    <row r="936" spans="1:21" ht="18.75" customHeight="1" x14ac:dyDescent="0.2">
      <c r="A936" s="79"/>
      <c r="B936" s="79"/>
      <c r="C936" s="80"/>
      <c r="D936" s="66"/>
      <c r="E936" s="66" t="s">
        <v>19</v>
      </c>
      <c r="F936" s="66" t="s">
        <v>543</v>
      </c>
      <c r="G936" s="66" t="s">
        <v>469</v>
      </c>
      <c r="H936" s="82" t="s">
        <v>349</v>
      </c>
      <c r="I936" s="115">
        <v>35.97</v>
      </c>
      <c r="J936" s="84"/>
      <c r="K936" s="91"/>
      <c r="L936" s="66"/>
      <c r="M936" s="66"/>
      <c r="N936" s="66"/>
      <c r="O936" s="66"/>
      <c r="P936" s="66"/>
      <c r="Q936" s="66"/>
      <c r="R936" s="72"/>
      <c r="T936" s="66"/>
      <c r="U936" s="66"/>
    </row>
    <row r="937" spans="1:21" ht="18.75" customHeight="1" x14ac:dyDescent="0.2">
      <c r="A937" s="79"/>
      <c r="B937" s="79"/>
      <c r="C937" s="80"/>
      <c r="D937" s="66"/>
      <c r="E937" s="86"/>
      <c r="F937" s="66"/>
      <c r="G937" s="66" t="s">
        <v>353</v>
      </c>
      <c r="H937" s="82"/>
      <c r="I937" s="87"/>
      <c r="J937" s="84"/>
      <c r="K937" s="91"/>
      <c r="L937" s="66"/>
      <c r="M937" s="66"/>
      <c r="N937" s="66"/>
      <c r="O937" s="66"/>
      <c r="P937" s="66"/>
      <c r="Q937" s="66"/>
      <c r="R937" s="72"/>
      <c r="T937" s="66"/>
      <c r="U937" s="66"/>
    </row>
    <row r="938" spans="1:21" ht="18.75" customHeight="1" x14ac:dyDescent="0.2">
      <c r="A938" s="70">
        <v>39208</v>
      </c>
      <c r="B938" s="70">
        <v>39222</v>
      </c>
      <c r="C938" s="71">
        <v>33704</v>
      </c>
      <c r="D938" s="72" t="s">
        <v>1051</v>
      </c>
      <c r="E938" s="72" t="s">
        <v>1246</v>
      </c>
      <c r="F938" s="72" t="s">
        <v>1246</v>
      </c>
      <c r="G938" s="72" t="s">
        <v>1247</v>
      </c>
      <c r="H938" s="74" t="s">
        <v>349</v>
      </c>
      <c r="I938" s="107">
        <v>35.07</v>
      </c>
      <c r="J938" s="121">
        <v>55.15</v>
      </c>
      <c r="K938" s="76">
        <v>54.1</v>
      </c>
      <c r="L938" s="76">
        <v>45.8</v>
      </c>
      <c r="M938" s="70">
        <v>39326</v>
      </c>
      <c r="N938" s="89">
        <f>DATE(YEAR(M938)+8,MONTH(M938),DAY(M938)-1)</f>
        <v>42247</v>
      </c>
      <c r="O938" s="72" t="s">
        <v>19</v>
      </c>
      <c r="P938" s="72" t="s">
        <v>1052</v>
      </c>
      <c r="Q938" s="72" t="s">
        <v>797</v>
      </c>
      <c r="R938" s="72" t="s">
        <v>349</v>
      </c>
      <c r="S938" s="72"/>
      <c r="T938" s="72"/>
      <c r="U938" s="72"/>
    </row>
    <row r="939" spans="1:21" ht="18.75" customHeight="1" x14ac:dyDescent="0.2">
      <c r="A939" s="79"/>
      <c r="B939" s="79"/>
      <c r="C939" s="80"/>
      <c r="D939" s="66"/>
      <c r="E939" s="66" t="s">
        <v>19</v>
      </c>
      <c r="F939" s="66" t="s">
        <v>903</v>
      </c>
      <c r="G939" s="66" t="s">
        <v>947</v>
      </c>
      <c r="H939" s="82" t="s">
        <v>349</v>
      </c>
      <c r="I939" s="115">
        <v>29.14</v>
      </c>
      <c r="J939" s="123">
        <v>44.85</v>
      </c>
      <c r="K939" s="91"/>
      <c r="L939" s="66"/>
      <c r="M939" s="66"/>
      <c r="N939" s="66"/>
      <c r="O939" s="66"/>
      <c r="P939" s="66"/>
      <c r="Q939" s="66"/>
      <c r="R939" s="72"/>
      <c r="T939" s="66"/>
      <c r="U939" s="66"/>
    </row>
    <row r="940" spans="1:21" ht="18.75" customHeight="1" x14ac:dyDescent="0.2">
      <c r="A940" s="79"/>
      <c r="B940" s="79"/>
      <c r="C940" s="80"/>
      <c r="D940" s="66"/>
      <c r="E940" s="66" t="s">
        <v>21</v>
      </c>
      <c r="F940" s="66" t="s">
        <v>1184</v>
      </c>
      <c r="G940" s="66" t="s">
        <v>476</v>
      </c>
      <c r="H940" s="82" t="s">
        <v>349</v>
      </c>
      <c r="I940" s="115">
        <v>25.07</v>
      </c>
      <c r="J940" s="84"/>
      <c r="K940" s="91"/>
      <c r="L940" s="66"/>
      <c r="M940" s="66"/>
      <c r="N940" s="66"/>
      <c r="O940" s="66"/>
      <c r="P940" s="66"/>
      <c r="Q940" s="66"/>
      <c r="R940" s="72"/>
      <c r="T940" s="66"/>
      <c r="U940" s="66"/>
    </row>
    <row r="941" spans="1:21" ht="18.75" customHeight="1" x14ac:dyDescent="0.2">
      <c r="A941" s="79"/>
      <c r="B941" s="79"/>
      <c r="C941" s="80"/>
      <c r="D941" s="66"/>
      <c r="E941" s="66" t="s">
        <v>1144</v>
      </c>
      <c r="F941" s="66" t="s">
        <v>1248</v>
      </c>
      <c r="G941" s="66" t="s">
        <v>1249</v>
      </c>
      <c r="H941" s="82" t="s">
        <v>419</v>
      </c>
      <c r="I941" s="115">
        <v>10.72</v>
      </c>
      <c r="J941" s="84"/>
      <c r="K941" s="91"/>
      <c r="L941" s="66"/>
      <c r="M941" s="66"/>
      <c r="N941" s="66"/>
      <c r="O941" s="66"/>
      <c r="P941" s="66"/>
      <c r="Q941" s="66"/>
      <c r="R941" s="72"/>
      <c r="T941" s="66"/>
      <c r="U941" s="66"/>
    </row>
    <row r="942" spans="1:21" ht="18.75" customHeight="1" x14ac:dyDescent="0.2">
      <c r="A942" s="79"/>
      <c r="B942" s="79"/>
      <c r="C942" s="80"/>
      <c r="D942" s="66"/>
      <c r="E942" s="86"/>
      <c r="F942" s="66"/>
      <c r="G942" s="66" t="s">
        <v>353</v>
      </c>
      <c r="H942" s="82"/>
      <c r="I942" s="87"/>
      <c r="J942" s="84"/>
      <c r="K942" s="91"/>
      <c r="L942" s="66"/>
      <c r="M942" s="66"/>
      <c r="N942" s="66"/>
      <c r="O942" s="66"/>
      <c r="P942" s="66"/>
      <c r="Q942" s="66"/>
      <c r="R942" s="72"/>
      <c r="T942" s="66"/>
      <c r="U942" s="66"/>
    </row>
    <row r="943" spans="1:21" ht="18.75" customHeight="1" x14ac:dyDescent="0.2">
      <c r="A943" s="70">
        <v>39236</v>
      </c>
      <c r="B943" s="70">
        <v>39250</v>
      </c>
      <c r="C943" s="71">
        <v>13104</v>
      </c>
      <c r="D943" s="72" t="s">
        <v>752</v>
      </c>
      <c r="E943" s="72" t="s">
        <v>55</v>
      </c>
      <c r="F943" s="72" t="s">
        <v>1110</v>
      </c>
      <c r="G943" s="72" t="s">
        <v>629</v>
      </c>
      <c r="H943" s="74" t="s">
        <v>349</v>
      </c>
      <c r="I943" s="107">
        <v>50.14</v>
      </c>
      <c r="J943" s="76"/>
      <c r="K943" s="76">
        <v>55.7</v>
      </c>
      <c r="L943" s="76"/>
      <c r="M943" s="70">
        <v>39318</v>
      </c>
      <c r="N943" s="89">
        <f>DATE(YEAR(M943)+8,MONTH(M943),DAY(M943)-1)</f>
        <v>42239</v>
      </c>
      <c r="O943" s="92" t="s">
        <v>19</v>
      </c>
      <c r="P943" s="92" t="s">
        <v>753</v>
      </c>
      <c r="Q943" s="92" t="s">
        <v>754</v>
      </c>
      <c r="R943" s="72" t="s">
        <v>349</v>
      </c>
      <c r="S943" s="72"/>
      <c r="T943" s="72"/>
      <c r="U943" s="72"/>
    </row>
    <row r="944" spans="1:21" ht="18.75" customHeight="1" x14ac:dyDescent="0.2">
      <c r="A944" s="79"/>
      <c r="B944" s="79"/>
      <c r="C944" s="80"/>
      <c r="D944" s="66"/>
      <c r="E944" s="66" t="s">
        <v>19</v>
      </c>
      <c r="F944" s="66" t="s">
        <v>1250</v>
      </c>
      <c r="G944" s="66" t="s">
        <v>416</v>
      </c>
      <c r="H944" s="82" t="s">
        <v>349</v>
      </c>
      <c r="I944" s="115">
        <v>30.34</v>
      </c>
      <c r="J944" s="84"/>
      <c r="K944" s="91"/>
      <c r="L944" s="66"/>
      <c r="M944" s="66"/>
      <c r="N944" s="66"/>
      <c r="O944" s="66"/>
      <c r="P944" s="66"/>
      <c r="Q944" s="66"/>
      <c r="R944" s="72"/>
      <c r="T944" s="66"/>
      <c r="U944" s="66"/>
    </row>
    <row r="945" spans="1:21" ht="18.75" customHeight="1" x14ac:dyDescent="0.2">
      <c r="A945" s="79"/>
      <c r="B945" s="79"/>
      <c r="C945" s="80"/>
      <c r="D945" s="66"/>
      <c r="E945" s="66" t="s">
        <v>21</v>
      </c>
      <c r="F945" s="66" t="s">
        <v>347</v>
      </c>
      <c r="G945" s="66" t="s">
        <v>550</v>
      </c>
      <c r="H945" s="82" t="s">
        <v>349</v>
      </c>
      <c r="I945" s="115">
        <v>19.53</v>
      </c>
      <c r="J945" s="84"/>
      <c r="K945" s="91"/>
      <c r="L945" s="66"/>
      <c r="M945" s="66"/>
      <c r="N945" s="66"/>
      <c r="O945" s="66"/>
      <c r="P945" s="66"/>
      <c r="Q945" s="66"/>
      <c r="R945" s="72"/>
      <c r="T945" s="66"/>
      <c r="U945" s="66"/>
    </row>
    <row r="946" spans="1:21" ht="18.75" customHeight="1" x14ac:dyDescent="0.2">
      <c r="A946" s="79"/>
      <c r="B946" s="79"/>
      <c r="C946" s="80"/>
      <c r="D946" s="66"/>
      <c r="E946" s="86"/>
      <c r="F946" s="66"/>
      <c r="G946" s="66" t="s">
        <v>353</v>
      </c>
      <c r="H946" s="82"/>
      <c r="I946" s="87"/>
      <c r="J946" s="84"/>
      <c r="K946" s="91"/>
      <c r="L946" s="66"/>
      <c r="M946" s="66"/>
      <c r="N946" s="66"/>
      <c r="O946" s="66"/>
      <c r="P946" s="66"/>
      <c r="Q946" s="66"/>
      <c r="R946" s="72"/>
      <c r="T946" s="66"/>
      <c r="U946" s="66"/>
    </row>
    <row r="947" spans="1:21" ht="18.75" customHeight="1" x14ac:dyDescent="0.2">
      <c r="A947" s="70">
        <v>39236</v>
      </c>
      <c r="B947" s="70">
        <v>39250</v>
      </c>
      <c r="C947" s="71">
        <v>13302</v>
      </c>
      <c r="D947" s="72" t="s">
        <v>760</v>
      </c>
      <c r="E947" s="72" t="s">
        <v>19</v>
      </c>
      <c r="F947" s="72" t="s">
        <v>1251</v>
      </c>
      <c r="G947" s="72" t="s">
        <v>669</v>
      </c>
      <c r="H947" s="74" t="s">
        <v>349</v>
      </c>
      <c r="I947" s="107">
        <v>44.76</v>
      </c>
      <c r="J947" s="121">
        <v>52.62</v>
      </c>
      <c r="K947" s="76">
        <v>46.1</v>
      </c>
      <c r="L947" s="76">
        <v>48.73</v>
      </c>
      <c r="M947" s="70">
        <v>39479</v>
      </c>
      <c r="N947" s="89">
        <f>DATE(YEAR(M947)+8,MONTH(M947),DAY(M947)-1)</f>
        <v>42400</v>
      </c>
      <c r="O947" s="92" t="s">
        <v>21</v>
      </c>
      <c r="P947" s="92" t="s">
        <v>761</v>
      </c>
      <c r="Q947" s="92" t="s">
        <v>754</v>
      </c>
      <c r="R947" s="72" t="s">
        <v>349</v>
      </c>
      <c r="S947" s="72"/>
      <c r="T947" s="72"/>
      <c r="U947" s="72"/>
    </row>
    <row r="948" spans="1:21" ht="18.75" customHeight="1" x14ac:dyDescent="0.2">
      <c r="A948" s="79"/>
      <c r="B948" s="79"/>
      <c r="C948" s="80"/>
      <c r="D948" s="66"/>
      <c r="E948" s="66" t="s">
        <v>21</v>
      </c>
      <c r="F948" s="66" t="s">
        <v>761</v>
      </c>
      <c r="G948" s="66" t="s">
        <v>754</v>
      </c>
      <c r="H948" s="82" t="s">
        <v>349</v>
      </c>
      <c r="I948" s="115">
        <v>40.31</v>
      </c>
      <c r="J948" s="123">
        <v>47.38</v>
      </c>
      <c r="K948" s="91"/>
      <c r="L948" s="66"/>
      <c r="M948" s="66"/>
      <c r="N948" s="66"/>
      <c r="O948" s="66"/>
      <c r="P948" s="66"/>
      <c r="Q948" s="66"/>
      <c r="R948" s="72"/>
      <c r="T948" s="66"/>
      <c r="U948" s="66"/>
    </row>
    <row r="949" spans="1:21" ht="18.75" customHeight="1" x14ac:dyDescent="0.2">
      <c r="A949" s="79"/>
      <c r="B949" s="79"/>
      <c r="C949" s="80"/>
      <c r="D949" s="66"/>
      <c r="E949" s="66" t="s">
        <v>1252</v>
      </c>
      <c r="F949" s="66" t="s">
        <v>1252</v>
      </c>
      <c r="G949" s="66" t="s">
        <v>1005</v>
      </c>
      <c r="H949" s="82" t="s">
        <v>349</v>
      </c>
      <c r="I949" s="115">
        <v>14.92</v>
      </c>
      <c r="J949" s="84"/>
      <c r="K949" s="91"/>
      <c r="L949" s="66"/>
      <c r="M949" s="66"/>
      <c r="N949" s="66"/>
      <c r="O949" s="66"/>
      <c r="P949" s="66"/>
      <c r="Q949" s="66"/>
      <c r="R949" s="72"/>
      <c r="T949" s="72"/>
      <c r="U949" s="66"/>
    </row>
    <row r="950" spans="1:21" ht="18.75" customHeight="1" x14ac:dyDescent="0.2">
      <c r="A950" s="79"/>
      <c r="B950" s="79"/>
      <c r="C950" s="80"/>
      <c r="D950" s="66"/>
      <c r="E950" s="86"/>
      <c r="F950" s="66"/>
      <c r="G950" s="66" t="s">
        <v>353</v>
      </c>
      <c r="H950" s="82"/>
      <c r="I950" s="87"/>
      <c r="J950" s="84"/>
      <c r="K950" s="91"/>
      <c r="L950" s="66"/>
      <c r="M950" s="66"/>
      <c r="N950" s="66"/>
      <c r="O950" s="66"/>
      <c r="P950" s="66"/>
      <c r="Q950" s="66"/>
      <c r="R950" s="72"/>
      <c r="T950" s="66"/>
      <c r="U950" s="66"/>
    </row>
    <row r="951" spans="1:21" ht="18.75" customHeight="1" x14ac:dyDescent="0.2">
      <c r="A951" s="70">
        <v>39250</v>
      </c>
      <c r="B951" s="70">
        <v>39264</v>
      </c>
      <c r="C951" s="71">
        <v>33306</v>
      </c>
      <c r="D951" s="72" t="s">
        <v>1026</v>
      </c>
      <c r="E951" s="72" t="s">
        <v>19</v>
      </c>
      <c r="F951" s="72" t="s">
        <v>1028</v>
      </c>
      <c r="G951" s="72" t="s">
        <v>958</v>
      </c>
      <c r="H951" s="74" t="s">
        <v>349</v>
      </c>
      <c r="I951" s="107">
        <v>46.02</v>
      </c>
      <c r="J951" s="121">
        <v>52.36</v>
      </c>
      <c r="K951" s="76">
        <v>56.22</v>
      </c>
      <c r="L951" s="76">
        <v>54.82</v>
      </c>
      <c r="M951" s="70">
        <v>39539</v>
      </c>
      <c r="N951" s="68">
        <v>42441</v>
      </c>
      <c r="O951" s="72" t="s">
        <v>1027</v>
      </c>
      <c r="P951" s="72" t="s">
        <v>1027</v>
      </c>
      <c r="Q951" s="72" t="s">
        <v>389</v>
      </c>
      <c r="R951" s="72" t="s">
        <v>349</v>
      </c>
      <c r="S951" s="111"/>
      <c r="T951" s="72"/>
      <c r="U951" s="72"/>
    </row>
    <row r="952" spans="1:21" ht="18.75" customHeight="1" x14ac:dyDescent="0.2">
      <c r="A952" s="79"/>
      <c r="B952" s="79"/>
      <c r="C952" s="80"/>
      <c r="D952" s="66"/>
      <c r="E952" s="66" t="s">
        <v>21</v>
      </c>
      <c r="F952" s="66" t="s">
        <v>1253</v>
      </c>
      <c r="G952" s="66" t="s">
        <v>469</v>
      </c>
      <c r="H952" s="82" t="s">
        <v>349</v>
      </c>
      <c r="I952" s="115">
        <v>40.090000000000003</v>
      </c>
      <c r="J952" s="123">
        <v>47.64</v>
      </c>
      <c r="K952" s="91"/>
      <c r="L952" s="66"/>
      <c r="M952" s="66"/>
      <c r="N952" s="66"/>
      <c r="O952" s="66"/>
      <c r="P952" s="66"/>
      <c r="Q952" s="66"/>
      <c r="R952" s="72"/>
      <c r="T952" s="66"/>
      <c r="U952" s="66"/>
    </row>
    <row r="953" spans="1:21" ht="18.75" customHeight="1" x14ac:dyDescent="0.2">
      <c r="A953" s="79"/>
      <c r="B953" s="79"/>
      <c r="C953" s="80"/>
      <c r="D953" s="66"/>
      <c r="E953" s="66" t="s">
        <v>55</v>
      </c>
      <c r="F953" s="66" t="s">
        <v>1254</v>
      </c>
      <c r="G953" s="66" t="s">
        <v>525</v>
      </c>
      <c r="H953" s="82" t="s">
        <v>349</v>
      </c>
      <c r="I953" s="115">
        <v>13.9</v>
      </c>
      <c r="J953" s="84"/>
      <c r="K953" s="91"/>
      <c r="L953" s="66"/>
      <c r="M953" s="66"/>
      <c r="N953" s="66"/>
      <c r="O953" s="66"/>
      <c r="P953" s="66"/>
      <c r="Q953" s="66"/>
      <c r="R953" s="72"/>
      <c r="T953" s="66"/>
      <c r="U953" s="66"/>
    </row>
    <row r="954" spans="1:21" ht="18.75" customHeight="1" x14ac:dyDescent="0.2">
      <c r="A954" s="79"/>
      <c r="B954" s="79"/>
      <c r="C954" s="80"/>
      <c r="D954" s="66"/>
      <c r="E954" s="86"/>
      <c r="F954" s="66"/>
      <c r="G954" s="66" t="s">
        <v>353</v>
      </c>
      <c r="H954" s="82"/>
      <c r="I954" s="87"/>
      <c r="J954" s="84"/>
      <c r="K954" s="91"/>
      <c r="L954" s="66"/>
      <c r="M954" s="66"/>
      <c r="N954" s="66"/>
      <c r="O954" s="66"/>
      <c r="P954" s="66"/>
      <c r="Q954" s="66"/>
      <c r="R954" s="72"/>
      <c r="T954" s="66"/>
      <c r="U954" s="66"/>
    </row>
    <row r="955" spans="1:21" ht="18.75" customHeight="1" x14ac:dyDescent="0.2">
      <c r="A955" s="70">
        <v>39250</v>
      </c>
      <c r="B955" s="70">
        <v>39264</v>
      </c>
      <c r="C955" s="71">
        <v>33501</v>
      </c>
      <c r="D955" s="72" t="s">
        <v>784</v>
      </c>
      <c r="E955" s="72" t="s">
        <v>21</v>
      </c>
      <c r="F955" s="72" t="s">
        <v>494</v>
      </c>
      <c r="G955" s="72" t="s">
        <v>368</v>
      </c>
      <c r="H955" s="74" t="s">
        <v>349</v>
      </c>
      <c r="I955" s="107">
        <v>62.59</v>
      </c>
      <c r="J955" s="76"/>
      <c r="K955" s="76">
        <v>49.06</v>
      </c>
      <c r="L955" s="76"/>
      <c r="M955" s="70">
        <v>39465</v>
      </c>
      <c r="N955" s="89">
        <f>DATE(YEAR(M955)+8,MONTH(M955),DAY(M955)-1)</f>
        <v>42386</v>
      </c>
      <c r="O955" s="92" t="s">
        <v>21</v>
      </c>
      <c r="P955" s="92" t="s">
        <v>494</v>
      </c>
      <c r="Q955" s="92" t="s">
        <v>368</v>
      </c>
      <c r="R955" s="72" t="s">
        <v>349</v>
      </c>
      <c r="S955" s="72"/>
      <c r="T955" s="72"/>
      <c r="U955" s="72"/>
    </row>
    <row r="956" spans="1:21" ht="18.75" customHeight="1" x14ac:dyDescent="0.2">
      <c r="A956" s="79"/>
      <c r="B956" s="79"/>
      <c r="C956" s="80"/>
      <c r="D956" s="66"/>
      <c r="E956" s="66" t="s">
        <v>19</v>
      </c>
      <c r="F956" s="66" t="s">
        <v>785</v>
      </c>
      <c r="G956" s="66" t="s">
        <v>786</v>
      </c>
      <c r="H956" s="82" t="s">
        <v>349</v>
      </c>
      <c r="I956" s="115">
        <v>31.6</v>
      </c>
      <c r="J956" s="84"/>
      <c r="K956" s="91"/>
      <c r="L956" s="66"/>
      <c r="M956" s="66"/>
      <c r="N956" s="66"/>
      <c r="O956" s="66"/>
      <c r="P956" s="66"/>
      <c r="Q956" s="66"/>
      <c r="R956" s="72"/>
      <c r="T956" s="66"/>
      <c r="U956" s="66"/>
    </row>
    <row r="957" spans="1:21" ht="18.75" customHeight="1" x14ac:dyDescent="0.2">
      <c r="A957" s="79"/>
      <c r="B957" s="79"/>
      <c r="C957" s="80"/>
      <c r="D957" s="66"/>
      <c r="E957" s="66" t="s">
        <v>38</v>
      </c>
      <c r="F957" s="66" t="s">
        <v>347</v>
      </c>
      <c r="G957" s="66" t="s">
        <v>935</v>
      </c>
      <c r="H957" s="82" t="s">
        <v>349</v>
      </c>
      <c r="I957" s="115">
        <v>5.82</v>
      </c>
      <c r="J957" s="84"/>
      <c r="K957" s="91"/>
      <c r="L957" s="66"/>
      <c r="M957" s="66"/>
      <c r="N957" s="66"/>
      <c r="O957" s="66"/>
      <c r="P957" s="66"/>
      <c r="Q957" s="66"/>
      <c r="R957" s="72"/>
      <c r="T957" s="66"/>
      <c r="U957" s="66"/>
    </row>
    <row r="958" spans="1:21" ht="18.75" customHeight="1" x14ac:dyDescent="0.2">
      <c r="A958" s="79"/>
      <c r="B958" s="79"/>
      <c r="C958" s="80"/>
      <c r="D958" s="66"/>
      <c r="E958" s="86"/>
      <c r="F958" s="66"/>
      <c r="G958" s="66" t="s">
        <v>353</v>
      </c>
      <c r="H958" s="82"/>
      <c r="I958" s="87"/>
      <c r="J958" s="84"/>
      <c r="K958" s="91"/>
      <c r="L958" s="66"/>
      <c r="M958" s="66"/>
      <c r="N958" s="66"/>
      <c r="O958" s="66"/>
      <c r="P958" s="66"/>
      <c r="Q958" s="66"/>
      <c r="R958" s="72"/>
      <c r="T958" s="66"/>
      <c r="U958" s="66"/>
    </row>
    <row r="959" spans="1:21" ht="18.75" customHeight="1" x14ac:dyDescent="0.2">
      <c r="A959" s="70">
        <v>39250</v>
      </c>
      <c r="B959" s="70">
        <v>39264</v>
      </c>
      <c r="C959" s="71">
        <v>33602</v>
      </c>
      <c r="D959" s="72" t="s">
        <v>795</v>
      </c>
      <c r="E959" s="72" t="s">
        <v>21</v>
      </c>
      <c r="F959" s="72" t="s">
        <v>716</v>
      </c>
      <c r="G959" s="72" t="s">
        <v>358</v>
      </c>
      <c r="H959" s="74" t="s">
        <v>349</v>
      </c>
      <c r="I959" s="107">
        <v>90.26</v>
      </c>
      <c r="J959" s="76"/>
      <c r="K959" s="76">
        <v>35.549999999999997</v>
      </c>
      <c r="L959" s="76"/>
      <c r="M959" s="70">
        <v>39465</v>
      </c>
      <c r="N959" s="68">
        <v>42004</v>
      </c>
      <c r="O959" s="92" t="s">
        <v>21</v>
      </c>
      <c r="P959" s="92" t="s">
        <v>716</v>
      </c>
      <c r="Q959" s="92" t="s">
        <v>358</v>
      </c>
      <c r="R959" s="72" t="s">
        <v>349</v>
      </c>
      <c r="S959" s="72"/>
      <c r="T959" s="72"/>
      <c r="U959" s="72"/>
    </row>
    <row r="960" spans="1:21" ht="18.75" customHeight="1" x14ac:dyDescent="0.2">
      <c r="A960" s="79"/>
      <c r="B960" s="79"/>
      <c r="C960" s="80"/>
      <c r="D960" s="66"/>
      <c r="E960" s="86"/>
      <c r="F960" s="66"/>
      <c r="G960" s="66" t="s">
        <v>353</v>
      </c>
      <c r="H960" s="82"/>
      <c r="I960" s="87"/>
      <c r="J960" s="84"/>
      <c r="K960" s="91"/>
      <c r="L960" s="66"/>
      <c r="M960" s="66"/>
      <c r="N960" s="66"/>
      <c r="O960" s="66"/>
      <c r="P960" s="66"/>
      <c r="Q960" s="66"/>
      <c r="R960" s="72"/>
      <c r="T960" s="66"/>
      <c r="U960" s="66"/>
    </row>
    <row r="961" spans="1:21" ht="18.75" customHeight="1" x14ac:dyDescent="0.2">
      <c r="A961" s="70">
        <v>39257</v>
      </c>
      <c r="B961" s="70">
        <v>39271</v>
      </c>
      <c r="C961" s="71">
        <v>13403</v>
      </c>
      <c r="D961" s="72" t="s">
        <v>470</v>
      </c>
      <c r="E961" s="72" t="s">
        <v>21</v>
      </c>
      <c r="F961" s="72" t="s">
        <v>1181</v>
      </c>
      <c r="G961" s="72" t="s">
        <v>789</v>
      </c>
      <c r="H961" s="74" t="s">
        <v>349</v>
      </c>
      <c r="I961" s="107">
        <v>54.89</v>
      </c>
      <c r="J961" s="76"/>
      <c r="K961" s="76">
        <v>40.729999999999997</v>
      </c>
      <c r="L961" s="76"/>
      <c r="M961" s="70">
        <v>39387</v>
      </c>
      <c r="N961" s="89">
        <f>DATE(YEAR(M961)+8,MONTH(M961),DAY(M961)-1)</f>
        <v>42308</v>
      </c>
      <c r="O961" s="72" t="s">
        <v>21</v>
      </c>
      <c r="P961" s="72" t="s">
        <v>471</v>
      </c>
      <c r="Q961" s="72" t="s">
        <v>358</v>
      </c>
      <c r="R961" s="72" t="s">
        <v>349</v>
      </c>
      <c r="S961" s="72"/>
      <c r="T961" s="72"/>
      <c r="U961" s="72"/>
    </row>
    <row r="962" spans="1:21" ht="18.75" customHeight="1" x14ac:dyDescent="0.2">
      <c r="A962" s="79"/>
      <c r="B962" s="79"/>
      <c r="C962" s="80"/>
      <c r="D962" s="66"/>
      <c r="E962" s="66" t="s">
        <v>19</v>
      </c>
      <c r="F962" s="66" t="s">
        <v>1255</v>
      </c>
      <c r="G962" s="66" t="s">
        <v>1256</v>
      </c>
      <c r="H962" s="82" t="s">
        <v>419</v>
      </c>
      <c r="I962" s="115">
        <v>45.11</v>
      </c>
      <c r="J962" s="84"/>
      <c r="K962" s="91"/>
      <c r="L962" s="66"/>
      <c r="M962" s="66"/>
      <c r="N962" s="66"/>
      <c r="O962" s="66"/>
      <c r="P962" s="66"/>
      <c r="Q962" s="66"/>
      <c r="R962" s="72"/>
      <c r="T962" s="66"/>
      <c r="U962" s="66"/>
    </row>
    <row r="963" spans="1:21" ht="18.75" customHeight="1" x14ac:dyDescent="0.2">
      <c r="A963" s="79"/>
      <c r="B963" s="79"/>
      <c r="C963" s="80"/>
      <c r="D963" s="66"/>
      <c r="E963" s="86"/>
      <c r="F963" s="66"/>
      <c r="G963" s="66" t="s">
        <v>353</v>
      </c>
      <c r="H963" s="82"/>
      <c r="I963" s="87"/>
      <c r="J963" s="84"/>
      <c r="K963" s="91"/>
      <c r="L963" s="66"/>
      <c r="M963" s="66"/>
      <c r="N963" s="66"/>
      <c r="O963" s="66"/>
      <c r="P963" s="66"/>
      <c r="Q963" s="66"/>
      <c r="R963" s="72"/>
      <c r="T963" s="66"/>
      <c r="U963" s="66"/>
    </row>
    <row r="964" spans="1:21" ht="18.75" customHeight="1" x14ac:dyDescent="0.2">
      <c r="A964" s="70">
        <v>39257</v>
      </c>
      <c r="B964" s="70">
        <v>39278</v>
      </c>
      <c r="C964" s="71">
        <v>23101</v>
      </c>
      <c r="D964" s="72" t="s">
        <v>813</v>
      </c>
      <c r="E964" s="72" t="s">
        <v>19</v>
      </c>
      <c r="F964" s="72" t="s">
        <v>814</v>
      </c>
      <c r="G964" s="72" t="s">
        <v>815</v>
      </c>
      <c r="H964" s="74" t="s">
        <v>349</v>
      </c>
      <c r="I964" s="107">
        <v>82.75</v>
      </c>
      <c r="J964" s="76"/>
      <c r="K964" s="76">
        <v>38.14</v>
      </c>
      <c r="L964" s="76"/>
      <c r="M964" s="70">
        <v>39527</v>
      </c>
      <c r="N964" s="89">
        <v>41009</v>
      </c>
      <c r="O964" s="92" t="s">
        <v>19</v>
      </c>
      <c r="P964" s="92" t="s">
        <v>814</v>
      </c>
      <c r="Q964" s="92" t="s">
        <v>815</v>
      </c>
      <c r="R964" s="72" t="s">
        <v>349</v>
      </c>
      <c r="S964" s="72"/>
      <c r="T964" s="72"/>
      <c r="U964" s="72"/>
    </row>
    <row r="965" spans="1:21" ht="18.75" customHeight="1" x14ac:dyDescent="0.2">
      <c r="A965" s="79"/>
      <c r="B965" s="79"/>
      <c r="C965" s="80"/>
      <c r="D965" s="66"/>
      <c r="E965" s="66" t="s">
        <v>1144</v>
      </c>
      <c r="F965" s="66" t="s">
        <v>1212</v>
      </c>
      <c r="G965" s="66" t="s">
        <v>721</v>
      </c>
      <c r="H965" s="82" t="s">
        <v>349</v>
      </c>
      <c r="I965" s="115">
        <v>17.25</v>
      </c>
      <c r="J965" s="84"/>
      <c r="K965" s="91"/>
      <c r="L965" s="66"/>
      <c r="M965" s="66"/>
      <c r="N965" s="66"/>
      <c r="O965" s="66"/>
      <c r="P965" s="66"/>
      <c r="Q965" s="66"/>
      <c r="R965" s="72"/>
      <c r="T965" s="66"/>
      <c r="U965" s="66"/>
    </row>
    <row r="966" spans="1:21" ht="18.75" customHeight="1" x14ac:dyDescent="0.2">
      <c r="A966" s="79"/>
      <c r="B966" s="79"/>
      <c r="C966" s="80"/>
      <c r="D966" s="66"/>
      <c r="E966" s="86"/>
      <c r="F966" s="66"/>
      <c r="G966" s="66" t="s">
        <v>353</v>
      </c>
      <c r="H966" s="82"/>
      <c r="I966" s="87"/>
      <c r="J966" s="84"/>
      <c r="K966" s="91"/>
      <c r="L966" s="66"/>
      <c r="M966" s="66"/>
      <c r="N966" s="66"/>
      <c r="O966" s="66"/>
      <c r="P966" s="66"/>
      <c r="Q966" s="66"/>
      <c r="R966" s="72"/>
      <c r="T966" s="66"/>
      <c r="U966" s="66"/>
    </row>
    <row r="967" spans="1:21" ht="18.75" customHeight="1" x14ac:dyDescent="0.2">
      <c r="A967" s="70">
        <v>39341</v>
      </c>
      <c r="B967" s="70">
        <v>39355</v>
      </c>
      <c r="C967" s="71">
        <v>33605</v>
      </c>
      <c r="D967" s="72" t="s">
        <v>818</v>
      </c>
      <c r="E967" s="72" t="s">
        <v>761</v>
      </c>
      <c r="F967" s="72" t="s">
        <v>761</v>
      </c>
      <c r="G967" s="72" t="s">
        <v>416</v>
      </c>
      <c r="H967" s="74" t="s">
        <v>349</v>
      </c>
      <c r="I967" s="107">
        <v>69.73</v>
      </c>
      <c r="J967" s="76"/>
      <c r="K967" s="76">
        <v>37.700000000000003</v>
      </c>
      <c r="L967" s="76"/>
      <c r="M967" s="70">
        <v>39600</v>
      </c>
      <c r="N967" s="89">
        <f>DATE(YEAR(M967)+8,MONTH(M967),DAY(M967)-1)</f>
        <v>42521</v>
      </c>
      <c r="O967" s="92" t="s">
        <v>761</v>
      </c>
      <c r="P967" s="92" t="s">
        <v>761</v>
      </c>
      <c r="Q967" s="92" t="s">
        <v>416</v>
      </c>
      <c r="R967" s="72" t="s">
        <v>349</v>
      </c>
      <c r="S967" s="111"/>
      <c r="T967" s="72"/>
      <c r="U967" s="72"/>
    </row>
    <row r="968" spans="1:21" ht="18.75" customHeight="1" x14ac:dyDescent="0.2">
      <c r="A968" s="79"/>
      <c r="B968" s="79"/>
      <c r="C968" s="80"/>
      <c r="D968" s="66"/>
      <c r="E968" s="86"/>
      <c r="F968" s="66"/>
      <c r="G968" s="66" t="s">
        <v>353</v>
      </c>
      <c r="H968" s="82"/>
      <c r="I968" s="87"/>
      <c r="J968" s="84"/>
      <c r="K968" s="91"/>
      <c r="L968" s="66"/>
      <c r="M968" s="66"/>
      <c r="N968" s="66"/>
      <c r="O968" s="66"/>
      <c r="P968" s="66"/>
      <c r="Q968" s="66"/>
      <c r="R968" s="72"/>
      <c r="T968" s="66"/>
      <c r="U968" s="66"/>
    </row>
    <row r="969" spans="1:21" ht="18.75" customHeight="1" x14ac:dyDescent="0.2">
      <c r="A969" s="70">
        <v>39348</v>
      </c>
      <c r="B969" s="70">
        <v>39362</v>
      </c>
      <c r="C969" s="71">
        <v>13504</v>
      </c>
      <c r="D969" s="72" t="s">
        <v>491</v>
      </c>
      <c r="E969" s="72" t="s">
        <v>580</v>
      </c>
      <c r="F969" s="72" t="s">
        <v>580</v>
      </c>
      <c r="G969" s="72" t="s">
        <v>1257</v>
      </c>
      <c r="H969" s="74" t="s">
        <v>349</v>
      </c>
      <c r="I969" s="107">
        <v>40.659999999999997</v>
      </c>
      <c r="J969" s="121">
        <v>65.69</v>
      </c>
      <c r="K969" s="76">
        <v>56.1</v>
      </c>
      <c r="L969" s="76">
        <v>60.41</v>
      </c>
      <c r="M969" s="70">
        <v>39387</v>
      </c>
      <c r="N969" s="89">
        <v>40559</v>
      </c>
      <c r="O969" s="95" t="s">
        <v>19</v>
      </c>
      <c r="P969" s="95" t="s">
        <v>492</v>
      </c>
      <c r="Q969" s="95" t="s">
        <v>360</v>
      </c>
      <c r="R969" s="72" t="s">
        <v>349</v>
      </c>
      <c r="S969" s="72"/>
      <c r="T969" s="72"/>
      <c r="U969" s="72"/>
    </row>
    <row r="970" spans="1:21" ht="18.75" customHeight="1" x14ac:dyDescent="0.2">
      <c r="A970" s="79"/>
      <c r="B970" s="79"/>
      <c r="C970" s="80"/>
      <c r="D970" s="66"/>
      <c r="E970" s="66" t="s">
        <v>19</v>
      </c>
      <c r="F970" s="66" t="s">
        <v>1258</v>
      </c>
      <c r="G970" s="66" t="s">
        <v>1259</v>
      </c>
      <c r="H970" s="82" t="s">
        <v>349</v>
      </c>
      <c r="I970" s="115">
        <v>41.77</v>
      </c>
      <c r="J970" s="123">
        <v>34.31</v>
      </c>
      <c r="K970" s="91"/>
      <c r="L970" s="66"/>
      <c r="M970" s="66"/>
      <c r="N970" s="66"/>
      <c r="O970" s="66"/>
      <c r="P970" s="66"/>
      <c r="Q970" s="66"/>
      <c r="R970" s="72"/>
      <c r="T970" s="66"/>
      <c r="U970" s="66"/>
    </row>
    <row r="971" spans="1:21" ht="18.75" customHeight="1" x14ac:dyDescent="0.2">
      <c r="A971" s="79"/>
      <c r="B971" s="79"/>
      <c r="C971" s="80"/>
      <c r="D971" s="66"/>
      <c r="E971" s="66" t="s">
        <v>21</v>
      </c>
      <c r="F971" s="66" t="s">
        <v>1260</v>
      </c>
      <c r="G971" s="66" t="s">
        <v>754</v>
      </c>
      <c r="H971" s="82" t="s">
        <v>349</v>
      </c>
      <c r="I971" s="115">
        <v>17.57</v>
      </c>
      <c r="J971" s="84"/>
      <c r="K971" s="91"/>
      <c r="L971" s="66"/>
      <c r="M971" s="66"/>
      <c r="N971" s="66"/>
      <c r="O971" s="66"/>
      <c r="P971" s="66"/>
      <c r="Q971" s="66"/>
      <c r="R971" s="72"/>
      <c r="T971" s="66"/>
      <c r="U971" s="66"/>
    </row>
    <row r="972" spans="1:21" ht="18.75" customHeight="1" x14ac:dyDescent="0.2">
      <c r="A972" s="79"/>
      <c r="B972" s="79"/>
      <c r="C972" s="80"/>
      <c r="D972" s="66"/>
      <c r="E972" s="86"/>
      <c r="F972" s="66"/>
      <c r="G972" s="66" t="s">
        <v>353</v>
      </c>
      <c r="H972" s="82"/>
      <c r="I972" s="87"/>
      <c r="J972" s="84"/>
      <c r="K972" s="91"/>
      <c r="L972" s="66"/>
      <c r="M972" s="66"/>
      <c r="N972" s="66"/>
      <c r="O972" s="66"/>
      <c r="P972" s="66"/>
      <c r="Q972" s="66"/>
      <c r="R972" s="72"/>
      <c r="T972" s="66"/>
      <c r="U972" s="66"/>
    </row>
    <row r="973" spans="1:21" ht="18.75" customHeight="1" x14ac:dyDescent="0.2">
      <c r="A973" s="70">
        <v>39390</v>
      </c>
      <c r="B973" s="70">
        <v>39404</v>
      </c>
      <c r="C973" s="71">
        <v>34003</v>
      </c>
      <c r="D973" s="72" t="s">
        <v>438</v>
      </c>
      <c r="E973" s="72" t="s">
        <v>19</v>
      </c>
      <c r="F973" s="72" t="s">
        <v>1261</v>
      </c>
      <c r="G973" s="72" t="s">
        <v>1262</v>
      </c>
      <c r="H973" s="74" t="s">
        <v>419</v>
      </c>
      <c r="I973" s="107">
        <v>52.91</v>
      </c>
      <c r="J973" s="76"/>
      <c r="K973" s="76">
        <v>50.7</v>
      </c>
      <c r="L973" s="76"/>
      <c r="M973" s="70">
        <v>39522</v>
      </c>
      <c r="N973" s="89">
        <f>DATE(YEAR(M973)+8,MONTH(M973),DAY(M973)-1)</f>
        <v>42443</v>
      </c>
      <c r="O973" s="92" t="s">
        <v>55</v>
      </c>
      <c r="P973" s="92" t="s">
        <v>463</v>
      </c>
      <c r="Q973" s="92" t="s">
        <v>738</v>
      </c>
      <c r="R973" s="72" t="s">
        <v>349</v>
      </c>
      <c r="S973" s="72"/>
      <c r="T973" s="72"/>
      <c r="U973" s="72"/>
    </row>
    <row r="974" spans="1:21" ht="18.75" customHeight="1" x14ac:dyDescent="0.2">
      <c r="A974" s="79"/>
      <c r="B974" s="79"/>
      <c r="C974" s="80"/>
      <c r="D974" s="66"/>
      <c r="E974" s="66" t="s">
        <v>21</v>
      </c>
      <c r="F974" s="66" t="s">
        <v>1263</v>
      </c>
      <c r="G974" s="66" t="s">
        <v>655</v>
      </c>
      <c r="H974" s="82" t="s">
        <v>349</v>
      </c>
      <c r="I974" s="115">
        <v>41.31</v>
      </c>
      <c r="J974" s="84"/>
      <c r="K974" s="91"/>
      <c r="L974" s="66"/>
      <c r="M974" s="66"/>
      <c r="N974" s="66"/>
      <c r="O974" s="66"/>
      <c r="P974" s="66"/>
      <c r="Q974" s="66"/>
      <c r="R974" s="72"/>
      <c r="T974" s="66"/>
      <c r="U974" s="66"/>
    </row>
    <row r="975" spans="1:21" ht="18.75" customHeight="1" x14ac:dyDescent="0.2">
      <c r="A975" s="79"/>
      <c r="B975" s="79"/>
      <c r="C975" s="80"/>
      <c r="D975" s="66"/>
      <c r="E975" s="66" t="s">
        <v>109</v>
      </c>
      <c r="F975" s="66" t="s">
        <v>109</v>
      </c>
      <c r="G975" s="66" t="s">
        <v>474</v>
      </c>
      <c r="H975" s="82" t="s">
        <v>349</v>
      </c>
      <c r="I975" s="115">
        <v>5.77</v>
      </c>
      <c r="J975" s="84"/>
      <c r="K975" s="91"/>
      <c r="L975" s="66"/>
      <c r="M975" s="66"/>
      <c r="N975" s="66"/>
      <c r="O975" s="66"/>
      <c r="P975" s="66"/>
      <c r="Q975" s="66"/>
      <c r="R975" s="72"/>
      <c r="T975" s="72"/>
      <c r="U975" s="66"/>
    </row>
    <row r="976" spans="1:21" ht="18.75" customHeight="1" x14ac:dyDescent="0.2">
      <c r="A976" s="79"/>
      <c r="B976" s="79"/>
      <c r="C976" s="80"/>
      <c r="D976" s="66"/>
      <c r="E976" s="86"/>
      <c r="F976" s="66"/>
      <c r="G976" s="66" t="s">
        <v>353</v>
      </c>
      <c r="H976" s="82"/>
      <c r="I976" s="87"/>
      <c r="J976" s="84"/>
      <c r="K976" s="91"/>
      <c r="L976" s="66"/>
      <c r="M976" s="66"/>
      <c r="N976" s="66"/>
      <c r="O976" s="66"/>
      <c r="P976" s="66"/>
      <c r="Q976" s="66"/>
      <c r="R976" s="72"/>
      <c r="T976" s="66"/>
      <c r="U976" s="66"/>
    </row>
    <row r="977" spans="1:21" ht="18.75" customHeight="1" x14ac:dyDescent="0.2">
      <c r="A977" s="70">
        <v>39411</v>
      </c>
      <c r="B977" s="70">
        <v>39425</v>
      </c>
      <c r="C977" s="71">
        <v>13505</v>
      </c>
      <c r="D977" s="72" t="s">
        <v>828</v>
      </c>
      <c r="E977" s="72" t="s">
        <v>21</v>
      </c>
      <c r="F977" s="72" t="s">
        <v>829</v>
      </c>
      <c r="G977" s="72" t="s">
        <v>1264</v>
      </c>
      <c r="H977" s="74" t="s">
        <v>349</v>
      </c>
      <c r="I977" s="107">
        <v>68.510000000000005</v>
      </c>
      <c r="J977" s="76"/>
      <c r="K977" s="76">
        <v>45.87</v>
      </c>
      <c r="L977" s="76"/>
      <c r="M977" s="70">
        <v>39572</v>
      </c>
      <c r="N977" s="89">
        <f>DATE(YEAR(M977)+8,MONTH(M977),DAY(M977)-1)</f>
        <v>42493</v>
      </c>
      <c r="O977" s="92" t="s">
        <v>21</v>
      </c>
      <c r="P977" s="92" t="s">
        <v>829</v>
      </c>
      <c r="Q977" s="92" t="s">
        <v>416</v>
      </c>
      <c r="R977" s="72" t="s">
        <v>349</v>
      </c>
      <c r="S977" s="72"/>
      <c r="T977" s="72"/>
      <c r="U977" s="72"/>
    </row>
    <row r="978" spans="1:21" ht="18.75" customHeight="1" x14ac:dyDescent="0.2">
      <c r="A978" s="79"/>
      <c r="B978" s="79"/>
      <c r="C978" s="80"/>
      <c r="D978" s="66"/>
      <c r="E978" s="66" t="s">
        <v>19</v>
      </c>
      <c r="F978" s="66" t="s">
        <v>614</v>
      </c>
      <c r="G978" s="66" t="s">
        <v>1022</v>
      </c>
      <c r="H978" s="82" t="s">
        <v>349</v>
      </c>
      <c r="I978" s="115">
        <v>31.49</v>
      </c>
      <c r="J978" s="84"/>
      <c r="K978" s="91"/>
      <c r="L978" s="66"/>
      <c r="M978" s="66"/>
      <c r="N978" s="66"/>
      <c r="O978" s="66"/>
      <c r="P978" s="66"/>
      <c r="Q978" s="66"/>
      <c r="R978" s="72"/>
      <c r="T978" s="66"/>
      <c r="U978" s="66"/>
    </row>
    <row r="979" spans="1:21" ht="18.75" customHeight="1" x14ac:dyDescent="0.2">
      <c r="A979" s="79"/>
      <c r="B979" s="79"/>
      <c r="C979" s="80"/>
      <c r="D979" s="66"/>
      <c r="E979" s="86"/>
      <c r="F979" s="66"/>
      <c r="G979" s="66" t="s">
        <v>353</v>
      </c>
      <c r="H979" s="82"/>
      <c r="I979" s="87"/>
      <c r="J979" s="84"/>
      <c r="K979" s="91"/>
      <c r="L979" s="66"/>
      <c r="M979" s="66"/>
      <c r="N979" s="66"/>
      <c r="O979" s="66"/>
      <c r="P979" s="66"/>
      <c r="Q979" s="66"/>
      <c r="R979" s="72"/>
      <c r="T979" s="66"/>
      <c r="U979" s="66"/>
    </row>
    <row r="980" spans="1:21" ht="18.75" customHeight="1" x14ac:dyDescent="0.2">
      <c r="A980" s="70">
        <v>39516</v>
      </c>
      <c r="B980" s="70">
        <v>39537</v>
      </c>
      <c r="C980" s="71">
        <v>13402</v>
      </c>
      <c r="D980" s="72" t="s">
        <v>139</v>
      </c>
      <c r="E980" s="72" t="s">
        <v>1144</v>
      </c>
      <c r="F980" s="72" t="s">
        <v>1265</v>
      </c>
      <c r="G980" s="72" t="s">
        <v>440</v>
      </c>
      <c r="H980" s="74" t="s">
        <v>349</v>
      </c>
      <c r="I980" s="107">
        <v>31.55</v>
      </c>
      <c r="J980" s="121">
        <v>53.47</v>
      </c>
      <c r="K980" s="76">
        <v>47.22</v>
      </c>
      <c r="L980" s="76">
        <v>45.07</v>
      </c>
      <c r="M980" s="70">
        <v>39736</v>
      </c>
      <c r="N980" s="89">
        <f>DATE(YEAR(M980)+8,MONTH(M980),DAY(M980)-1)</f>
        <v>42657</v>
      </c>
      <c r="O980" s="92" t="s">
        <v>21</v>
      </c>
      <c r="P980" s="92" t="s">
        <v>842</v>
      </c>
      <c r="Q980" s="92" t="s">
        <v>360</v>
      </c>
      <c r="R980" s="72" t="s">
        <v>349</v>
      </c>
      <c r="S980" s="72"/>
      <c r="T980" s="72"/>
      <c r="U980" s="72"/>
    </row>
    <row r="981" spans="1:21" ht="18.75" customHeight="1" x14ac:dyDescent="0.2">
      <c r="A981" s="79"/>
      <c r="B981" s="79"/>
      <c r="C981" s="80"/>
      <c r="D981" s="66"/>
      <c r="E981" s="66" t="s">
        <v>21</v>
      </c>
      <c r="F981" s="66" t="s">
        <v>842</v>
      </c>
      <c r="G981" s="66" t="s">
        <v>360</v>
      </c>
      <c r="H981" s="82" t="s">
        <v>349</v>
      </c>
      <c r="I981" s="115">
        <v>43.71</v>
      </c>
      <c r="J981" s="123">
        <v>46.53</v>
      </c>
      <c r="K981" s="91"/>
      <c r="L981" s="66"/>
      <c r="M981" s="66"/>
      <c r="N981" s="66"/>
      <c r="O981" s="66"/>
      <c r="P981" s="66"/>
      <c r="Q981" s="66"/>
      <c r="R981" s="72"/>
      <c r="T981" s="66"/>
      <c r="U981" s="66"/>
    </row>
    <row r="982" spans="1:21" ht="18.75" customHeight="1" x14ac:dyDescent="0.2">
      <c r="A982" s="79"/>
      <c r="B982" s="79"/>
      <c r="C982" s="80"/>
      <c r="D982" s="66"/>
      <c r="E982" s="66" t="s">
        <v>19</v>
      </c>
      <c r="F982" s="66" t="s">
        <v>400</v>
      </c>
      <c r="G982" s="66" t="s">
        <v>355</v>
      </c>
      <c r="H982" s="82" t="s">
        <v>349</v>
      </c>
      <c r="I982" s="115">
        <v>24.74</v>
      </c>
      <c r="J982" s="84"/>
      <c r="K982" s="91"/>
      <c r="L982" s="66"/>
      <c r="M982" s="66"/>
      <c r="N982" s="66"/>
      <c r="O982" s="66"/>
      <c r="P982" s="66"/>
      <c r="Q982" s="66"/>
      <c r="R982" s="72"/>
      <c r="T982" s="66"/>
      <c r="U982" s="66"/>
    </row>
    <row r="983" spans="1:21" ht="18.75" customHeight="1" x14ac:dyDescent="0.2">
      <c r="A983" s="79"/>
      <c r="B983" s="79"/>
      <c r="C983" s="80"/>
      <c r="D983" s="66"/>
      <c r="E983" s="86"/>
      <c r="F983" s="66"/>
      <c r="G983" s="66" t="s">
        <v>353</v>
      </c>
      <c r="H983" s="82"/>
      <c r="I983" s="87"/>
      <c r="J983" s="84"/>
      <c r="K983" s="91"/>
      <c r="L983" s="66"/>
      <c r="M983" s="66"/>
      <c r="N983" s="66"/>
      <c r="O983" s="66"/>
      <c r="P983" s="66"/>
      <c r="Q983" s="66"/>
      <c r="R983" s="72"/>
      <c r="T983" s="66"/>
      <c r="U983" s="66"/>
    </row>
    <row r="984" spans="1:21" ht="18.75" customHeight="1" x14ac:dyDescent="0.2">
      <c r="A984" s="70">
        <v>39516</v>
      </c>
      <c r="B984" s="70">
        <v>39537</v>
      </c>
      <c r="C984" s="71" t="s">
        <v>1266</v>
      </c>
      <c r="D984" s="72" t="s">
        <v>836</v>
      </c>
      <c r="E984" s="72" t="s">
        <v>21</v>
      </c>
      <c r="F984" s="72" t="s">
        <v>1138</v>
      </c>
      <c r="G984" s="72" t="s">
        <v>389</v>
      </c>
      <c r="H984" s="74" t="s">
        <v>349</v>
      </c>
      <c r="I984" s="107">
        <v>54.5</v>
      </c>
      <c r="J984" s="76"/>
      <c r="K984" s="76">
        <v>53.54</v>
      </c>
      <c r="L984" s="76"/>
      <c r="M984" s="70">
        <v>39680</v>
      </c>
      <c r="N984" s="89">
        <f>DATE(YEAR(M984)+8,MONTH(M984),DAY(M984)-1)</f>
        <v>42601</v>
      </c>
      <c r="O984" s="92" t="s">
        <v>21</v>
      </c>
      <c r="P984" s="92" t="s">
        <v>837</v>
      </c>
      <c r="Q984" s="92" t="s">
        <v>838</v>
      </c>
      <c r="R984" s="72" t="s">
        <v>349</v>
      </c>
      <c r="S984" s="72"/>
      <c r="T984" s="72"/>
      <c r="U984" s="72"/>
    </row>
    <row r="985" spans="1:21" ht="18.75" customHeight="1" x14ac:dyDescent="0.2">
      <c r="A985" s="79"/>
      <c r="B985" s="79"/>
      <c r="C985" s="80"/>
      <c r="D985" s="66"/>
      <c r="E985" s="66" t="s">
        <v>19</v>
      </c>
      <c r="F985" s="66" t="s">
        <v>1267</v>
      </c>
      <c r="G985" s="66" t="s">
        <v>440</v>
      </c>
      <c r="H985" s="82" t="s">
        <v>349</v>
      </c>
      <c r="I985" s="115">
        <v>45.5</v>
      </c>
      <c r="J985" s="84"/>
      <c r="K985" s="91"/>
      <c r="L985" s="66"/>
      <c r="M985" s="66"/>
      <c r="N985" s="66"/>
      <c r="O985" s="66"/>
      <c r="P985" s="66"/>
      <c r="Q985" s="66"/>
      <c r="R985" s="72"/>
      <c r="T985" s="66"/>
      <c r="U985" s="66"/>
    </row>
    <row r="986" spans="1:21" ht="18.75" customHeight="1" x14ac:dyDescent="0.2">
      <c r="A986" s="79"/>
      <c r="B986" s="79"/>
      <c r="C986" s="80"/>
      <c r="D986" s="66"/>
      <c r="E986" s="86"/>
      <c r="F986" s="66"/>
      <c r="G986" s="66" t="s">
        <v>353</v>
      </c>
      <c r="H986" s="82"/>
      <c r="I986" s="87"/>
      <c r="J986" s="84"/>
      <c r="K986" s="91"/>
      <c r="L986" s="66"/>
      <c r="M986" s="66"/>
      <c r="N986" s="66"/>
      <c r="O986" s="66"/>
      <c r="P986" s="66"/>
      <c r="Q986" s="66"/>
      <c r="R986" s="72"/>
      <c r="T986" s="66"/>
      <c r="U986" s="66"/>
    </row>
    <row r="987" spans="1:21" ht="18.75" customHeight="1" x14ac:dyDescent="0.2">
      <c r="A987" s="70">
        <v>39544</v>
      </c>
      <c r="B987" s="70">
        <v>39558</v>
      </c>
      <c r="C987" s="71">
        <v>33204</v>
      </c>
      <c r="D987" s="72" t="s">
        <v>823</v>
      </c>
      <c r="E987" s="72" t="s">
        <v>55</v>
      </c>
      <c r="F987" s="72" t="s">
        <v>827</v>
      </c>
      <c r="G987" s="72" t="s">
        <v>374</v>
      </c>
      <c r="H987" s="74" t="s">
        <v>349</v>
      </c>
      <c r="I987" s="107">
        <v>42.49</v>
      </c>
      <c r="J987" s="121">
        <v>52.77</v>
      </c>
      <c r="K987" s="76">
        <v>55.22</v>
      </c>
      <c r="L987" s="76">
        <v>56.05</v>
      </c>
      <c r="M987" s="70">
        <v>39675</v>
      </c>
      <c r="N987" s="89">
        <f>DATE(YEAR(M987)+8,MONTH(M987),DAY(M987)-1)</f>
        <v>42596</v>
      </c>
      <c r="O987" s="92" t="s">
        <v>19</v>
      </c>
      <c r="P987" s="92" t="s">
        <v>824</v>
      </c>
      <c r="Q987" s="92" t="s">
        <v>512</v>
      </c>
      <c r="R987" s="72" t="s">
        <v>349</v>
      </c>
      <c r="S987" s="72"/>
      <c r="T987" s="72"/>
      <c r="U987" s="72"/>
    </row>
    <row r="988" spans="1:21" ht="18.75" customHeight="1" x14ac:dyDescent="0.2">
      <c r="A988" s="79"/>
      <c r="B988" s="79"/>
      <c r="C988" s="80"/>
      <c r="D988" s="66"/>
      <c r="E988" s="66" t="s">
        <v>19</v>
      </c>
      <c r="F988" s="66" t="s">
        <v>549</v>
      </c>
      <c r="G988" s="66" t="s">
        <v>769</v>
      </c>
      <c r="H988" s="82" t="s">
        <v>349</v>
      </c>
      <c r="I988" s="115">
        <v>33.659999999999997</v>
      </c>
      <c r="J988" s="123">
        <v>47.23</v>
      </c>
      <c r="K988" s="91"/>
      <c r="L988" s="66"/>
      <c r="M988" s="66"/>
      <c r="N988" s="66"/>
      <c r="O988" s="66"/>
      <c r="P988" s="66"/>
      <c r="Q988" s="66"/>
      <c r="R988" s="72"/>
      <c r="T988" s="66"/>
      <c r="U988" s="66"/>
    </row>
    <row r="989" spans="1:21" ht="18.75" customHeight="1" x14ac:dyDescent="0.2">
      <c r="A989" s="79"/>
      <c r="B989" s="79"/>
      <c r="C989" s="80"/>
      <c r="D989" s="66"/>
      <c r="E989" s="66" t="s">
        <v>21</v>
      </c>
      <c r="F989" s="66" t="s">
        <v>825</v>
      </c>
      <c r="G989" s="66" t="s">
        <v>826</v>
      </c>
      <c r="H989" s="82" t="s">
        <v>349</v>
      </c>
      <c r="I989" s="115">
        <v>23.86</v>
      </c>
      <c r="J989" s="84"/>
      <c r="K989" s="91"/>
      <c r="L989" s="66"/>
      <c r="M989" s="66"/>
      <c r="N989" s="66"/>
      <c r="O989" s="66"/>
      <c r="P989" s="66"/>
      <c r="Q989" s="66"/>
      <c r="R989" s="72"/>
      <c r="T989" s="66"/>
      <c r="U989" s="66"/>
    </row>
    <row r="990" spans="1:21" ht="18.75" customHeight="1" x14ac:dyDescent="0.2">
      <c r="A990" s="79"/>
      <c r="B990" s="79"/>
      <c r="C990" s="80"/>
      <c r="D990" s="66"/>
      <c r="E990" s="86"/>
      <c r="F990" s="66"/>
      <c r="G990" s="66" t="s">
        <v>353</v>
      </c>
      <c r="H990" s="82"/>
      <c r="I990" s="87"/>
      <c r="J990" s="84"/>
      <c r="K990" s="91"/>
      <c r="L990" s="66"/>
      <c r="M990" s="66"/>
      <c r="N990" s="66"/>
      <c r="O990" s="66"/>
      <c r="P990" s="66"/>
      <c r="Q990" s="66"/>
      <c r="R990" s="72"/>
      <c r="T990" s="66"/>
      <c r="U990" s="66"/>
    </row>
    <row r="991" spans="1:21" ht="18.75" customHeight="1" x14ac:dyDescent="0.2">
      <c r="A991" s="70">
        <v>39551</v>
      </c>
      <c r="B991" s="70">
        <v>39565</v>
      </c>
      <c r="C991" s="71">
        <v>33102</v>
      </c>
      <c r="D991" s="72" t="s">
        <v>834</v>
      </c>
      <c r="E991" s="72" t="s">
        <v>21</v>
      </c>
      <c r="F991" s="72" t="s">
        <v>726</v>
      </c>
      <c r="G991" s="72" t="s">
        <v>423</v>
      </c>
      <c r="H991" s="74" t="s">
        <v>349</v>
      </c>
      <c r="I991" s="107">
        <v>85.62</v>
      </c>
      <c r="J991" s="76"/>
      <c r="K991" s="76">
        <v>34.9</v>
      </c>
      <c r="L991" s="76"/>
      <c r="M991" s="70">
        <v>39814</v>
      </c>
      <c r="N991" s="68">
        <v>42400</v>
      </c>
      <c r="O991" s="92" t="s">
        <v>21</v>
      </c>
      <c r="P991" s="92" t="s">
        <v>726</v>
      </c>
      <c r="Q991" s="92" t="s">
        <v>423</v>
      </c>
      <c r="R991" s="72" t="s">
        <v>349</v>
      </c>
      <c r="S991" s="72"/>
      <c r="T991" s="72"/>
      <c r="U991" s="72"/>
    </row>
    <row r="992" spans="1:21" ht="18.75" customHeight="1" x14ac:dyDescent="0.2">
      <c r="A992" s="79"/>
      <c r="B992" s="79"/>
      <c r="C992" s="80"/>
      <c r="D992" s="66"/>
      <c r="E992" s="86"/>
      <c r="F992" s="66"/>
      <c r="G992" s="66" t="s">
        <v>353</v>
      </c>
      <c r="H992" s="82"/>
      <c r="I992" s="87"/>
      <c r="J992" s="84"/>
      <c r="K992" s="91"/>
      <c r="L992" s="66"/>
      <c r="M992" s="66"/>
      <c r="N992" s="66"/>
      <c r="O992" s="66"/>
      <c r="P992" s="66"/>
      <c r="Q992" s="66"/>
      <c r="R992" s="72"/>
      <c r="T992" s="66"/>
      <c r="U992" s="66"/>
    </row>
    <row r="993" spans="1:21" ht="18.75" customHeight="1" x14ac:dyDescent="0.2">
      <c r="A993" s="70">
        <v>39551</v>
      </c>
      <c r="B993" s="70">
        <v>39565</v>
      </c>
      <c r="C993" s="71">
        <v>33606</v>
      </c>
      <c r="D993" s="72" t="s">
        <v>806</v>
      </c>
      <c r="E993" s="72" t="s">
        <v>21</v>
      </c>
      <c r="F993" s="72" t="s">
        <v>1268</v>
      </c>
      <c r="G993" s="72" t="s">
        <v>1269</v>
      </c>
      <c r="H993" s="74" t="s">
        <v>349</v>
      </c>
      <c r="I993" s="107">
        <v>84.76</v>
      </c>
      <c r="J993" s="76"/>
      <c r="K993" s="76">
        <v>29.51</v>
      </c>
      <c r="L993" s="76"/>
      <c r="M993" s="70">
        <v>39661</v>
      </c>
      <c r="N993" s="89">
        <f>DATE(YEAR(M993)+8,MONTH(M993),DAY(M993)-1)</f>
        <v>42582</v>
      </c>
      <c r="O993" s="92" t="s">
        <v>21</v>
      </c>
      <c r="P993" s="92" t="s">
        <v>716</v>
      </c>
      <c r="Q993" s="92" t="s">
        <v>615</v>
      </c>
      <c r="R993" s="72" t="s">
        <v>349</v>
      </c>
      <c r="S993" s="72"/>
      <c r="T993" s="72"/>
      <c r="U993" s="72"/>
    </row>
    <row r="994" spans="1:21" ht="18.75" customHeight="1" x14ac:dyDescent="0.2">
      <c r="A994" s="79"/>
      <c r="B994" s="79"/>
      <c r="C994" s="80"/>
      <c r="D994" s="66"/>
      <c r="E994" s="86"/>
      <c r="F994" s="66"/>
      <c r="G994" s="66" t="s">
        <v>353</v>
      </c>
      <c r="H994" s="82"/>
      <c r="I994" s="87"/>
      <c r="J994" s="84"/>
      <c r="K994" s="91"/>
      <c r="L994" s="66"/>
      <c r="M994" s="66"/>
      <c r="N994" s="66"/>
      <c r="O994" s="66"/>
      <c r="P994" s="66"/>
      <c r="Q994" s="66"/>
      <c r="R994" s="72"/>
      <c r="T994" s="66"/>
      <c r="U994" s="66"/>
    </row>
    <row r="995" spans="1:21" ht="18.75" customHeight="1" x14ac:dyDescent="0.2">
      <c r="A995" s="70">
        <v>39558</v>
      </c>
      <c r="B995" s="70">
        <v>39572</v>
      </c>
      <c r="C995" s="71">
        <v>14302</v>
      </c>
      <c r="D995" s="72" t="s">
        <v>810</v>
      </c>
      <c r="E995" s="72" t="s">
        <v>367</v>
      </c>
      <c r="F995" s="72" t="s">
        <v>367</v>
      </c>
      <c r="G995" s="72" t="s">
        <v>389</v>
      </c>
      <c r="H995" s="74" t="s">
        <v>349</v>
      </c>
      <c r="I995" s="107">
        <v>86.45</v>
      </c>
      <c r="J995" s="76"/>
      <c r="K995" s="76">
        <v>31.16</v>
      </c>
      <c r="L995" s="76"/>
      <c r="M995" s="70">
        <v>39692</v>
      </c>
      <c r="N995" s="89">
        <f>DATE(YEAR(M995)+8,MONTH(M995),DAY(M995)-1)</f>
        <v>42613</v>
      </c>
      <c r="O995" s="92" t="s">
        <v>367</v>
      </c>
      <c r="P995" s="92" t="s">
        <v>367</v>
      </c>
      <c r="Q995" s="92" t="s">
        <v>389</v>
      </c>
      <c r="R995" s="72" t="s">
        <v>349</v>
      </c>
      <c r="S995" s="111"/>
      <c r="T995" s="72"/>
      <c r="U995" s="72"/>
    </row>
    <row r="996" spans="1:21" ht="18.75" customHeight="1" x14ac:dyDescent="0.2">
      <c r="A996" s="79"/>
      <c r="B996" s="79"/>
      <c r="C996" s="80"/>
      <c r="D996" s="66"/>
      <c r="E996" s="86"/>
      <c r="F996" s="66"/>
      <c r="G996" s="66" t="s">
        <v>353</v>
      </c>
      <c r="H996" s="82"/>
      <c r="I996" s="87"/>
      <c r="J996" s="84"/>
      <c r="K996" s="91"/>
      <c r="L996" s="66"/>
      <c r="M996" s="66"/>
      <c r="N996" s="66"/>
      <c r="O996" s="66"/>
      <c r="P996" s="66"/>
      <c r="Q996" s="66"/>
      <c r="R996" s="72"/>
      <c r="T996" s="66"/>
      <c r="U996" s="66"/>
    </row>
    <row r="997" spans="1:21" ht="18.75" customHeight="1" x14ac:dyDescent="0.2">
      <c r="A997" s="70">
        <v>39558</v>
      </c>
      <c r="B997" s="70">
        <v>39572</v>
      </c>
      <c r="C997" s="71">
        <v>33301</v>
      </c>
      <c r="D997" s="72" t="s">
        <v>869</v>
      </c>
      <c r="E997" s="72" t="s">
        <v>870</v>
      </c>
      <c r="F997" s="72" t="s">
        <v>870</v>
      </c>
      <c r="G997" s="72" t="s">
        <v>871</v>
      </c>
      <c r="H997" s="74" t="s">
        <v>349</v>
      </c>
      <c r="I997" s="107">
        <v>94.79</v>
      </c>
      <c r="J997" s="76"/>
      <c r="K997" s="76">
        <v>45.89</v>
      </c>
      <c r="L997" s="76"/>
      <c r="M997" s="70">
        <v>39814</v>
      </c>
      <c r="N997" s="89">
        <f>DATE(YEAR(M997)+8,MONTH(M997),DAY(M997)-1)</f>
        <v>42735</v>
      </c>
      <c r="O997" s="92" t="s">
        <v>870</v>
      </c>
      <c r="P997" s="92" t="s">
        <v>870</v>
      </c>
      <c r="Q997" s="92" t="s">
        <v>871</v>
      </c>
      <c r="R997" s="72" t="s">
        <v>349</v>
      </c>
      <c r="S997" s="111"/>
      <c r="T997" s="72"/>
      <c r="U997" s="72"/>
    </row>
    <row r="998" spans="1:21" ht="18.75" customHeight="1" x14ac:dyDescent="0.2">
      <c r="A998" s="79"/>
      <c r="B998" s="79"/>
      <c r="C998" s="80"/>
      <c r="D998" s="66"/>
      <c r="E998" s="86"/>
      <c r="F998" s="66"/>
      <c r="G998" s="66" t="s">
        <v>353</v>
      </c>
      <c r="H998" s="82"/>
      <c r="I998" s="87"/>
      <c r="J998" s="84"/>
      <c r="K998" s="91"/>
      <c r="L998" s="66"/>
      <c r="M998" s="66"/>
      <c r="N998" s="66"/>
      <c r="O998" s="66"/>
      <c r="P998" s="66"/>
      <c r="Q998" s="66"/>
      <c r="R998" s="72"/>
      <c r="T998" s="66"/>
      <c r="U998" s="66"/>
    </row>
    <row r="999" spans="1:21" ht="18.75" customHeight="1" x14ac:dyDescent="0.2">
      <c r="A999" s="70">
        <v>39600</v>
      </c>
      <c r="B999" s="70">
        <v>39614</v>
      </c>
      <c r="C999" s="71">
        <v>13706</v>
      </c>
      <c r="D999" s="72" t="s">
        <v>852</v>
      </c>
      <c r="E999" s="72" t="s">
        <v>55</v>
      </c>
      <c r="F999" s="72" t="s">
        <v>853</v>
      </c>
      <c r="G999" s="72" t="s">
        <v>854</v>
      </c>
      <c r="H999" s="74" t="s">
        <v>349</v>
      </c>
      <c r="I999" s="107">
        <v>71.3</v>
      </c>
      <c r="J999" s="76"/>
      <c r="K999" s="76">
        <v>47.19</v>
      </c>
      <c r="L999" s="76"/>
      <c r="M999" s="70">
        <v>39873</v>
      </c>
      <c r="N999" s="146">
        <v>41820</v>
      </c>
      <c r="O999" s="92" t="s">
        <v>55</v>
      </c>
      <c r="P999" s="92" t="s">
        <v>853</v>
      </c>
      <c r="Q999" s="92" t="s">
        <v>854</v>
      </c>
      <c r="R999" s="72" t="s">
        <v>349</v>
      </c>
      <c r="S999" s="72" t="s">
        <v>1183</v>
      </c>
      <c r="U999" s="72"/>
    </row>
    <row r="1000" spans="1:21" ht="18.75" customHeight="1" x14ac:dyDescent="0.2">
      <c r="A1000" s="79"/>
      <c r="B1000" s="79"/>
      <c r="C1000" s="80"/>
      <c r="D1000" s="66"/>
      <c r="E1000" s="66" t="s">
        <v>19</v>
      </c>
      <c r="F1000" s="66" t="s">
        <v>1270</v>
      </c>
      <c r="G1000" s="66" t="s">
        <v>389</v>
      </c>
      <c r="H1000" s="82" t="s">
        <v>349</v>
      </c>
      <c r="I1000" s="115">
        <v>27.28</v>
      </c>
      <c r="J1000" s="84"/>
      <c r="K1000" s="91"/>
      <c r="L1000" s="66"/>
      <c r="M1000" s="66"/>
      <c r="N1000" s="66"/>
      <c r="O1000" s="66"/>
      <c r="P1000" s="66"/>
      <c r="Q1000" s="66"/>
      <c r="R1000" s="72"/>
      <c r="T1000" s="66"/>
      <c r="U1000" s="66"/>
    </row>
    <row r="1001" spans="1:21" ht="18.75" customHeight="1" x14ac:dyDescent="0.2">
      <c r="A1001" s="79"/>
      <c r="B1001" s="79"/>
      <c r="C1001" s="80"/>
      <c r="D1001" s="66"/>
      <c r="E1001" s="66" t="s">
        <v>499</v>
      </c>
      <c r="F1001" s="66" t="s">
        <v>499</v>
      </c>
      <c r="G1001" s="66" t="s">
        <v>947</v>
      </c>
      <c r="H1001" s="82" t="s">
        <v>349</v>
      </c>
      <c r="I1001" s="115">
        <v>1.42</v>
      </c>
      <c r="J1001" s="84"/>
      <c r="K1001" s="91"/>
      <c r="L1001" s="66"/>
      <c r="M1001" s="66"/>
      <c r="N1001" s="66"/>
      <c r="O1001" s="66"/>
      <c r="P1001" s="66"/>
      <c r="Q1001" s="66"/>
      <c r="R1001" s="72"/>
      <c r="T1001" s="72"/>
      <c r="U1001" s="66"/>
    </row>
    <row r="1002" spans="1:21" ht="18.75" customHeight="1" x14ac:dyDescent="0.2">
      <c r="A1002" s="79"/>
      <c r="B1002" s="79"/>
      <c r="C1002" s="80"/>
      <c r="D1002" s="66"/>
      <c r="E1002" s="86"/>
      <c r="F1002" s="66"/>
      <c r="G1002" s="66" t="s">
        <v>353</v>
      </c>
      <c r="H1002" s="82"/>
      <c r="I1002" s="87"/>
      <c r="J1002" s="84"/>
      <c r="K1002" s="91"/>
      <c r="L1002" s="66"/>
      <c r="M1002" s="66"/>
      <c r="N1002" s="66"/>
      <c r="O1002" s="66"/>
      <c r="P1002" s="66"/>
      <c r="Q1002" s="66"/>
      <c r="R1002" s="72"/>
      <c r="T1002" s="66"/>
      <c r="U1002" s="66"/>
    </row>
    <row r="1003" spans="1:21" ht="18.75" customHeight="1" x14ac:dyDescent="0.2">
      <c r="A1003" s="70">
        <v>39600</v>
      </c>
      <c r="B1003" s="70">
        <v>39614</v>
      </c>
      <c r="C1003" s="71">
        <v>23503</v>
      </c>
      <c r="D1003" s="72" t="s">
        <v>1071</v>
      </c>
      <c r="E1003" s="72" t="s">
        <v>19</v>
      </c>
      <c r="F1003" s="72" t="s">
        <v>1271</v>
      </c>
      <c r="G1003" s="72" t="s">
        <v>416</v>
      </c>
      <c r="H1003" s="74" t="s">
        <v>349</v>
      </c>
      <c r="I1003" s="107">
        <v>57.15</v>
      </c>
      <c r="J1003" s="76"/>
      <c r="K1003" s="76">
        <v>39.53</v>
      </c>
      <c r="L1003" s="76"/>
      <c r="M1003" s="70">
        <v>39722</v>
      </c>
      <c r="N1003" s="89">
        <f>DATE(YEAR(M1003)+8,MONTH(M1003),DAY(M1003)-1)</f>
        <v>42643</v>
      </c>
      <c r="O1003" s="72" t="s">
        <v>19</v>
      </c>
      <c r="P1003" s="72" t="s">
        <v>1072</v>
      </c>
      <c r="Q1003" s="72" t="s">
        <v>666</v>
      </c>
      <c r="R1003" s="72" t="s">
        <v>349</v>
      </c>
      <c r="S1003" s="72"/>
      <c r="T1003" s="72"/>
      <c r="U1003" s="72"/>
    </row>
    <row r="1004" spans="1:21" ht="18.75" customHeight="1" x14ac:dyDescent="0.2">
      <c r="A1004" s="79"/>
      <c r="B1004" s="79"/>
      <c r="C1004" s="80"/>
      <c r="D1004" s="66"/>
      <c r="E1004" s="66" t="s">
        <v>21</v>
      </c>
      <c r="F1004" s="66" t="s">
        <v>754</v>
      </c>
      <c r="G1004" s="66" t="s">
        <v>1272</v>
      </c>
      <c r="H1004" s="82" t="s">
        <v>419</v>
      </c>
      <c r="I1004" s="115">
        <v>24.94</v>
      </c>
      <c r="J1004" s="84"/>
      <c r="K1004" s="91"/>
      <c r="L1004" s="66"/>
      <c r="M1004" s="66"/>
      <c r="N1004" s="66"/>
      <c r="O1004" s="66"/>
      <c r="P1004" s="66"/>
      <c r="Q1004" s="66"/>
      <c r="R1004" s="72"/>
      <c r="T1004" s="66"/>
      <c r="U1004" s="66"/>
    </row>
    <row r="1005" spans="1:21" ht="18.75" customHeight="1" x14ac:dyDescent="0.2">
      <c r="A1005" s="79"/>
      <c r="B1005" s="79"/>
      <c r="C1005" s="80"/>
      <c r="D1005" s="66"/>
      <c r="E1005" s="66" t="s">
        <v>55</v>
      </c>
      <c r="F1005" s="66" t="s">
        <v>1273</v>
      </c>
      <c r="G1005" s="66" t="s">
        <v>1274</v>
      </c>
      <c r="H1005" s="82" t="s">
        <v>349</v>
      </c>
      <c r="I1005" s="115">
        <v>11.72</v>
      </c>
      <c r="J1005" s="84"/>
      <c r="K1005" s="91"/>
      <c r="L1005" s="66"/>
      <c r="M1005" s="66"/>
      <c r="N1005" s="66"/>
      <c r="O1005" s="66"/>
      <c r="P1005" s="66"/>
      <c r="Q1005" s="66"/>
      <c r="R1005" s="72"/>
      <c r="T1005" s="66"/>
      <c r="U1005" s="66"/>
    </row>
    <row r="1006" spans="1:21" ht="18.75" customHeight="1" x14ac:dyDescent="0.2">
      <c r="A1006" s="79"/>
      <c r="B1006" s="79"/>
      <c r="C1006" s="80"/>
      <c r="D1006" s="66"/>
      <c r="E1006" s="66" t="s">
        <v>34</v>
      </c>
      <c r="F1006" s="66" t="s">
        <v>1275</v>
      </c>
      <c r="G1006" s="66" t="s">
        <v>1276</v>
      </c>
      <c r="H1006" s="82" t="s">
        <v>419</v>
      </c>
      <c r="I1006" s="115">
        <v>6.19</v>
      </c>
      <c r="J1006" s="84"/>
      <c r="K1006" s="91"/>
      <c r="L1006" s="66"/>
      <c r="M1006" s="66"/>
      <c r="N1006" s="66"/>
      <c r="O1006" s="66"/>
      <c r="P1006" s="66"/>
      <c r="Q1006" s="66"/>
      <c r="R1006" s="72"/>
      <c r="T1006" s="66"/>
      <c r="U1006" s="66"/>
    </row>
    <row r="1007" spans="1:21" ht="18.75" customHeight="1" x14ac:dyDescent="0.2">
      <c r="A1007" s="79"/>
      <c r="B1007" s="79"/>
      <c r="C1007" s="80"/>
      <c r="D1007" s="66"/>
      <c r="E1007" s="86"/>
      <c r="F1007" s="66"/>
      <c r="G1007" s="66" t="s">
        <v>353</v>
      </c>
      <c r="H1007" s="82"/>
      <c r="I1007" s="87"/>
      <c r="J1007" s="84"/>
      <c r="K1007" s="91"/>
      <c r="L1007" s="66"/>
      <c r="M1007" s="66"/>
      <c r="N1007" s="66"/>
      <c r="O1007" s="66"/>
      <c r="P1007" s="66"/>
      <c r="Q1007" s="66"/>
      <c r="R1007" s="72"/>
      <c r="T1007" s="66"/>
      <c r="U1007" s="66"/>
    </row>
    <row r="1008" spans="1:21" ht="18.75" customHeight="1" x14ac:dyDescent="0.2">
      <c r="A1008" s="70">
        <v>39600</v>
      </c>
      <c r="B1008" s="70">
        <v>39614</v>
      </c>
      <c r="C1008" s="71">
        <v>33905</v>
      </c>
      <c r="D1008" s="72" t="s">
        <v>844</v>
      </c>
      <c r="E1008" s="72" t="s">
        <v>21</v>
      </c>
      <c r="F1008" s="72" t="s">
        <v>1277</v>
      </c>
      <c r="G1008" s="72" t="s">
        <v>1005</v>
      </c>
      <c r="H1008" s="74" t="s">
        <v>349</v>
      </c>
      <c r="I1008" s="107">
        <v>34.119999999999997</v>
      </c>
      <c r="J1008" s="121">
        <v>50.75</v>
      </c>
      <c r="K1008" s="76">
        <v>50.6</v>
      </c>
      <c r="L1008" s="76">
        <v>47.5</v>
      </c>
      <c r="M1008" s="70">
        <v>39722</v>
      </c>
      <c r="N1008" s="89">
        <f>DATE(YEAR(M1008)+8,MONTH(M1008),DAY(M1008)-1)</f>
        <v>42643</v>
      </c>
      <c r="O1008" s="92" t="s">
        <v>19</v>
      </c>
      <c r="P1008" s="92" t="s">
        <v>845</v>
      </c>
      <c r="Q1008" s="92" t="s">
        <v>846</v>
      </c>
      <c r="R1008" s="72" t="s">
        <v>349</v>
      </c>
      <c r="S1008" s="72"/>
      <c r="T1008" s="72"/>
      <c r="U1008" s="72"/>
    </row>
    <row r="1009" spans="1:21" ht="18.75" customHeight="1" x14ac:dyDescent="0.2">
      <c r="A1009" s="79"/>
      <c r="B1009" s="79"/>
      <c r="C1009" s="80"/>
      <c r="D1009" s="66"/>
      <c r="E1009" s="66" t="s">
        <v>19</v>
      </c>
      <c r="F1009" s="66" t="s">
        <v>845</v>
      </c>
      <c r="G1009" s="66" t="s">
        <v>846</v>
      </c>
      <c r="H1009" s="82" t="s">
        <v>349</v>
      </c>
      <c r="I1009" s="115">
        <v>36.03</v>
      </c>
      <c r="J1009" s="123">
        <v>49.25</v>
      </c>
      <c r="K1009" s="91"/>
      <c r="L1009" s="66"/>
      <c r="M1009" s="66"/>
      <c r="N1009" s="66"/>
      <c r="O1009" s="66"/>
      <c r="P1009" s="66"/>
      <c r="Q1009" s="66"/>
      <c r="R1009" s="72"/>
      <c r="T1009" s="66"/>
      <c r="U1009" s="66"/>
    </row>
    <row r="1010" spans="1:21" ht="18.75" customHeight="1" x14ac:dyDescent="0.2">
      <c r="A1010" s="79"/>
      <c r="B1010" s="79"/>
      <c r="C1010" s="80"/>
      <c r="D1010" s="66"/>
      <c r="E1010" s="66" t="s">
        <v>34</v>
      </c>
      <c r="F1010" s="66" t="s">
        <v>1278</v>
      </c>
      <c r="G1010" s="66" t="s">
        <v>383</v>
      </c>
      <c r="H1010" s="82" t="s">
        <v>349</v>
      </c>
      <c r="I1010" s="115">
        <v>19.98</v>
      </c>
      <c r="J1010" s="84"/>
      <c r="K1010" s="91"/>
      <c r="L1010" s="66"/>
      <c r="M1010" s="66"/>
      <c r="N1010" s="66"/>
      <c r="O1010" s="66"/>
      <c r="P1010" s="66"/>
      <c r="Q1010" s="66"/>
      <c r="R1010" s="72"/>
      <c r="T1010" s="66"/>
      <c r="U1010" s="66"/>
    </row>
    <row r="1011" spans="1:21" ht="18.75" customHeight="1" x14ac:dyDescent="0.2">
      <c r="A1011" s="79"/>
      <c r="B1011" s="79"/>
      <c r="C1011" s="80"/>
      <c r="D1011" s="66"/>
      <c r="E1011" s="66" t="s">
        <v>1144</v>
      </c>
      <c r="F1011" s="66" t="s">
        <v>1279</v>
      </c>
      <c r="G1011" s="66" t="s">
        <v>723</v>
      </c>
      <c r="H1011" s="82" t="s">
        <v>349</v>
      </c>
      <c r="I1011" s="115">
        <v>9.86</v>
      </c>
      <c r="J1011" s="84"/>
      <c r="K1011" s="91"/>
      <c r="L1011" s="66"/>
      <c r="M1011" s="66"/>
      <c r="N1011" s="66"/>
      <c r="O1011" s="66"/>
      <c r="P1011" s="66"/>
      <c r="Q1011" s="66"/>
      <c r="R1011" s="72"/>
      <c r="T1011" s="66"/>
      <c r="U1011" s="66"/>
    </row>
    <row r="1012" spans="1:21" ht="18.75" customHeight="1" x14ac:dyDescent="0.2">
      <c r="A1012" s="79"/>
      <c r="B1012" s="79"/>
      <c r="C1012" s="80"/>
      <c r="D1012" s="66"/>
      <c r="E1012" s="86"/>
      <c r="F1012" s="66"/>
      <c r="G1012" s="66" t="s">
        <v>353</v>
      </c>
      <c r="H1012" s="82"/>
      <c r="I1012" s="87"/>
      <c r="J1012" s="84"/>
      <c r="K1012" s="91"/>
      <c r="L1012" s="66"/>
      <c r="M1012" s="66"/>
      <c r="N1012" s="66"/>
      <c r="O1012" s="66"/>
      <c r="P1012" s="66"/>
      <c r="Q1012" s="66"/>
      <c r="R1012" s="72"/>
      <c r="T1012" s="66"/>
      <c r="U1012" s="66"/>
    </row>
    <row r="1013" spans="1:21" ht="18.75" customHeight="1" x14ac:dyDescent="0.2">
      <c r="A1013" s="70">
        <v>39621</v>
      </c>
      <c r="B1013" s="70">
        <v>39635</v>
      </c>
      <c r="C1013" s="71">
        <v>33802</v>
      </c>
      <c r="D1013" s="72" t="s">
        <v>880</v>
      </c>
      <c r="E1013" s="72" t="s">
        <v>19</v>
      </c>
      <c r="F1013" s="72" t="s">
        <v>881</v>
      </c>
      <c r="G1013" s="72" t="s">
        <v>882</v>
      </c>
      <c r="H1013" s="74" t="s">
        <v>349</v>
      </c>
      <c r="I1013" s="107">
        <v>89.15</v>
      </c>
      <c r="J1013" s="76"/>
      <c r="K1013" s="76">
        <v>29</v>
      </c>
      <c r="L1013" s="76"/>
      <c r="M1013" s="70">
        <v>39889</v>
      </c>
      <c r="N1013" s="89">
        <v>40135</v>
      </c>
      <c r="O1013" s="92" t="s">
        <v>19</v>
      </c>
      <c r="P1013" s="92" t="s">
        <v>881</v>
      </c>
      <c r="Q1013" s="92" t="s">
        <v>882</v>
      </c>
      <c r="R1013" s="72" t="s">
        <v>349</v>
      </c>
      <c r="S1013" s="72"/>
      <c r="T1013" s="72"/>
      <c r="U1013" s="72"/>
    </row>
    <row r="1014" spans="1:21" ht="18.75" customHeight="1" x14ac:dyDescent="0.2">
      <c r="A1014" s="79"/>
      <c r="B1014" s="79"/>
      <c r="C1014" s="80"/>
      <c r="D1014" s="66"/>
      <c r="E1014" s="86"/>
      <c r="F1014" s="66"/>
      <c r="G1014" s="66" t="s">
        <v>353</v>
      </c>
      <c r="H1014" s="82"/>
      <c r="I1014" s="87"/>
      <c r="J1014" s="84"/>
      <c r="K1014" s="91"/>
      <c r="L1014" s="66"/>
      <c r="M1014" s="66"/>
      <c r="N1014" s="66"/>
      <c r="O1014" s="66"/>
      <c r="P1014" s="66"/>
      <c r="Q1014" s="66"/>
      <c r="R1014" s="72"/>
      <c r="T1014" s="66"/>
      <c r="U1014" s="66"/>
    </row>
    <row r="1015" spans="1:21" ht="18.75" customHeight="1" x14ac:dyDescent="0.2">
      <c r="A1015" s="70">
        <v>39670</v>
      </c>
      <c r="B1015" s="70">
        <v>39684</v>
      </c>
      <c r="C1015" s="71">
        <v>14006</v>
      </c>
      <c r="D1015" s="72" t="s">
        <v>856</v>
      </c>
      <c r="E1015" s="72" t="s">
        <v>19</v>
      </c>
      <c r="F1015" s="72" t="s">
        <v>771</v>
      </c>
      <c r="G1015" s="72" t="s">
        <v>476</v>
      </c>
      <c r="H1015" s="74" t="s">
        <v>349</v>
      </c>
      <c r="I1015" s="107">
        <v>90.86</v>
      </c>
      <c r="J1015" s="76"/>
      <c r="K1015" s="76">
        <v>37.26</v>
      </c>
      <c r="L1015" s="76"/>
      <c r="M1015" s="70">
        <v>39934</v>
      </c>
      <c r="N1015" s="89">
        <f>DATE(YEAR(M1015)+8,MONTH(M1015),DAY(M1015)-1)</f>
        <v>42855</v>
      </c>
      <c r="O1015" s="92" t="s">
        <v>19</v>
      </c>
      <c r="P1015" s="92" t="s">
        <v>771</v>
      </c>
      <c r="Q1015" s="92" t="s">
        <v>476</v>
      </c>
      <c r="R1015" s="72" t="s">
        <v>349</v>
      </c>
      <c r="S1015" s="72"/>
      <c r="T1015" s="72"/>
      <c r="U1015" s="72"/>
    </row>
    <row r="1016" spans="1:21" ht="18.75" customHeight="1" x14ac:dyDescent="0.2">
      <c r="A1016" s="79"/>
      <c r="B1016" s="79"/>
      <c r="C1016" s="80"/>
      <c r="D1016" s="66"/>
      <c r="E1016" s="86"/>
      <c r="F1016" s="66"/>
      <c r="G1016" s="66" t="s">
        <v>353</v>
      </c>
      <c r="H1016" s="82"/>
      <c r="I1016" s="87"/>
      <c r="J1016" s="84"/>
      <c r="K1016" s="91"/>
      <c r="L1016" s="66"/>
      <c r="M1016" s="66"/>
      <c r="N1016" s="66"/>
      <c r="O1016" s="66"/>
      <c r="P1016" s="66"/>
      <c r="Q1016" s="66"/>
      <c r="R1016" s="72"/>
      <c r="T1016" s="66"/>
      <c r="U1016" s="66"/>
    </row>
    <row r="1017" spans="1:21" ht="18.75" customHeight="1" x14ac:dyDescent="0.2">
      <c r="A1017" s="70">
        <v>39705</v>
      </c>
      <c r="B1017" s="70">
        <v>39719</v>
      </c>
      <c r="C1017" s="71">
        <v>33404</v>
      </c>
      <c r="D1017" s="72" t="s">
        <v>863</v>
      </c>
      <c r="E1017" s="72" t="s">
        <v>21</v>
      </c>
      <c r="F1017" s="72" t="s">
        <v>1280</v>
      </c>
      <c r="G1017" s="72" t="s">
        <v>695</v>
      </c>
      <c r="H1017" s="74" t="s">
        <v>349</v>
      </c>
      <c r="I1017" s="107">
        <v>53.71</v>
      </c>
      <c r="J1017" s="76"/>
      <c r="K1017" s="76">
        <v>48.19</v>
      </c>
      <c r="L1017" s="76"/>
      <c r="M1017" s="70">
        <v>39904</v>
      </c>
      <c r="N1017" s="89">
        <f>DATE(YEAR(M1017)+8,MONTH(M1017),DAY(M1017)-1)</f>
        <v>42825</v>
      </c>
      <c r="O1017" s="92" t="s">
        <v>21</v>
      </c>
      <c r="P1017" s="92" t="s">
        <v>864</v>
      </c>
      <c r="Q1017" s="92" t="s">
        <v>379</v>
      </c>
      <c r="R1017" s="72" t="s">
        <v>349</v>
      </c>
      <c r="S1017" s="72"/>
      <c r="T1017" s="72"/>
      <c r="U1017" s="72"/>
    </row>
    <row r="1018" spans="1:21" ht="18.75" customHeight="1" x14ac:dyDescent="0.2">
      <c r="A1018" s="79"/>
      <c r="B1018" s="79"/>
      <c r="C1018" s="80"/>
      <c r="D1018" s="66"/>
      <c r="E1018" s="66" t="s">
        <v>19</v>
      </c>
      <c r="F1018" s="66" t="s">
        <v>1281</v>
      </c>
      <c r="G1018" s="66" t="s">
        <v>611</v>
      </c>
      <c r="H1018" s="82" t="s">
        <v>349</v>
      </c>
      <c r="I1018" s="115">
        <v>46.29</v>
      </c>
      <c r="J1018" s="84"/>
      <c r="K1018" s="91"/>
      <c r="L1018" s="66"/>
      <c r="M1018" s="66"/>
      <c r="N1018" s="66"/>
      <c r="O1018" s="66"/>
      <c r="P1018" s="66"/>
      <c r="Q1018" s="66"/>
      <c r="R1018" s="72"/>
      <c r="T1018" s="66"/>
      <c r="U1018" s="66"/>
    </row>
    <row r="1019" spans="1:21" ht="18.75" customHeight="1" x14ac:dyDescent="0.2">
      <c r="A1019" s="79"/>
      <c r="B1019" s="79"/>
      <c r="C1019" s="80"/>
      <c r="D1019" s="66"/>
      <c r="E1019" s="86"/>
      <c r="F1019" s="66"/>
      <c r="G1019" s="66" t="s">
        <v>353</v>
      </c>
      <c r="H1019" s="82"/>
      <c r="I1019" s="87"/>
      <c r="J1019" s="84"/>
      <c r="K1019" s="91"/>
      <c r="L1019" s="66"/>
      <c r="M1019" s="66"/>
      <c r="N1019" s="66"/>
      <c r="O1019" s="66"/>
      <c r="P1019" s="66"/>
      <c r="Q1019" s="66"/>
      <c r="R1019" s="72"/>
      <c r="T1019" s="66"/>
      <c r="U1019" s="66"/>
    </row>
    <row r="1020" spans="1:21" ht="18.75" customHeight="1" x14ac:dyDescent="0.2">
      <c r="A1020" s="70">
        <v>39747</v>
      </c>
      <c r="B1020" s="70">
        <v>39761</v>
      </c>
      <c r="C1020" s="71">
        <v>33603</v>
      </c>
      <c r="D1020" s="72" t="s">
        <v>155</v>
      </c>
      <c r="E1020" s="72" t="s">
        <v>19</v>
      </c>
      <c r="F1020" s="72" t="s">
        <v>912</v>
      </c>
      <c r="G1020" s="72" t="s">
        <v>392</v>
      </c>
      <c r="H1020" s="74" t="s">
        <v>349</v>
      </c>
      <c r="I1020" s="107">
        <v>86</v>
      </c>
      <c r="J1020" s="76"/>
      <c r="K1020" s="76">
        <v>31.4</v>
      </c>
      <c r="L1020" s="76"/>
      <c r="M1020" s="70">
        <v>39964</v>
      </c>
      <c r="N1020" s="89">
        <f>DATE(YEAR(M1020)+8,MONTH(M1020),DAY(M1020)-1)</f>
        <v>42885</v>
      </c>
      <c r="O1020" s="72" t="s">
        <v>19</v>
      </c>
      <c r="P1020" s="72" t="s">
        <v>912</v>
      </c>
      <c r="Q1020" s="72" t="s">
        <v>392</v>
      </c>
      <c r="R1020" s="72" t="s">
        <v>349</v>
      </c>
      <c r="S1020" s="72"/>
      <c r="T1020" s="72"/>
      <c r="U1020" s="72"/>
    </row>
    <row r="1021" spans="1:21" ht="18.75" customHeight="1" x14ac:dyDescent="0.2">
      <c r="A1021" s="79"/>
      <c r="B1021" s="79"/>
      <c r="C1021" s="80"/>
      <c r="D1021" s="66"/>
      <c r="E1021" s="86"/>
      <c r="F1021" s="66"/>
      <c r="G1021" s="66" t="s">
        <v>353</v>
      </c>
      <c r="H1021" s="82"/>
      <c r="I1021" s="87"/>
      <c r="J1021" s="84"/>
      <c r="K1021" s="91"/>
      <c r="L1021" s="66"/>
      <c r="M1021" s="66"/>
      <c r="N1021" s="66"/>
      <c r="O1021" s="66"/>
      <c r="P1021" s="66"/>
      <c r="Q1021" s="66"/>
      <c r="R1021" s="72"/>
      <c r="T1021" s="66"/>
      <c r="U1021" s="66"/>
    </row>
    <row r="1022" spans="1:21" ht="18.75" customHeight="1" x14ac:dyDescent="0.2">
      <c r="A1022" s="70">
        <v>39754</v>
      </c>
      <c r="B1022" s="70">
        <v>39768</v>
      </c>
      <c r="C1022" s="71">
        <v>33904</v>
      </c>
      <c r="D1022" s="72" t="s">
        <v>925</v>
      </c>
      <c r="E1022" s="72" t="s">
        <v>19</v>
      </c>
      <c r="F1022" s="72" t="s">
        <v>1282</v>
      </c>
      <c r="G1022" s="72" t="s">
        <v>383</v>
      </c>
      <c r="H1022" s="74" t="s">
        <v>349</v>
      </c>
      <c r="I1022" s="107">
        <v>42.39</v>
      </c>
      <c r="J1022" s="121">
        <v>50.81</v>
      </c>
      <c r="K1022" s="76">
        <v>62.11</v>
      </c>
      <c r="L1022" s="76">
        <v>62.71</v>
      </c>
      <c r="M1022" s="70">
        <v>39995</v>
      </c>
      <c r="N1022" s="146">
        <v>41820</v>
      </c>
      <c r="O1022" s="72" t="s">
        <v>19</v>
      </c>
      <c r="P1022" s="72" t="s">
        <v>926</v>
      </c>
      <c r="Q1022" s="72" t="s">
        <v>927</v>
      </c>
      <c r="R1022" s="72" t="s">
        <v>349</v>
      </c>
      <c r="S1022" s="72" t="s">
        <v>1283</v>
      </c>
      <c r="T1022" s="72"/>
      <c r="U1022" s="72"/>
    </row>
    <row r="1023" spans="1:21" ht="18.75" customHeight="1" x14ac:dyDescent="0.2">
      <c r="A1023" s="79"/>
      <c r="B1023" s="79"/>
      <c r="C1023" s="80"/>
      <c r="D1023" s="66"/>
      <c r="E1023" s="66" t="s">
        <v>21</v>
      </c>
      <c r="F1023" s="66" t="s">
        <v>276</v>
      </c>
      <c r="G1023" s="66" t="s">
        <v>512</v>
      </c>
      <c r="H1023" s="82" t="s">
        <v>349</v>
      </c>
      <c r="I1023" s="115">
        <v>45.34</v>
      </c>
      <c r="J1023" s="123">
        <v>49.19</v>
      </c>
      <c r="K1023" s="91"/>
      <c r="L1023" s="66"/>
      <c r="M1023" s="66"/>
      <c r="N1023" s="66"/>
      <c r="O1023" s="66"/>
      <c r="P1023" s="66"/>
      <c r="Q1023" s="66"/>
      <c r="R1023" s="72"/>
      <c r="T1023" s="66"/>
      <c r="U1023" s="66"/>
    </row>
    <row r="1024" spans="1:21" ht="18.75" customHeight="1" x14ac:dyDescent="0.2">
      <c r="A1024" s="79"/>
      <c r="B1024" s="79"/>
      <c r="C1024" s="80"/>
      <c r="D1024" s="66"/>
      <c r="E1024" s="66" t="s">
        <v>55</v>
      </c>
      <c r="F1024" s="66" t="s">
        <v>1284</v>
      </c>
      <c r="G1024" s="66" t="s">
        <v>1285</v>
      </c>
      <c r="H1024" s="82" t="s">
        <v>419</v>
      </c>
      <c r="I1024" s="115">
        <v>12.27</v>
      </c>
      <c r="J1024" s="84"/>
      <c r="K1024" s="91"/>
      <c r="L1024" s="66"/>
      <c r="M1024" s="66"/>
      <c r="N1024" s="66"/>
      <c r="O1024" s="66"/>
      <c r="P1024" s="66"/>
      <c r="Q1024" s="66"/>
      <c r="R1024" s="72"/>
      <c r="T1024" s="66"/>
      <c r="U1024" s="66"/>
    </row>
    <row r="1025" spans="1:21" ht="18.75" customHeight="1" x14ac:dyDescent="0.2">
      <c r="A1025" s="79"/>
      <c r="B1025" s="79"/>
      <c r="C1025" s="80"/>
      <c r="D1025" s="66"/>
      <c r="E1025" s="86"/>
      <c r="F1025" s="66"/>
      <c r="G1025" s="66" t="s">
        <v>353</v>
      </c>
      <c r="H1025" s="82"/>
      <c r="I1025" s="87"/>
      <c r="J1025" s="84"/>
      <c r="K1025" s="91"/>
      <c r="L1025" s="66"/>
      <c r="M1025" s="66"/>
      <c r="N1025" s="66"/>
      <c r="O1025" s="66"/>
      <c r="P1025" s="66"/>
      <c r="Q1025" s="66"/>
      <c r="R1025" s="72"/>
      <c r="T1025" s="66"/>
      <c r="U1025" s="66"/>
    </row>
    <row r="1026" spans="1:21" ht="18.75" customHeight="1" x14ac:dyDescent="0.2">
      <c r="A1026" s="70">
        <v>39754</v>
      </c>
      <c r="B1026" s="70">
        <v>39768</v>
      </c>
      <c r="C1026" s="71">
        <v>34001</v>
      </c>
      <c r="D1026" s="72" t="s">
        <v>878</v>
      </c>
      <c r="E1026" s="72" t="s">
        <v>19</v>
      </c>
      <c r="F1026" s="72" t="s">
        <v>879</v>
      </c>
      <c r="G1026" s="72" t="s">
        <v>348</v>
      </c>
      <c r="H1026" s="74" t="s">
        <v>349</v>
      </c>
      <c r="I1026" s="107">
        <v>93.29</v>
      </c>
      <c r="J1026" s="76"/>
      <c r="K1026" s="76">
        <v>46.51</v>
      </c>
      <c r="L1026" s="76"/>
      <c r="M1026" s="70">
        <v>39904</v>
      </c>
      <c r="N1026" s="89">
        <f>DATE(YEAR(M1026)+8,MONTH(M1026),DAY(M1026)-1)</f>
        <v>42825</v>
      </c>
      <c r="O1026" s="92" t="s">
        <v>19</v>
      </c>
      <c r="P1026" s="92" t="s">
        <v>879</v>
      </c>
      <c r="Q1026" s="92" t="s">
        <v>348</v>
      </c>
      <c r="R1026" s="72" t="s">
        <v>349</v>
      </c>
      <c r="S1026" s="72"/>
      <c r="T1026" s="72"/>
      <c r="U1026" s="72"/>
    </row>
    <row r="1027" spans="1:21" ht="18.75" customHeight="1" x14ac:dyDescent="0.2">
      <c r="A1027" s="79"/>
      <c r="B1027" s="79"/>
      <c r="C1027" s="80"/>
      <c r="D1027" s="66"/>
      <c r="E1027" s="66" t="s">
        <v>1286</v>
      </c>
      <c r="F1027" s="66" t="s">
        <v>109</v>
      </c>
      <c r="G1027" s="66" t="s">
        <v>1287</v>
      </c>
      <c r="H1027" s="82" t="s">
        <v>349</v>
      </c>
      <c r="I1027" s="115">
        <v>6.71</v>
      </c>
      <c r="J1027" s="84"/>
      <c r="K1027" s="91"/>
      <c r="L1027" s="66"/>
      <c r="M1027" s="66"/>
      <c r="N1027" s="66"/>
      <c r="O1027" s="66"/>
      <c r="P1027" s="66"/>
      <c r="Q1027" s="66"/>
      <c r="R1027" s="72"/>
      <c r="T1027" s="66"/>
      <c r="U1027" s="66"/>
    </row>
    <row r="1028" spans="1:21" ht="18.75" customHeight="1" x14ac:dyDescent="0.2">
      <c r="A1028" s="79"/>
      <c r="B1028" s="79"/>
      <c r="C1028" s="80"/>
      <c r="D1028" s="66"/>
      <c r="E1028" s="86"/>
      <c r="F1028" s="66"/>
      <c r="G1028" s="66" t="s">
        <v>353</v>
      </c>
      <c r="H1028" s="82"/>
      <c r="I1028" s="87"/>
      <c r="J1028" s="84"/>
      <c r="K1028" s="91"/>
      <c r="L1028" s="66"/>
      <c r="M1028" s="66"/>
      <c r="N1028" s="66"/>
      <c r="O1028" s="66"/>
      <c r="P1028" s="66"/>
      <c r="Q1028" s="66"/>
      <c r="R1028" s="72"/>
      <c r="T1028" s="66"/>
      <c r="U1028" s="66"/>
    </row>
    <row r="1029" spans="1:21" ht="18.75" customHeight="1" x14ac:dyDescent="0.2">
      <c r="A1029" s="70">
        <v>39761</v>
      </c>
      <c r="B1029" s="70">
        <v>39775</v>
      </c>
      <c r="C1029" s="71">
        <v>13703</v>
      </c>
      <c r="D1029" s="72" t="s">
        <v>1141</v>
      </c>
      <c r="E1029" s="72" t="s">
        <v>19</v>
      </c>
      <c r="F1029" s="72" t="s">
        <v>1288</v>
      </c>
      <c r="G1029" s="72" t="s">
        <v>993</v>
      </c>
      <c r="H1029" s="74" t="s">
        <v>349</v>
      </c>
      <c r="I1029" s="107">
        <v>72.89</v>
      </c>
      <c r="J1029" s="76"/>
      <c r="K1029" s="76">
        <v>45.26</v>
      </c>
      <c r="L1029" s="76"/>
      <c r="M1029" s="70">
        <v>39814</v>
      </c>
      <c r="N1029" s="89">
        <f>DATE(YEAR(M1029)+8,MONTH(M1029),DAY(M1029)-1)</f>
        <v>42735</v>
      </c>
      <c r="O1029" s="137" t="s">
        <v>19</v>
      </c>
      <c r="P1029" s="137" t="s">
        <v>560</v>
      </c>
      <c r="Q1029" s="137" t="s">
        <v>561</v>
      </c>
      <c r="R1029" s="72" t="s">
        <v>349</v>
      </c>
      <c r="S1029" s="72"/>
      <c r="T1029" s="72"/>
      <c r="U1029" s="72"/>
    </row>
    <row r="1030" spans="1:21" ht="18.75" customHeight="1" x14ac:dyDescent="0.2">
      <c r="A1030" s="79"/>
      <c r="B1030" s="79"/>
      <c r="C1030" s="80"/>
      <c r="D1030" s="66"/>
      <c r="E1030" s="66" t="s">
        <v>21</v>
      </c>
      <c r="F1030" s="66" t="s">
        <v>1289</v>
      </c>
      <c r="G1030" s="66" t="s">
        <v>556</v>
      </c>
      <c r="H1030" s="82" t="s">
        <v>349</v>
      </c>
      <c r="I1030" s="115">
        <v>27.11</v>
      </c>
      <c r="J1030" s="84"/>
      <c r="K1030" s="91"/>
      <c r="L1030" s="66"/>
      <c r="M1030" s="66"/>
      <c r="N1030" s="66"/>
      <c r="O1030" s="66"/>
      <c r="P1030" s="66"/>
      <c r="Q1030" s="66"/>
      <c r="R1030" s="72"/>
      <c r="T1030" s="66"/>
      <c r="U1030" s="66"/>
    </row>
    <row r="1031" spans="1:21" ht="18.75" customHeight="1" x14ac:dyDescent="0.2">
      <c r="A1031" s="79"/>
      <c r="B1031" s="79"/>
      <c r="C1031" s="80"/>
      <c r="D1031" s="66"/>
      <c r="E1031" s="86"/>
      <c r="F1031" s="66"/>
      <c r="G1031" s="66" t="s">
        <v>353</v>
      </c>
      <c r="H1031" s="82"/>
      <c r="I1031" s="87"/>
      <c r="J1031" s="84"/>
      <c r="K1031" s="91"/>
      <c r="L1031" s="66"/>
      <c r="M1031" s="66"/>
      <c r="N1031" s="66"/>
      <c r="O1031" s="66"/>
      <c r="P1031" s="66"/>
      <c r="Q1031" s="66"/>
      <c r="R1031" s="72"/>
      <c r="T1031" s="66"/>
      <c r="U1031" s="66"/>
    </row>
    <row r="1032" spans="1:21" ht="18.75" customHeight="1" x14ac:dyDescent="0.2">
      <c r="A1032" s="70">
        <v>39761</v>
      </c>
      <c r="B1032" s="70">
        <v>39775</v>
      </c>
      <c r="C1032" s="71">
        <v>13808</v>
      </c>
      <c r="D1032" s="72" t="s">
        <v>900</v>
      </c>
      <c r="E1032" s="72" t="s">
        <v>1290</v>
      </c>
      <c r="F1032" s="72" t="s">
        <v>1290</v>
      </c>
      <c r="G1032" s="72" t="s">
        <v>368</v>
      </c>
      <c r="H1032" s="74" t="s">
        <v>349</v>
      </c>
      <c r="I1032" s="107">
        <v>56.3</v>
      </c>
      <c r="J1032" s="76"/>
      <c r="K1032" s="76">
        <v>61.08</v>
      </c>
      <c r="L1032" s="76"/>
      <c r="M1032" s="70">
        <v>39934</v>
      </c>
      <c r="N1032" s="89">
        <f>DATE(YEAR(M1032)+8,MONTH(M1032),DAY(M1032)-1)</f>
        <v>42855</v>
      </c>
      <c r="O1032" s="72" t="s">
        <v>19</v>
      </c>
      <c r="P1032" s="72" t="s">
        <v>533</v>
      </c>
      <c r="Q1032" s="72" t="s">
        <v>361</v>
      </c>
      <c r="R1032" s="72" t="s">
        <v>349</v>
      </c>
      <c r="S1032" s="72"/>
      <c r="T1032" s="72"/>
      <c r="U1032" s="72"/>
    </row>
    <row r="1033" spans="1:21" ht="18.75" customHeight="1" x14ac:dyDescent="0.2">
      <c r="A1033" s="79"/>
      <c r="B1033" s="79"/>
      <c r="C1033" s="80"/>
      <c r="D1033" s="66"/>
      <c r="E1033" s="66" t="s">
        <v>21</v>
      </c>
      <c r="F1033" s="66" t="s">
        <v>1291</v>
      </c>
      <c r="G1033" s="66" t="s">
        <v>360</v>
      </c>
      <c r="H1033" s="82" t="s">
        <v>349</v>
      </c>
      <c r="I1033" s="115">
        <v>31.64</v>
      </c>
      <c r="J1033" s="84"/>
      <c r="K1033" s="91"/>
      <c r="L1033" s="66"/>
      <c r="M1033" s="66"/>
      <c r="N1033" s="66"/>
      <c r="O1033" s="66"/>
      <c r="P1033" s="66"/>
      <c r="Q1033" s="66"/>
      <c r="R1033" s="72"/>
      <c r="T1033" s="66"/>
      <c r="U1033" s="66"/>
    </row>
    <row r="1034" spans="1:21" ht="18.75" customHeight="1" x14ac:dyDescent="0.2">
      <c r="A1034" s="79"/>
      <c r="B1034" s="79"/>
      <c r="C1034" s="80"/>
      <c r="D1034" s="66"/>
      <c r="E1034" s="66" t="s">
        <v>19</v>
      </c>
      <c r="F1034" s="66" t="s">
        <v>1292</v>
      </c>
      <c r="G1034" s="66" t="s">
        <v>1293</v>
      </c>
      <c r="H1034" s="82" t="s">
        <v>349</v>
      </c>
      <c r="I1034" s="115">
        <v>12.05</v>
      </c>
      <c r="J1034" s="84"/>
      <c r="K1034" s="91"/>
      <c r="L1034" s="66"/>
      <c r="M1034" s="66"/>
      <c r="N1034" s="66"/>
      <c r="O1034" s="66"/>
      <c r="P1034" s="66"/>
      <c r="Q1034" s="66"/>
      <c r="R1034" s="72"/>
      <c r="T1034" s="66"/>
      <c r="U1034" s="66"/>
    </row>
    <row r="1035" spans="1:21" ht="18.75" customHeight="1" x14ac:dyDescent="0.2">
      <c r="A1035" s="79"/>
      <c r="B1035" s="79"/>
      <c r="C1035" s="80"/>
      <c r="D1035" s="66"/>
      <c r="E1035" s="86"/>
      <c r="F1035" s="66"/>
      <c r="G1035" s="66" t="s">
        <v>353</v>
      </c>
      <c r="H1035" s="82"/>
      <c r="I1035" s="87"/>
      <c r="J1035" s="84"/>
      <c r="K1035" s="91"/>
      <c r="L1035" s="66"/>
      <c r="M1035" s="66"/>
      <c r="N1035" s="66"/>
      <c r="O1035" s="66"/>
      <c r="P1035" s="66"/>
      <c r="Q1035" s="66"/>
      <c r="R1035" s="72"/>
      <c r="T1035" s="66"/>
      <c r="U1035" s="66"/>
    </row>
    <row r="1036" spans="1:21" ht="18.75" customHeight="1" x14ac:dyDescent="0.2">
      <c r="A1036" s="70">
        <v>39782</v>
      </c>
      <c r="B1036" s="70">
        <v>39796</v>
      </c>
      <c r="C1036" s="71">
        <v>13306</v>
      </c>
      <c r="D1036" s="72" t="s">
        <v>885</v>
      </c>
      <c r="E1036" s="72" t="s">
        <v>19</v>
      </c>
      <c r="F1036" s="72" t="s">
        <v>1294</v>
      </c>
      <c r="G1036" s="72" t="s">
        <v>1117</v>
      </c>
      <c r="H1036" s="74" t="s">
        <v>349</v>
      </c>
      <c r="I1036" s="107">
        <v>73.19</v>
      </c>
      <c r="J1036" s="76"/>
      <c r="K1036" s="76">
        <v>54.51</v>
      </c>
      <c r="L1036" s="76"/>
      <c r="M1036" s="70">
        <v>40009</v>
      </c>
      <c r="N1036" s="89">
        <f>DATE(YEAR(M1036)+8,MONTH(M1036),DAY(M1036)-1)</f>
        <v>42930</v>
      </c>
      <c r="O1036" s="72" t="s">
        <v>21</v>
      </c>
      <c r="P1036" s="72" t="s">
        <v>886</v>
      </c>
      <c r="Q1036" s="72" t="s">
        <v>348</v>
      </c>
      <c r="R1036" s="72" t="s">
        <v>349</v>
      </c>
      <c r="S1036" s="72"/>
      <c r="T1036" s="72"/>
      <c r="U1036" s="72"/>
    </row>
    <row r="1037" spans="1:21" ht="18.75" customHeight="1" x14ac:dyDescent="0.2">
      <c r="A1037" s="79"/>
      <c r="B1037" s="79"/>
      <c r="C1037" s="80"/>
      <c r="D1037" s="66"/>
      <c r="E1037" s="66" t="s">
        <v>21</v>
      </c>
      <c r="F1037" s="66" t="s">
        <v>886</v>
      </c>
      <c r="G1037" s="66" t="s">
        <v>383</v>
      </c>
      <c r="H1037" s="82" t="s">
        <v>349</v>
      </c>
      <c r="I1037" s="115">
        <v>26.81</v>
      </c>
      <c r="J1037" s="84"/>
      <c r="K1037" s="91"/>
      <c r="L1037" s="66"/>
      <c r="M1037" s="66"/>
      <c r="N1037" s="66"/>
      <c r="O1037" s="66"/>
      <c r="P1037" s="66"/>
      <c r="Q1037" s="66"/>
      <c r="R1037" s="72"/>
      <c r="T1037" s="66"/>
      <c r="U1037" s="66"/>
    </row>
    <row r="1038" spans="1:21" ht="18.75" customHeight="1" x14ac:dyDescent="0.2">
      <c r="A1038" s="79"/>
      <c r="B1038" s="79"/>
      <c r="C1038" s="80"/>
      <c r="D1038" s="66"/>
      <c r="E1038" s="86"/>
      <c r="F1038" s="66"/>
      <c r="G1038" s="66" t="s">
        <v>353</v>
      </c>
      <c r="H1038" s="82"/>
      <c r="I1038" s="87"/>
      <c r="J1038" s="84"/>
      <c r="K1038" s="91"/>
      <c r="L1038" s="66"/>
      <c r="M1038" s="66"/>
      <c r="N1038" s="66"/>
      <c r="O1038" s="66"/>
      <c r="P1038" s="66"/>
      <c r="Q1038" s="66"/>
      <c r="R1038" s="72"/>
      <c r="T1038" s="66"/>
      <c r="U1038" s="66"/>
    </row>
    <row r="1039" spans="1:21" ht="18.75" customHeight="1" x14ac:dyDescent="0.2">
      <c r="A1039" s="70">
        <v>39971</v>
      </c>
      <c r="B1039" s="70">
        <v>39985</v>
      </c>
      <c r="C1039" s="71">
        <v>13201</v>
      </c>
      <c r="D1039" s="72" t="s">
        <v>959</v>
      </c>
      <c r="E1039" s="74" t="s">
        <v>753</v>
      </c>
      <c r="F1039" s="74" t="s">
        <v>753</v>
      </c>
      <c r="G1039" s="74" t="s">
        <v>1295</v>
      </c>
      <c r="H1039" s="74" t="s">
        <v>349</v>
      </c>
      <c r="I1039" s="147">
        <v>79.5</v>
      </c>
      <c r="J1039" s="76"/>
      <c r="K1039" s="76">
        <v>54.71</v>
      </c>
      <c r="L1039" s="76"/>
      <c r="M1039" s="70">
        <v>40179</v>
      </c>
      <c r="N1039" s="89">
        <f>DATE(YEAR(M1039)+8,MONTH(M1039),DAY(M1039)-1)</f>
        <v>43100</v>
      </c>
      <c r="O1039" s="72" t="s">
        <v>21</v>
      </c>
      <c r="P1039" s="72" t="s">
        <v>753</v>
      </c>
      <c r="Q1039" s="72" t="s">
        <v>960</v>
      </c>
      <c r="R1039" s="72" t="s">
        <v>349</v>
      </c>
      <c r="S1039" s="72"/>
      <c r="T1039" s="72"/>
      <c r="U1039" s="72"/>
    </row>
    <row r="1040" spans="1:21" ht="18.75" customHeight="1" x14ac:dyDescent="0.2">
      <c r="A1040" s="79"/>
      <c r="B1040" s="79"/>
      <c r="C1040" s="80"/>
      <c r="D1040" s="66"/>
      <c r="E1040" s="86"/>
      <c r="F1040" s="66"/>
      <c r="G1040" s="66" t="s">
        <v>353</v>
      </c>
      <c r="H1040" s="82"/>
      <c r="I1040" s="87"/>
      <c r="J1040" s="84"/>
      <c r="K1040" s="91"/>
      <c r="L1040" s="66"/>
      <c r="M1040" s="66"/>
      <c r="N1040" s="66"/>
      <c r="O1040" s="66"/>
      <c r="P1040" s="66"/>
      <c r="Q1040" s="66"/>
      <c r="R1040" s="72"/>
      <c r="T1040" s="66"/>
      <c r="U1040" s="66"/>
    </row>
    <row r="1041" spans="1:21" ht="18.75" customHeight="1" x14ac:dyDescent="0.2">
      <c r="A1041" s="70">
        <v>39971</v>
      </c>
      <c r="B1041" s="70">
        <v>39985</v>
      </c>
      <c r="C1041" s="71">
        <v>13206</v>
      </c>
      <c r="D1041" s="72" t="s">
        <v>961</v>
      </c>
      <c r="E1041" s="74" t="s">
        <v>962</v>
      </c>
      <c r="F1041" s="74" t="s">
        <v>962</v>
      </c>
      <c r="G1041" s="74" t="s">
        <v>570</v>
      </c>
      <c r="H1041" s="74" t="s">
        <v>349</v>
      </c>
      <c r="I1041" s="147">
        <v>80.180000000000007</v>
      </c>
      <c r="J1041" s="76"/>
      <c r="K1041" s="76">
        <v>50.67</v>
      </c>
      <c r="L1041" s="76"/>
      <c r="M1041" s="70">
        <v>40179</v>
      </c>
      <c r="N1041" s="89">
        <f>DATE(YEAR(M1041)+8,MONTH(M1041),DAY(M1041)-1)</f>
        <v>43100</v>
      </c>
      <c r="O1041" s="72" t="s">
        <v>962</v>
      </c>
      <c r="P1041" s="72" t="s">
        <v>962</v>
      </c>
      <c r="Q1041" s="72" t="s">
        <v>570</v>
      </c>
      <c r="R1041" s="72" t="s">
        <v>349</v>
      </c>
      <c r="T1041" s="72"/>
      <c r="U1041" s="72"/>
    </row>
    <row r="1042" spans="1:21" ht="18.75" customHeight="1" x14ac:dyDescent="0.2">
      <c r="A1042" s="79"/>
      <c r="B1042" s="79"/>
      <c r="C1042" s="80"/>
      <c r="D1042" s="66"/>
      <c r="E1042" s="86"/>
      <c r="F1042" s="66"/>
      <c r="G1042" s="66" t="s">
        <v>353</v>
      </c>
      <c r="H1042" s="82"/>
      <c r="I1042" s="87"/>
      <c r="J1042" s="84"/>
      <c r="K1042" s="91"/>
      <c r="L1042" s="66"/>
      <c r="M1042" s="66"/>
      <c r="N1042" s="66"/>
      <c r="O1042" s="66"/>
      <c r="P1042" s="66"/>
      <c r="Q1042" s="66"/>
      <c r="R1042" s="72"/>
      <c r="T1042" s="66"/>
      <c r="U1042" s="66"/>
    </row>
    <row r="1043" spans="1:21" ht="18.75" customHeight="1" x14ac:dyDescent="0.2">
      <c r="A1043" s="70">
        <v>39971</v>
      </c>
      <c r="B1043" s="70">
        <v>39985</v>
      </c>
      <c r="C1043" s="71">
        <v>13207</v>
      </c>
      <c r="D1043" s="72" t="s">
        <v>966</v>
      </c>
      <c r="E1043" s="74" t="s">
        <v>1296</v>
      </c>
      <c r="F1043" s="74" t="s">
        <v>1296</v>
      </c>
      <c r="G1043" s="74" t="s">
        <v>1228</v>
      </c>
      <c r="H1043" s="74" t="s">
        <v>349</v>
      </c>
      <c r="I1043" s="147">
        <v>51.71</v>
      </c>
      <c r="J1043" s="76"/>
      <c r="K1043" s="76">
        <v>54.73</v>
      </c>
      <c r="L1043" s="76"/>
      <c r="M1043" s="70">
        <v>40179</v>
      </c>
      <c r="N1043" s="89">
        <f>DATE(YEAR(M1043)+8,MONTH(M1043),DAY(M1043)-1)</f>
        <v>43100</v>
      </c>
      <c r="O1043" s="72" t="s">
        <v>19</v>
      </c>
      <c r="P1043" s="72" t="s">
        <v>716</v>
      </c>
      <c r="Q1043" s="72" t="s">
        <v>348</v>
      </c>
      <c r="R1043" s="72" t="s">
        <v>349</v>
      </c>
      <c r="S1043" s="72"/>
      <c r="T1043" s="72"/>
      <c r="U1043" s="72"/>
    </row>
    <row r="1044" spans="1:21" ht="18.75" customHeight="1" x14ac:dyDescent="0.2">
      <c r="A1044" s="79"/>
      <c r="B1044" s="79"/>
      <c r="C1044" s="80"/>
      <c r="D1044" s="66"/>
      <c r="E1044" s="82" t="s">
        <v>19</v>
      </c>
      <c r="F1044" s="82" t="s">
        <v>1181</v>
      </c>
      <c r="G1044" s="82" t="s">
        <v>348</v>
      </c>
      <c r="H1044" s="82" t="s">
        <v>349</v>
      </c>
      <c r="I1044" s="148">
        <v>48.29</v>
      </c>
      <c r="J1044" s="84"/>
      <c r="K1044" s="91"/>
      <c r="L1044" s="66"/>
      <c r="M1044" s="66"/>
      <c r="N1044" s="66"/>
      <c r="O1044" s="66"/>
      <c r="P1044" s="66"/>
      <c r="Q1044" s="66"/>
      <c r="R1044" s="72"/>
      <c r="T1044" s="66"/>
      <c r="U1044" s="66"/>
    </row>
    <row r="1045" spans="1:21" ht="18.75" customHeight="1" x14ac:dyDescent="0.2">
      <c r="A1045" s="79"/>
      <c r="B1045" s="79"/>
      <c r="C1045" s="80"/>
      <c r="D1045" s="66"/>
      <c r="E1045" s="86"/>
      <c r="F1045" s="66"/>
      <c r="G1045" s="66" t="s">
        <v>353</v>
      </c>
      <c r="H1045" s="82"/>
      <c r="I1045" s="87"/>
      <c r="J1045" s="84"/>
      <c r="K1045" s="91"/>
      <c r="L1045" s="66"/>
      <c r="M1045" s="66"/>
      <c r="N1045" s="66"/>
      <c r="O1045" s="66"/>
      <c r="P1045" s="66"/>
      <c r="Q1045" s="66"/>
      <c r="R1045" s="72"/>
      <c r="T1045" s="66"/>
      <c r="U1045" s="66"/>
    </row>
    <row r="1046" spans="1:21" ht="18.75" customHeight="1" x14ac:dyDescent="0.2">
      <c r="A1046" s="70">
        <v>39971</v>
      </c>
      <c r="B1046" s="70">
        <v>39985</v>
      </c>
      <c r="C1046" s="71">
        <v>13404</v>
      </c>
      <c r="D1046" s="72" t="s">
        <v>531</v>
      </c>
      <c r="E1046" s="74" t="s">
        <v>1297</v>
      </c>
      <c r="F1046" s="74" t="s">
        <v>1297</v>
      </c>
      <c r="G1046" s="74" t="s">
        <v>947</v>
      </c>
      <c r="H1046" s="74" t="s">
        <v>349</v>
      </c>
      <c r="I1046" s="147">
        <v>33.659999999999997</v>
      </c>
      <c r="J1046" s="149">
        <v>52.22</v>
      </c>
      <c r="K1046" s="76">
        <v>60.08</v>
      </c>
      <c r="L1046" s="76">
        <v>42.11</v>
      </c>
      <c r="M1046" s="70">
        <v>40210</v>
      </c>
      <c r="N1046" s="89">
        <f>DATE(YEAR(M1046)+8,MONTH(M1046),DAY(M1046)-1)</f>
        <v>43131</v>
      </c>
      <c r="O1046" s="137" t="s">
        <v>1140</v>
      </c>
      <c r="P1046" s="137" t="s">
        <v>533</v>
      </c>
      <c r="Q1046" s="137" t="s">
        <v>348</v>
      </c>
      <c r="R1046" s="72" t="s">
        <v>349</v>
      </c>
      <c r="S1046" s="72"/>
      <c r="T1046" s="72"/>
      <c r="U1046" s="72"/>
    </row>
    <row r="1047" spans="1:21" ht="18.75" customHeight="1" x14ac:dyDescent="0.2">
      <c r="A1047" s="79"/>
      <c r="B1047" s="79"/>
      <c r="C1047" s="80"/>
      <c r="D1047" s="66"/>
      <c r="E1047" s="82" t="s">
        <v>21</v>
      </c>
      <c r="F1047" s="82" t="s">
        <v>1298</v>
      </c>
      <c r="G1047" s="82" t="s">
        <v>741</v>
      </c>
      <c r="H1047" s="82" t="s">
        <v>349</v>
      </c>
      <c r="I1047" s="148">
        <v>36.07</v>
      </c>
      <c r="J1047" s="150">
        <v>47.78</v>
      </c>
      <c r="K1047" s="91"/>
      <c r="L1047" s="66"/>
      <c r="M1047" s="66"/>
      <c r="N1047" s="66"/>
      <c r="O1047" s="66"/>
      <c r="P1047" s="66"/>
      <c r="Q1047" s="66"/>
      <c r="R1047" s="72"/>
      <c r="T1047" s="66"/>
      <c r="U1047" s="66"/>
    </row>
    <row r="1048" spans="1:21" ht="18.75" customHeight="1" x14ac:dyDescent="0.2">
      <c r="A1048" s="79"/>
      <c r="B1048" s="79"/>
      <c r="C1048" s="80"/>
      <c r="D1048" s="66"/>
      <c r="E1048" s="82" t="s">
        <v>19</v>
      </c>
      <c r="F1048" s="82" t="s">
        <v>534</v>
      </c>
      <c r="G1048" s="82" t="s">
        <v>535</v>
      </c>
      <c r="H1048" s="82" t="s">
        <v>349</v>
      </c>
      <c r="I1048" s="148">
        <v>30.27</v>
      </c>
      <c r="J1048" s="84"/>
      <c r="K1048" s="91"/>
      <c r="L1048" s="66"/>
      <c r="M1048" s="66"/>
      <c r="N1048" s="66"/>
      <c r="O1048" s="66"/>
      <c r="P1048" s="66"/>
      <c r="Q1048" s="66"/>
      <c r="R1048" s="72"/>
      <c r="T1048" s="66"/>
      <c r="U1048" s="66"/>
    </row>
    <row r="1049" spans="1:21" ht="18.75" customHeight="1" x14ac:dyDescent="0.2">
      <c r="A1049" s="79"/>
      <c r="B1049" s="79"/>
      <c r="C1049" s="80"/>
      <c r="D1049" s="66"/>
      <c r="E1049" s="86"/>
      <c r="F1049" s="66"/>
      <c r="G1049" s="66" t="s">
        <v>353</v>
      </c>
      <c r="H1049" s="82"/>
      <c r="I1049" s="87"/>
      <c r="J1049" s="84"/>
      <c r="K1049" s="91"/>
      <c r="L1049" s="66"/>
      <c r="M1049" s="66"/>
      <c r="N1049" s="66"/>
      <c r="O1049" s="66"/>
      <c r="P1049" s="66"/>
      <c r="Q1049" s="66"/>
      <c r="R1049" s="72"/>
      <c r="T1049" s="66"/>
      <c r="U1049" s="66"/>
    </row>
    <row r="1050" spans="1:21" ht="18.75" customHeight="1" x14ac:dyDescent="0.2">
      <c r="A1050" s="70">
        <v>39971</v>
      </c>
      <c r="B1050" s="70">
        <v>39985</v>
      </c>
      <c r="C1050" s="71">
        <v>13501</v>
      </c>
      <c r="D1050" s="72" t="s">
        <v>1299</v>
      </c>
      <c r="E1050" s="74" t="s">
        <v>19</v>
      </c>
      <c r="F1050" s="74" t="s">
        <v>1057</v>
      </c>
      <c r="G1050" s="74" t="s">
        <v>512</v>
      </c>
      <c r="H1050" s="74" t="s">
        <v>349</v>
      </c>
      <c r="I1050" s="147">
        <v>80.180000000000007</v>
      </c>
      <c r="J1050" s="76"/>
      <c r="K1050" s="76">
        <v>62.86</v>
      </c>
      <c r="L1050" s="76"/>
      <c r="M1050" s="70">
        <v>40238</v>
      </c>
      <c r="N1050" s="146">
        <v>41820</v>
      </c>
      <c r="O1050" s="72" t="s">
        <v>19</v>
      </c>
      <c r="P1050" s="72" t="s">
        <v>1057</v>
      </c>
      <c r="Q1050" s="72" t="s">
        <v>512</v>
      </c>
      <c r="R1050" s="72" t="s">
        <v>349</v>
      </c>
      <c r="S1050" s="106" t="s">
        <v>1300</v>
      </c>
      <c r="T1050" s="72"/>
      <c r="U1050" s="72"/>
    </row>
    <row r="1051" spans="1:21" ht="18.75" customHeight="1" x14ac:dyDescent="0.2">
      <c r="A1051" s="79"/>
      <c r="B1051" s="79"/>
      <c r="C1051" s="80"/>
      <c r="D1051" s="66"/>
      <c r="E1051" s="86"/>
      <c r="F1051" s="66"/>
      <c r="G1051" s="66" t="s">
        <v>353</v>
      </c>
      <c r="H1051" s="82"/>
      <c r="I1051" s="87"/>
      <c r="J1051" s="84"/>
      <c r="K1051" s="91"/>
      <c r="L1051" s="66"/>
      <c r="M1051" s="66"/>
      <c r="N1051" s="66"/>
      <c r="O1051" s="66"/>
      <c r="P1051" s="66"/>
      <c r="Q1051" s="66"/>
      <c r="R1051" s="72"/>
      <c r="T1051" s="66"/>
      <c r="U1051" s="66"/>
    </row>
    <row r="1052" spans="1:21" ht="18.75" customHeight="1" x14ac:dyDescent="0.2">
      <c r="A1052" s="70">
        <v>39971</v>
      </c>
      <c r="B1052" s="70">
        <v>39985</v>
      </c>
      <c r="C1052" s="71">
        <v>13503</v>
      </c>
      <c r="D1052" s="72" t="s">
        <v>1060</v>
      </c>
      <c r="E1052" s="74" t="s">
        <v>19</v>
      </c>
      <c r="F1052" s="74" t="s">
        <v>1301</v>
      </c>
      <c r="G1052" s="74" t="s">
        <v>474</v>
      </c>
      <c r="H1052" s="74" t="s">
        <v>349</v>
      </c>
      <c r="I1052" s="147">
        <v>69.8</v>
      </c>
      <c r="J1052" s="76"/>
      <c r="K1052" s="76">
        <v>66.17</v>
      </c>
      <c r="L1052" s="76"/>
      <c r="M1052" s="70">
        <v>40179</v>
      </c>
      <c r="N1052" s="89">
        <f>DATE(YEAR(M1052)+8,MONTH(M1052),DAY(M1052)-1)</f>
        <v>43100</v>
      </c>
      <c r="O1052" s="72" t="s">
        <v>19</v>
      </c>
      <c r="P1052" s="72" t="s">
        <v>1061</v>
      </c>
      <c r="Q1052" s="72" t="s">
        <v>585</v>
      </c>
      <c r="R1052" s="72" t="s">
        <v>349</v>
      </c>
      <c r="S1052" s="72"/>
      <c r="T1052" s="72"/>
      <c r="U1052" s="72"/>
    </row>
    <row r="1053" spans="1:21" ht="18.75" customHeight="1" x14ac:dyDescent="0.2">
      <c r="A1053" s="79"/>
      <c r="B1053" s="79"/>
      <c r="C1053" s="80"/>
      <c r="D1053" s="66"/>
      <c r="E1053" s="82" t="s">
        <v>1302</v>
      </c>
      <c r="F1053" s="82" t="s">
        <v>1302</v>
      </c>
      <c r="G1053" s="82" t="s">
        <v>1188</v>
      </c>
      <c r="H1053" s="82" t="s">
        <v>349</v>
      </c>
      <c r="I1053" s="148">
        <v>30.2</v>
      </c>
      <c r="J1053" s="84"/>
      <c r="K1053" s="91"/>
      <c r="L1053" s="66"/>
      <c r="M1053" s="66"/>
      <c r="N1053" s="66"/>
      <c r="O1053" s="66"/>
      <c r="P1053" s="66"/>
      <c r="Q1053" s="66"/>
      <c r="R1053" s="72"/>
      <c r="T1053" s="66"/>
      <c r="U1053" s="66"/>
    </row>
    <row r="1054" spans="1:21" ht="18.75" customHeight="1" x14ac:dyDescent="0.2">
      <c r="A1054" s="79"/>
      <c r="B1054" s="79"/>
      <c r="C1054" s="80"/>
      <c r="D1054" s="66"/>
      <c r="E1054" s="86"/>
      <c r="F1054" s="66"/>
      <c r="G1054" s="66" t="s">
        <v>353</v>
      </c>
      <c r="H1054" s="82"/>
      <c r="I1054" s="87"/>
      <c r="J1054" s="84"/>
      <c r="K1054" s="91"/>
      <c r="L1054" s="66"/>
      <c r="M1054" s="66"/>
      <c r="N1054" s="66"/>
      <c r="O1054" s="66"/>
      <c r="P1054" s="66"/>
      <c r="Q1054" s="66"/>
      <c r="R1054" s="72"/>
      <c r="T1054" s="66"/>
      <c r="U1054" s="66"/>
    </row>
    <row r="1055" spans="1:21" ht="18.75" customHeight="1" x14ac:dyDescent="0.2">
      <c r="A1055" s="70">
        <v>39971</v>
      </c>
      <c r="B1055" s="70">
        <v>39985</v>
      </c>
      <c r="C1055" s="71">
        <v>13702</v>
      </c>
      <c r="D1055" s="72" t="s">
        <v>895</v>
      </c>
      <c r="E1055" s="151" t="s">
        <v>21</v>
      </c>
      <c r="F1055" s="151" t="s">
        <v>1303</v>
      </c>
      <c r="G1055" s="151" t="s">
        <v>1304</v>
      </c>
      <c r="H1055" s="74" t="s">
        <v>349</v>
      </c>
      <c r="I1055" s="152">
        <v>46.17</v>
      </c>
      <c r="J1055" s="153">
        <v>56.84</v>
      </c>
      <c r="K1055" s="76">
        <v>57.25</v>
      </c>
      <c r="L1055" s="76">
        <v>49.32</v>
      </c>
      <c r="M1055" s="70">
        <v>40087</v>
      </c>
      <c r="N1055" s="89">
        <f>DATE(YEAR(M1055)+8,MONTH(M1055),DAY(M1055)-1)</f>
        <v>43008</v>
      </c>
      <c r="O1055" s="72" t="s">
        <v>19</v>
      </c>
      <c r="P1055" s="72" t="s">
        <v>1305</v>
      </c>
      <c r="Q1055" s="72" t="s">
        <v>897</v>
      </c>
      <c r="R1055" s="72" t="s">
        <v>419</v>
      </c>
      <c r="S1055" s="72"/>
      <c r="T1055" s="72"/>
      <c r="U1055" s="72"/>
    </row>
    <row r="1056" spans="1:21" ht="18.75" customHeight="1" x14ac:dyDescent="0.2">
      <c r="A1056" s="79"/>
      <c r="B1056" s="79"/>
      <c r="C1056" s="80"/>
      <c r="D1056" s="66"/>
      <c r="E1056" s="154" t="s">
        <v>19</v>
      </c>
      <c r="F1056" s="154" t="s">
        <v>1305</v>
      </c>
      <c r="G1056" s="154" t="s">
        <v>897</v>
      </c>
      <c r="H1056" s="82" t="s">
        <v>419</v>
      </c>
      <c r="I1056" s="155">
        <v>45.59</v>
      </c>
      <c r="J1056" s="156">
        <v>43.16</v>
      </c>
      <c r="K1056" s="91"/>
      <c r="L1056" s="66"/>
      <c r="M1056" s="66"/>
      <c r="N1056" s="66"/>
      <c r="O1056" s="66"/>
      <c r="P1056" s="66"/>
      <c r="Q1056" s="66"/>
      <c r="R1056" s="72"/>
      <c r="T1056" s="66"/>
      <c r="U1056" s="66"/>
    </row>
    <row r="1057" spans="1:21" ht="18.75" customHeight="1" x14ac:dyDescent="0.2">
      <c r="A1057" s="79"/>
      <c r="B1057" s="79"/>
      <c r="C1057" s="80"/>
      <c r="D1057" s="66"/>
      <c r="E1057" s="154" t="s">
        <v>1306</v>
      </c>
      <c r="F1057" s="154" t="s">
        <v>1306</v>
      </c>
      <c r="G1057" s="154" t="s">
        <v>861</v>
      </c>
      <c r="H1057" s="82" t="s">
        <v>349</v>
      </c>
      <c r="I1057" s="155">
        <v>8.24</v>
      </c>
      <c r="J1057" s="84"/>
      <c r="K1057" s="91"/>
      <c r="L1057" s="66"/>
      <c r="M1057" s="66"/>
      <c r="N1057" s="66"/>
      <c r="O1057" s="66"/>
      <c r="P1057" s="66"/>
      <c r="Q1057" s="66"/>
      <c r="R1057" s="72"/>
      <c r="T1057" s="66"/>
      <c r="U1057" s="66"/>
    </row>
    <row r="1058" spans="1:21" ht="18.75" customHeight="1" x14ac:dyDescent="0.2">
      <c r="A1058" s="79"/>
      <c r="B1058" s="79"/>
      <c r="C1058" s="80"/>
      <c r="D1058" s="66"/>
      <c r="E1058" s="86"/>
      <c r="F1058" s="66"/>
      <c r="G1058" s="66" t="s">
        <v>353</v>
      </c>
      <c r="H1058" s="82"/>
      <c r="I1058" s="87"/>
      <c r="J1058" s="84"/>
      <c r="K1058" s="91"/>
      <c r="L1058" s="66"/>
      <c r="M1058" s="66"/>
      <c r="N1058" s="66"/>
      <c r="O1058" s="66"/>
      <c r="P1058" s="66"/>
      <c r="Q1058" s="66"/>
      <c r="R1058" s="72"/>
      <c r="T1058" s="66"/>
      <c r="U1058" s="66"/>
    </row>
    <row r="1059" spans="1:21" ht="18.75" customHeight="1" x14ac:dyDescent="0.2">
      <c r="A1059" s="70">
        <v>39971</v>
      </c>
      <c r="B1059" s="70">
        <v>39985</v>
      </c>
      <c r="C1059" s="71">
        <v>13704</v>
      </c>
      <c r="D1059" s="72" t="s">
        <v>972</v>
      </c>
      <c r="E1059" s="74" t="s">
        <v>19</v>
      </c>
      <c r="F1059" s="74" t="s">
        <v>973</v>
      </c>
      <c r="G1059" s="74" t="s">
        <v>723</v>
      </c>
      <c r="H1059" s="74" t="s">
        <v>349</v>
      </c>
      <c r="I1059" s="147">
        <v>79.760000000000005</v>
      </c>
      <c r="J1059" s="76"/>
      <c r="K1059" s="76">
        <v>56.45</v>
      </c>
      <c r="L1059" s="76"/>
      <c r="M1059" s="70">
        <v>40179</v>
      </c>
      <c r="N1059" s="89">
        <f>DATE(YEAR(M1059)+8,MONTH(M1059),DAY(M1059)-1)</f>
        <v>43100</v>
      </c>
      <c r="O1059" s="72" t="s">
        <v>19</v>
      </c>
      <c r="P1059" s="72" t="s">
        <v>973</v>
      </c>
      <c r="Q1059" s="72" t="s">
        <v>723</v>
      </c>
      <c r="R1059" s="72" t="s">
        <v>349</v>
      </c>
      <c r="S1059" s="72"/>
      <c r="T1059" s="72"/>
      <c r="U1059" s="72"/>
    </row>
    <row r="1060" spans="1:21" ht="18.75" customHeight="1" x14ac:dyDescent="0.2">
      <c r="A1060" s="79"/>
      <c r="B1060" s="79"/>
      <c r="C1060" s="80"/>
      <c r="D1060" s="66"/>
      <c r="E1060" s="86"/>
      <c r="F1060" s="66"/>
      <c r="G1060" s="66" t="s">
        <v>353</v>
      </c>
      <c r="H1060" s="82"/>
      <c r="I1060" s="87"/>
      <c r="J1060" s="84"/>
      <c r="K1060" s="91"/>
      <c r="L1060" s="66"/>
      <c r="M1060" s="66"/>
      <c r="N1060" s="66"/>
      <c r="O1060" s="66"/>
      <c r="P1060" s="66"/>
      <c r="Q1060" s="66"/>
      <c r="R1060" s="72"/>
      <c r="T1060" s="66"/>
      <c r="U1060" s="66"/>
    </row>
    <row r="1061" spans="1:21" ht="18.75" customHeight="1" x14ac:dyDescent="0.2">
      <c r="A1061" s="70">
        <v>39971</v>
      </c>
      <c r="B1061" s="70">
        <v>39985</v>
      </c>
      <c r="C1061" s="71">
        <v>13801</v>
      </c>
      <c r="D1061" s="72" t="s">
        <v>975</v>
      </c>
      <c r="E1061" s="74" t="s">
        <v>1307</v>
      </c>
      <c r="F1061" s="74" t="s">
        <v>1307</v>
      </c>
      <c r="G1061" s="74" t="s">
        <v>1215</v>
      </c>
      <c r="H1061" s="74" t="s">
        <v>349</v>
      </c>
      <c r="I1061" s="147">
        <v>56.13</v>
      </c>
      <c r="J1061" s="76"/>
      <c r="K1061" s="76">
        <v>56.99</v>
      </c>
      <c r="L1061" s="76"/>
      <c r="M1061" s="70">
        <v>40179</v>
      </c>
      <c r="N1061" s="89">
        <f>DATE(YEAR(M1061)+8,MONTH(M1061),DAY(M1061)-1)</f>
        <v>43100</v>
      </c>
      <c r="O1061" s="72" t="s">
        <v>19</v>
      </c>
      <c r="P1061" s="72" t="s">
        <v>976</v>
      </c>
      <c r="Q1061" s="72" t="s">
        <v>455</v>
      </c>
      <c r="R1061" s="72" t="s">
        <v>349</v>
      </c>
      <c r="S1061" s="72"/>
      <c r="T1061" s="72"/>
      <c r="U1061" s="72"/>
    </row>
    <row r="1062" spans="1:21" ht="18.75" customHeight="1" x14ac:dyDescent="0.2">
      <c r="A1062" s="79"/>
      <c r="B1062" s="79"/>
      <c r="C1062" s="80"/>
      <c r="D1062" s="66"/>
      <c r="E1062" s="82" t="s">
        <v>19</v>
      </c>
      <c r="F1062" s="82" t="s">
        <v>1203</v>
      </c>
      <c r="G1062" s="82" t="s">
        <v>383</v>
      </c>
      <c r="H1062" s="82" t="s">
        <v>349</v>
      </c>
      <c r="I1062" s="148">
        <v>43.87</v>
      </c>
      <c r="J1062" s="84"/>
      <c r="K1062" s="91"/>
      <c r="L1062" s="66"/>
      <c r="M1062" s="66"/>
      <c r="N1062" s="66"/>
      <c r="O1062" s="66"/>
      <c r="P1062" s="66"/>
      <c r="Q1062" s="66"/>
      <c r="R1062" s="72"/>
      <c r="T1062" s="66"/>
      <c r="U1062" s="66"/>
    </row>
    <row r="1063" spans="1:21" ht="18.75" customHeight="1" x14ac:dyDescent="0.2">
      <c r="A1063" s="79"/>
      <c r="B1063" s="79"/>
      <c r="C1063" s="80"/>
      <c r="D1063" s="66"/>
      <c r="E1063" s="86"/>
      <c r="F1063" s="66"/>
      <c r="G1063" s="66" t="s">
        <v>353</v>
      </c>
      <c r="H1063" s="82"/>
      <c r="I1063" s="87"/>
      <c r="J1063" s="84"/>
      <c r="K1063" s="91"/>
      <c r="L1063" s="66"/>
      <c r="M1063" s="66"/>
      <c r="N1063" s="66"/>
      <c r="O1063" s="66"/>
      <c r="P1063" s="66"/>
      <c r="Q1063" s="66"/>
      <c r="R1063" s="72"/>
      <c r="T1063" s="66"/>
      <c r="U1063" s="66"/>
    </row>
    <row r="1064" spans="1:21" ht="18.75" customHeight="1" x14ac:dyDescent="0.2">
      <c r="A1064" s="70">
        <v>39971</v>
      </c>
      <c r="B1064" s="70">
        <v>39985</v>
      </c>
      <c r="C1064" s="71">
        <v>14101</v>
      </c>
      <c r="D1064" s="72" t="s">
        <v>977</v>
      </c>
      <c r="E1064" s="74" t="s">
        <v>19</v>
      </c>
      <c r="F1064" s="74" t="s">
        <v>493</v>
      </c>
      <c r="G1064" s="74" t="s">
        <v>487</v>
      </c>
      <c r="H1064" s="74" t="s">
        <v>349</v>
      </c>
      <c r="I1064" s="147">
        <v>79.39</v>
      </c>
      <c r="J1064" s="76"/>
      <c r="K1064" s="76">
        <v>55.18</v>
      </c>
      <c r="L1064" s="76"/>
      <c r="M1064" s="70">
        <v>40179</v>
      </c>
      <c r="N1064" s="89">
        <f>DATE(YEAR(M1064)+8,MONTH(M1064),DAY(M1064)-1)</f>
        <v>43100</v>
      </c>
      <c r="O1064" s="72" t="s">
        <v>19</v>
      </c>
      <c r="P1064" s="72" t="s">
        <v>493</v>
      </c>
      <c r="Q1064" s="72" t="s">
        <v>487</v>
      </c>
      <c r="R1064" s="72" t="s">
        <v>349</v>
      </c>
      <c r="S1064" s="72"/>
      <c r="T1064" s="72"/>
      <c r="U1064" s="72"/>
    </row>
    <row r="1065" spans="1:21" ht="18.75" customHeight="1" x14ac:dyDescent="0.2">
      <c r="A1065" s="79"/>
      <c r="B1065" s="79"/>
      <c r="C1065" s="80"/>
      <c r="D1065" s="66"/>
      <c r="E1065" s="86"/>
      <c r="F1065" s="66"/>
      <c r="G1065" s="66" t="s">
        <v>353</v>
      </c>
      <c r="H1065" s="82"/>
      <c r="I1065" s="87"/>
      <c r="J1065" s="84"/>
      <c r="K1065" s="91"/>
      <c r="L1065" s="66"/>
      <c r="M1065" s="66"/>
      <c r="N1065" s="66"/>
      <c r="O1065" s="66"/>
      <c r="P1065" s="66"/>
      <c r="Q1065" s="66"/>
      <c r="R1065" s="72"/>
      <c r="T1065" s="66"/>
      <c r="U1065" s="66"/>
    </row>
    <row r="1066" spans="1:21" ht="18.75" customHeight="1" x14ac:dyDescent="0.2">
      <c r="A1066" s="70">
        <v>39971</v>
      </c>
      <c r="B1066" s="70">
        <v>39985</v>
      </c>
      <c r="C1066" s="71">
        <v>14102</v>
      </c>
      <c r="D1066" s="72" t="s">
        <v>930</v>
      </c>
      <c r="E1066" s="74" t="s">
        <v>19</v>
      </c>
      <c r="F1066" s="74" t="s">
        <v>551</v>
      </c>
      <c r="G1066" s="74" t="s">
        <v>368</v>
      </c>
      <c r="H1066" s="74" t="s">
        <v>349</v>
      </c>
      <c r="I1066" s="147">
        <v>64.010000000000005</v>
      </c>
      <c r="J1066" s="76"/>
      <c r="K1066" s="76">
        <v>66.98</v>
      </c>
      <c r="L1066" s="76"/>
      <c r="M1066" s="70">
        <v>40179</v>
      </c>
      <c r="N1066" s="146">
        <v>41090</v>
      </c>
      <c r="O1066" s="72" t="s">
        <v>19</v>
      </c>
      <c r="P1066" s="72" t="s">
        <v>551</v>
      </c>
      <c r="Q1066" s="72" t="s">
        <v>368</v>
      </c>
      <c r="R1066" s="72" t="s">
        <v>349</v>
      </c>
      <c r="S1066" s="72" t="s">
        <v>1308</v>
      </c>
      <c r="U1066" s="72"/>
    </row>
    <row r="1067" spans="1:21" ht="18.75" customHeight="1" x14ac:dyDescent="0.2">
      <c r="A1067" s="79"/>
      <c r="B1067" s="79"/>
      <c r="C1067" s="80"/>
      <c r="D1067" s="66"/>
      <c r="E1067" s="82" t="s">
        <v>21</v>
      </c>
      <c r="F1067" s="82" t="s">
        <v>1309</v>
      </c>
      <c r="G1067" s="82" t="s">
        <v>958</v>
      </c>
      <c r="H1067" s="82" t="s">
        <v>349</v>
      </c>
      <c r="I1067" s="148">
        <v>35.99</v>
      </c>
      <c r="J1067" s="84"/>
      <c r="K1067" s="91"/>
      <c r="L1067" s="66"/>
      <c r="M1067" s="66"/>
      <c r="N1067" s="66"/>
      <c r="O1067" s="66"/>
      <c r="P1067" s="66"/>
      <c r="Q1067" s="66"/>
      <c r="R1067" s="72"/>
      <c r="T1067" s="66"/>
      <c r="U1067" s="66"/>
    </row>
    <row r="1068" spans="1:21" ht="18.75" customHeight="1" x14ac:dyDescent="0.2">
      <c r="A1068" s="79"/>
      <c r="B1068" s="79"/>
      <c r="C1068" s="80"/>
      <c r="D1068" s="66"/>
      <c r="E1068" s="86"/>
      <c r="F1068" s="66"/>
      <c r="G1068" s="66" t="s">
        <v>353</v>
      </c>
      <c r="H1068" s="82"/>
      <c r="I1068" s="87"/>
      <c r="J1068" s="84"/>
      <c r="K1068" s="91"/>
      <c r="L1068" s="66"/>
      <c r="M1068" s="66"/>
      <c r="N1068" s="66"/>
      <c r="O1068" s="66"/>
      <c r="P1068" s="66"/>
      <c r="Q1068" s="66"/>
      <c r="R1068" s="72"/>
      <c r="T1068" s="66"/>
      <c r="U1068" s="66"/>
    </row>
    <row r="1069" spans="1:21" ht="18.75" customHeight="1" x14ac:dyDescent="0.2">
      <c r="A1069" s="70">
        <v>39971</v>
      </c>
      <c r="B1069" s="70">
        <v>39985</v>
      </c>
      <c r="C1069" s="71">
        <v>14106</v>
      </c>
      <c r="D1069" s="72" t="s">
        <v>1074</v>
      </c>
      <c r="E1069" s="74" t="s">
        <v>19</v>
      </c>
      <c r="F1069" s="74" t="s">
        <v>1075</v>
      </c>
      <c r="G1069" s="74" t="s">
        <v>702</v>
      </c>
      <c r="H1069" s="74" t="s">
        <v>349</v>
      </c>
      <c r="I1069" s="147">
        <v>75.97</v>
      </c>
      <c r="J1069" s="76"/>
      <c r="K1069" s="76">
        <v>59.01</v>
      </c>
      <c r="L1069" s="76"/>
      <c r="M1069" s="70">
        <v>40179</v>
      </c>
      <c r="N1069" s="89">
        <f>DATE(YEAR(M1069)+8,MONTH(M1069),DAY(M1069)-1)</f>
        <v>43100</v>
      </c>
      <c r="O1069" s="72" t="s">
        <v>19</v>
      </c>
      <c r="P1069" s="72" t="s">
        <v>1075</v>
      </c>
      <c r="Q1069" s="72" t="s">
        <v>702</v>
      </c>
      <c r="R1069" s="72" t="s">
        <v>349</v>
      </c>
      <c r="S1069" s="72"/>
      <c r="T1069" s="72"/>
      <c r="U1069" s="72"/>
    </row>
    <row r="1070" spans="1:21" ht="18.75" customHeight="1" x14ac:dyDescent="0.2">
      <c r="A1070" s="79"/>
      <c r="B1070" s="79"/>
      <c r="C1070" s="80"/>
      <c r="D1070" s="66"/>
      <c r="E1070" s="86"/>
      <c r="F1070" s="66"/>
      <c r="G1070" s="66" t="s">
        <v>353</v>
      </c>
      <c r="H1070" s="82"/>
      <c r="I1070" s="87"/>
      <c r="J1070" s="84"/>
      <c r="K1070" s="91"/>
      <c r="L1070" s="66"/>
      <c r="M1070" s="66"/>
      <c r="N1070" s="66"/>
      <c r="O1070" s="66"/>
      <c r="P1070" s="66"/>
      <c r="Q1070" s="66"/>
      <c r="R1070" s="72"/>
      <c r="T1070" s="66"/>
      <c r="U1070" s="66"/>
    </row>
    <row r="1071" spans="1:21" ht="18.75" customHeight="1" x14ac:dyDescent="0.2">
      <c r="A1071" s="70">
        <v>39971</v>
      </c>
      <c r="B1071" s="70">
        <v>39985</v>
      </c>
      <c r="C1071" s="71">
        <v>14301</v>
      </c>
      <c r="D1071" s="72" t="s">
        <v>982</v>
      </c>
      <c r="E1071" s="74" t="s">
        <v>21</v>
      </c>
      <c r="F1071" s="74" t="s">
        <v>955</v>
      </c>
      <c r="G1071" s="74" t="s">
        <v>477</v>
      </c>
      <c r="H1071" s="74" t="s">
        <v>349</v>
      </c>
      <c r="I1071" s="147">
        <v>79.489999999999995</v>
      </c>
      <c r="J1071" s="76"/>
      <c r="K1071" s="76">
        <v>50.91</v>
      </c>
      <c r="L1071" s="76"/>
      <c r="M1071" s="70">
        <v>40179</v>
      </c>
      <c r="N1071" s="89">
        <f>DATE(YEAR(M1071)+8,MONTH(M1071),DAY(M1071)-1)</f>
        <v>43100</v>
      </c>
      <c r="O1071" s="72" t="s">
        <v>955</v>
      </c>
      <c r="P1071" s="72" t="s">
        <v>955</v>
      </c>
      <c r="Q1071" s="72" t="s">
        <v>477</v>
      </c>
      <c r="R1071" s="72" t="s">
        <v>349</v>
      </c>
      <c r="S1071" s="111"/>
      <c r="T1071" s="72"/>
      <c r="U1071" s="72"/>
    </row>
    <row r="1072" spans="1:21" ht="18.75" customHeight="1" x14ac:dyDescent="0.2">
      <c r="A1072" s="79"/>
      <c r="B1072" s="79"/>
      <c r="C1072" s="80"/>
      <c r="D1072" s="66"/>
      <c r="E1072" s="86"/>
      <c r="F1072" s="66"/>
      <c r="G1072" s="66" t="s">
        <v>353</v>
      </c>
      <c r="H1072" s="82"/>
      <c r="I1072" s="87"/>
      <c r="J1072" s="84"/>
      <c r="K1072" s="91"/>
      <c r="L1072" s="66"/>
      <c r="M1072" s="66"/>
      <c r="N1072" s="66"/>
      <c r="O1072" s="66"/>
      <c r="P1072" s="66"/>
      <c r="Q1072" s="66"/>
      <c r="R1072" s="72"/>
      <c r="T1072" s="66"/>
      <c r="U1072" s="66"/>
    </row>
    <row r="1073" spans="1:21" ht="18.75" customHeight="1" x14ac:dyDescent="0.2">
      <c r="A1073" s="70">
        <v>39971</v>
      </c>
      <c r="B1073" s="70">
        <v>39985</v>
      </c>
      <c r="C1073" s="71">
        <v>14303</v>
      </c>
      <c r="D1073" s="72" t="s">
        <v>904</v>
      </c>
      <c r="E1073" s="72" t="s">
        <v>1310</v>
      </c>
      <c r="F1073" s="72" t="s">
        <v>533</v>
      </c>
      <c r="G1073" s="72" t="s">
        <v>1311</v>
      </c>
      <c r="H1073" s="74" t="s">
        <v>349</v>
      </c>
      <c r="I1073" s="107">
        <v>55.41</v>
      </c>
      <c r="J1073" s="76"/>
      <c r="K1073" s="76">
        <v>54.62</v>
      </c>
      <c r="L1073" s="76"/>
      <c r="M1073" s="70">
        <v>40026</v>
      </c>
      <c r="N1073" s="89">
        <f>DATE(YEAR(M1073)+8,MONTH(M1073),DAY(M1073)-1)</f>
        <v>42947</v>
      </c>
      <c r="O1073" s="72" t="s">
        <v>905</v>
      </c>
      <c r="P1073" s="72" t="s">
        <v>905</v>
      </c>
      <c r="Q1073" s="72" t="s">
        <v>477</v>
      </c>
      <c r="R1073" s="72" t="s">
        <v>349</v>
      </c>
      <c r="S1073" s="111"/>
      <c r="T1073" s="72"/>
      <c r="U1073" s="72"/>
    </row>
    <row r="1074" spans="1:21" ht="18.75" customHeight="1" x14ac:dyDescent="0.2">
      <c r="A1074" s="79"/>
      <c r="B1074" s="79"/>
      <c r="C1074" s="80"/>
      <c r="D1074" s="66"/>
      <c r="E1074" s="66" t="s">
        <v>21</v>
      </c>
      <c r="F1074" s="66" t="s">
        <v>1312</v>
      </c>
      <c r="G1074" s="66" t="s">
        <v>1188</v>
      </c>
      <c r="H1074" s="82" t="s">
        <v>349</v>
      </c>
      <c r="I1074" s="115">
        <v>44.59</v>
      </c>
      <c r="J1074" s="84"/>
      <c r="K1074" s="91"/>
      <c r="L1074" s="66"/>
      <c r="M1074" s="66"/>
      <c r="N1074" s="66"/>
      <c r="O1074" s="66"/>
      <c r="P1074" s="66"/>
      <c r="Q1074" s="66"/>
      <c r="R1074" s="72"/>
      <c r="T1074" s="66"/>
      <c r="U1074" s="66"/>
    </row>
    <row r="1075" spans="1:21" ht="18.75" customHeight="1" x14ac:dyDescent="0.2">
      <c r="A1075" s="79"/>
      <c r="B1075" s="79"/>
      <c r="C1075" s="80"/>
      <c r="D1075" s="66"/>
      <c r="E1075" s="86"/>
      <c r="F1075" s="66"/>
      <c r="G1075" s="66" t="s">
        <v>353</v>
      </c>
      <c r="H1075" s="82"/>
      <c r="I1075" s="87"/>
      <c r="J1075" s="84"/>
      <c r="K1075" s="91"/>
      <c r="L1075" s="66"/>
      <c r="M1075" s="66"/>
      <c r="N1075" s="66"/>
      <c r="O1075" s="66"/>
      <c r="P1075" s="66"/>
      <c r="Q1075" s="66"/>
      <c r="R1075" s="72"/>
      <c r="T1075" s="66"/>
      <c r="U1075" s="66"/>
    </row>
    <row r="1076" spans="1:21" ht="18.75" customHeight="1" x14ac:dyDescent="0.2">
      <c r="A1076" s="70">
        <v>39971</v>
      </c>
      <c r="B1076" s="70">
        <v>39985</v>
      </c>
      <c r="C1076" s="71">
        <v>14304</v>
      </c>
      <c r="D1076" s="72" t="s">
        <v>983</v>
      </c>
      <c r="E1076" s="74" t="s">
        <v>19</v>
      </c>
      <c r="F1076" s="74" t="s">
        <v>984</v>
      </c>
      <c r="G1076" s="74" t="s">
        <v>985</v>
      </c>
      <c r="H1076" s="74" t="s">
        <v>349</v>
      </c>
      <c r="I1076" s="147">
        <v>82.1</v>
      </c>
      <c r="J1076" s="76"/>
      <c r="K1076" s="76">
        <v>57.71</v>
      </c>
      <c r="L1076" s="76"/>
      <c r="M1076" s="70">
        <v>40179</v>
      </c>
      <c r="N1076" s="89">
        <f>DATE(YEAR(M1076)+8,MONTH(M1076),DAY(M1076)-1)</f>
        <v>43100</v>
      </c>
      <c r="O1076" s="72" t="s">
        <v>19</v>
      </c>
      <c r="P1076" s="72" t="s">
        <v>984</v>
      </c>
      <c r="Q1076" s="72" t="s">
        <v>985</v>
      </c>
      <c r="R1076" s="72" t="s">
        <v>349</v>
      </c>
      <c r="S1076" s="72"/>
      <c r="T1076" s="72"/>
      <c r="U1076" s="72"/>
    </row>
    <row r="1077" spans="1:21" ht="18.75" customHeight="1" x14ac:dyDescent="0.2">
      <c r="A1077" s="79"/>
      <c r="B1077" s="79"/>
      <c r="C1077" s="80"/>
      <c r="D1077" s="66"/>
      <c r="E1077" s="86"/>
      <c r="F1077" s="66"/>
      <c r="G1077" s="66" t="s">
        <v>353</v>
      </c>
      <c r="H1077" s="82"/>
      <c r="I1077" s="87"/>
      <c r="J1077" s="84"/>
      <c r="K1077" s="91"/>
      <c r="L1077" s="66"/>
      <c r="M1077" s="66"/>
      <c r="N1077" s="66"/>
      <c r="O1077" s="66"/>
      <c r="P1077" s="66"/>
      <c r="Q1077" s="66"/>
      <c r="R1077" s="72"/>
      <c r="T1077" s="66"/>
      <c r="U1077" s="66"/>
    </row>
    <row r="1078" spans="1:21" ht="18.75" customHeight="1" x14ac:dyDescent="0.2">
      <c r="A1078" s="70">
        <v>39971</v>
      </c>
      <c r="B1078" s="70">
        <v>39985</v>
      </c>
      <c r="C1078" s="71">
        <v>14306</v>
      </c>
      <c r="D1078" s="72" t="s">
        <v>986</v>
      </c>
      <c r="E1078" s="74" t="s">
        <v>19</v>
      </c>
      <c r="F1078" s="74" t="s">
        <v>987</v>
      </c>
      <c r="G1078" s="74" t="s">
        <v>368</v>
      </c>
      <c r="H1078" s="74" t="s">
        <v>349</v>
      </c>
      <c r="I1078" s="147">
        <v>86.15</v>
      </c>
      <c r="J1078" s="76"/>
      <c r="K1078" s="76">
        <v>55.18</v>
      </c>
      <c r="L1078" s="76"/>
      <c r="M1078" s="70">
        <v>40179</v>
      </c>
      <c r="N1078" s="68">
        <v>41882</v>
      </c>
      <c r="O1078" s="72" t="s">
        <v>19</v>
      </c>
      <c r="P1078" s="72" t="s">
        <v>987</v>
      </c>
      <c r="Q1078" s="72" t="s">
        <v>368</v>
      </c>
      <c r="R1078" s="72" t="s">
        <v>349</v>
      </c>
      <c r="S1078" s="72"/>
      <c r="T1078" s="72"/>
      <c r="U1078" s="72"/>
    </row>
    <row r="1079" spans="1:21" ht="18.75" customHeight="1" x14ac:dyDescent="0.2">
      <c r="A1079" s="79"/>
      <c r="B1079" s="79"/>
      <c r="C1079" s="80"/>
      <c r="D1079" s="66"/>
      <c r="E1079" s="86"/>
      <c r="F1079" s="66"/>
      <c r="G1079" s="66" t="s">
        <v>353</v>
      </c>
      <c r="H1079" s="82"/>
      <c r="I1079" s="87"/>
      <c r="J1079" s="84"/>
      <c r="K1079" s="91"/>
      <c r="L1079" s="66"/>
      <c r="M1079" s="66"/>
      <c r="N1079" s="66"/>
      <c r="O1079" s="66"/>
      <c r="P1079" s="66"/>
      <c r="Q1079" s="66"/>
      <c r="R1079" s="72"/>
      <c r="T1079" s="66"/>
      <c r="U1079" s="66"/>
    </row>
    <row r="1080" spans="1:21" ht="18.75" customHeight="1" x14ac:dyDescent="0.2">
      <c r="A1080" s="70">
        <v>39971</v>
      </c>
      <c r="B1080" s="70">
        <v>39985</v>
      </c>
      <c r="C1080" s="71">
        <v>14308</v>
      </c>
      <c r="D1080" s="72" t="s">
        <v>988</v>
      </c>
      <c r="E1080" s="74" t="s">
        <v>19</v>
      </c>
      <c r="F1080" s="74" t="s">
        <v>1313</v>
      </c>
      <c r="G1080" s="74" t="s">
        <v>358</v>
      </c>
      <c r="H1080" s="74" t="s">
        <v>349</v>
      </c>
      <c r="I1080" s="147">
        <v>71.33</v>
      </c>
      <c r="J1080" s="76"/>
      <c r="K1080" s="76">
        <v>63.09</v>
      </c>
      <c r="L1080" s="76"/>
      <c r="M1080" s="70">
        <v>40179</v>
      </c>
      <c r="N1080" s="89">
        <f>DATE(YEAR(M1080)+8,MONTH(M1080),DAY(M1080)-1)</f>
        <v>43100</v>
      </c>
      <c r="O1080" s="72" t="s">
        <v>19</v>
      </c>
      <c r="P1080" s="72" t="s">
        <v>989</v>
      </c>
      <c r="Q1080" s="72" t="s">
        <v>477</v>
      </c>
      <c r="R1080" s="72" t="s">
        <v>349</v>
      </c>
      <c r="S1080" s="72"/>
      <c r="T1080" s="72"/>
      <c r="U1080" s="72"/>
    </row>
    <row r="1081" spans="1:21" ht="18.75" customHeight="1" x14ac:dyDescent="0.2">
      <c r="A1081" s="79"/>
      <c r="B1081" s="79"/>
      <c r="C1081" s="80"/>
      <c r="D1081" s="66"/>
      <c r="E1081" s="82" t="s">
        <v>21</v>
      </c>
      <c r="F1081" s="82" t="s">
        <v>1314</v>
      </c>
      <c r="G1081" s="82" t="s">
        <v>389</v>
      </c>
      <c r="H1081" s="82" t="s">
        <v>349</v>
      </c>
      <c r="I1081" s="148">
        <v>28.67</v>
      </c>
      <c r="J1081" s="84"/>
      <c r="K1081" s="91"/>
      <c r="L1081" s="66"/>
      <c r="M1081" s="66"/>
      <c r="N1081" s="66"/>
      <c r="O1081" s="66"/>
      <c r="P1081" s="66"/>
      <c r="Q1081" s="66"/>
      <c r="R1081" s="72"/>
      <c r="T1081" s="66"/>
      <c r="U1081" s="66"/>
    </row>
    <row r="1082" spans="1:21" ht="18.75" customHeight="1" x14ac:dyDescent="0.2">
      <c r="A1082" s="79"/>
      <c r="B1082" s="79"/>
      <c r="C1082" s="80"/>
      <c r="D1082" s="66"/>
      <c r="E1082" s="86"/>
      <c r="F1082" s="66"/>
      <c r="G1082" s="66" t="s">
        <v>353</v>
      </c>
      <c r="H1082" s="82"/>
      <c r="I1082" s="87"/>
      <c r="J1082" s="84"/>
      <c r="K1082" s="91"/>
      <c r="L1082" s="66"/>
      <c r="M1082" s="66"/>
      <c r="N1082" s="66"/>
      <c r="O1082" s="66"/>
      <c r="P1082" s="66"/>
      <c r="Q1082" s="66"/>
      <c r="R1082" s="72"/>
      <c r="T1082" s="66"/>
      <c r="U1082" s="66"/>
    </row>
    <row r="1083" spans="1:21" ht="18.75" customHeight="1" x14ac:dyDescent="0.2">
      <c r="A1083" s="70">
        <v>39971</v>
      </c>
      <c r="B1083" s="70">
        <v>39985</v>
      </c>
      <c r="C1083" s="71">
        <v>23103</v>
      </c>
      <c r="D1083" s="72" t="s">
        <v>933</v>
      </c>
      <c r="E1083" s="74" t="s">
        <v>19</v>
      </c>
      <c r="F1083" s="74" t="s">
        <v>766</v>
      </c>
      <c r="G1083" s="74" t="s">
        <v>348</v>
      </c>
      <c r="H1083" s="74" t="s">
        <v>349</v>
      </c>
      <c r="I1083" s="147">
        <v>77</v>
      </c>
      <c r="J1083" s="76"/>
      <c r="K1083" s="76">
        <v>70.52</v>
      </c>
      <c r="L1083" s="76"/>
      <c r="M1083" s="70">
        <v>40179</v>
      </c>
      <c r="N1083" s="146">
        <v>41820</v>
      </c>
      <c r="O1083" s="72" t="s">
        <v>19</v>
      </c>
      <c r="P1083" s="72" t="s">
        <v>766</v>
      </c>
      <c r="Q1083" s="72" t="s">
        <v>348</v>
      </c>
      <c r="R1083" s="72" t="s">
        <v>349</v>
      </c>
      <c r="S1083" s="72" t="s">
        <v>1315</v>
      </c>
      <c r="T1083" s="72"/>
      <c r="U1083" s="72"/>
    </row>
    <row r="1084" spans="1:21" ht="18.75" customHeight="1" x14ac:dyDescent="0.2">
      <c r="A1084" s="79"/>
      <c r="B1084" s="79"/>
      <c r="C1084" s="80"/>
      <c r="D1084" s="66"/>
      <c r="E1084" s="86"/>
      <c r="F1084" s="66"/>
      <c r="G1084" s="66" t="s">
        <v>353</v>
      </c>
      <c r="H1084" s="82"/>
      <c r="I1084" s="87"/>
      <c r="J1084" s="84"/>
      <c r="K1084" s="91"/>
      <c r="L1084" s="66"/>
      <c r="M1084" s="66"/>
      <c r="N1084" s="66"/>
      <c r="O1084" s="66"/>
      <c r="P1084" s="66"/>
      <c r="Q1084" s="66"/>
      <c r="R1084" s="72"/>
      <c r="T1084" s="66"/>
      <c r="U1084" s="66"/>
    </row>
    <row r="1085" spans="1:21" ht="18.75" customHeight="1" x14ac:dyDescent="0.2">
      <c r="A1085" s="70">
        <v>39971</v>
      </c>
      <c r="B1085" s="70">
        <v>39985</v>
      </c>
      <c r="C1085" s="71">
        <v>23107</v>
      </c>
      <c r="D1085" s="72" t="s">
        <v>937</v>
      </c>
      <c r="E1085" s="74" t="s">
        <v>19</v>
      </c>
      <c r="F1085" s="74" t="s">
        <v>938</v>
      </c>
      <c r="G1085" s="74" t="s">
        <v>371</v>
      </c>
      <c r="H1085" s="74" t="s">
        <v>349</v>
      </c>
      <c r="I1085" s="147">
        <v>81.96</v>
      </c>
      <c r="J1085" s="76"/>
      <c r="K1085" s="76">
        <v>55.79</v>
      </c>
      <c r="L1085" s="76"/>
      <c r="M1085" s="70">
        <v>40179</v>
      </c>
      <c r="N1085" s="146">
        <v>41820</v>
      </c>
      <c r="O1085" s="72" t="s">
        <v>19</v>
      </c>
      <c r="P1085" s="72" t="s">
        <v>938</v>
      </c>
      <c r="Q1085" s="72" t="s">
        <v>371</v>
      </c>
      <c r="R1085" s="72" t="s">
        <v>349</v>
      </c>
      <c r="S1085" s="72" t="s">
        <v>1316</v>
      </c>
      <c r="T1085" s="72"/>
      <c r="U1085" s="72"/>
    </row>
    <row r="1086" spans="1:21" ht="18.75" customHeight="1" x14ac:dyDescent="0.2">
      <c r="A1086" s="79"/>
      <c r="B1086" s="79"/>
      <c r="C1086" s="80"/>
      <c r="D1086" s="66"/>
      <c r="E1086" s="86"/>
      <c r="F1086" s="66"/>
      <c r="G1086" s="66" t="s">
        <v>353</v>
      </c>
      <c r="H1086" s="82"/>
      <c r="I1086" s="87"/>
      <c r="J1086" s="84"/>
      <c r="K1086" s="91"/>
      <c r="L1086" s="66"/>
      <c r="M1086" s="66"/>
      <c r="N1086" s="66"/>
      <c r="O1086" s="66"/>
      <c r="P1086" s="66"/>
      <c r="Q1086" s="66"/>
      <c r="R1086" s="72"/>
      <c r="T1086" s="66"/>
      <c r="U1086" s="66"/>
    </row>
    <row r="1087" spans="1:21" ht="18.75" customHeight="1" x14ac:dyDescent="0.2">
      <c r="A1087" s="70">
        <v>39971</v>
      </c>
      <c r="B1087" s="70">
        <v>39985</v>
      </c>
      <c r="C1087" s="71">
        <v>23108</v>
      </c>
      <c r="D1087" s="72" t="s">
        <v>941</v>
      </c>
      <c r="E1087" s="74" t="s">
        <v>19</v>
      </c>
      <c r="F1087" s="74" t="s">
        <v>942</v>
      </c>
      <c r="G1087" s="74" t="s">
        <v>899</v>
      </c>
      <c r="H1087" s="74" t="s">
        <v>349</v>
      </c>
      <c r="I1087" s="147">
        <v>81.13</v>
      </c>
      <c r="J1087" s="76"/>
      <c r="K1087" s="76">
        <v>64.91</v>
      </c>
      <c r="L1087" s="76"/>
      <c r="M1087" s="70">
        <v>40087</v>
      </c>
      <c r="N1087" s="146">
        <v>41820</v>
      </c>
      <c r="O1087" s="72" t="s">
        <v>19</v>
      </c>
      <c r="P1087" s="72" t="s">
        <v>942</v>
      </c>
      <c r="Q1087" s="72" t="s">
        <v>899</v>
      </c>
      <c r="R1087" s="72" t="s">
        <v>349</v>
      </c>
      <c r="S1087" s="72" t="s">
        <v>1315</v>
      </c>
      <c r="T1087" s="72"/>
      <c r="U1087" s="72"/>
    </row>
    <row r="1088" spans="1:21" ht="18.75" customHeight="1" x14ac:dyDescent="0.2">
      <c r="A1088" s="79"/>
      <c r="B1088" s="79"/>
      <c r="C1088" s="80"/>
      <c r="D1088" s="66"/>
      <c r="E1088" s="86"/>
      <c r="F1088" s="66"/>
      <c r="G1088" s="66" t="s">
        <v>353</v>
      </c>
      <c r="H1088" s="82"/>
      <c r="I1088" s="87"/>
      <c r="J1088" s="84"/>
      <c r="K1088" s="91"/>
      <c r="L1088" s="66"/>
      <c r="M1088" s="66"/>
      <c r="N1088" s="66"/>
      <c r="O1088" s="66"/>
      <c r="P1088" s="66"/>
      <c r="Q1088" s="66"/>
      <c r="R1088" s="72"/>
      <c r="T1088" s="66"/>
      <c r="U1088" s="66"/>
    </row>
    <row r="1089" spans="1:21" ht="18.75" customHeight="1" x14ac:dyDescent="0.2">
      <c r="A1089" s="70">
        <v>39971</v>
      </c>
      <c r="B1089" s="70">
        <v>39985</v>
      </c>
      <c r="C1089" s="71">
        <v>23202</v>
      </c>
      <c r="D1089" s="72" t="s">
        <v>990</v>
      </c>
      <c r="E1089" s="74" t="s">
        <v>21</v>
      </c>
      <c r="F1089" s="74" t="s">
        <v>1317</v>
      </c>
      <c r="G1089" s="74" t="s">
        <v>487</v>
      </c>
      <c r="H1089" s="74" t="s">
        <v>349</v>
      </c>
      <c r="I1089" s="147">
        <v>50.31</v>
      </c>
      <c r="J1089" s="76"/>
      <c r="K1089" s="76">
        <v>69.489999999999995</v>
      </c>
      <c r="L1089" s="76"/>
      <c r="M1089" s="70">
        <v>40179</v>
      </c>
      <c r="N1089" s="146">
        <v>41820</v>
      </c>
      <c r="O1089" s="72" t="s">
        <v>19</v>
      </c>
      <c r="P1089" s="72" t="s">
        <v>991</v>
      </c>
      <c r="Q1089" s="72" t="s">
        <v>477</v>
      </c>
      <c r="R1089" s="72" t="s">
        <v>349</v>
      </c>
      <c r="S1089" s="72" t="s">
        <v>1318</v>
      </c>
      <c r="U1089" s="72"/>
    </row>
    <row r="1090" spans="1:21" ht="18.75" customHeight="1" x14ac:dyDescent="0.2">
      <c r="A1090" s="79"/>
      <c r="B1090" s="79"/>
      <c r="C1090" s="80"/>
      <c r="D1090" s="66"/>
      <c r="E1090" s="82" t="s">
        <v>19</v>
      </c>
      <c r="F1090" s="82" t="s">
        <v>991</v>
      </c>
      <c r="G1090" s="82" t="s">
        <v>477</v>
      </c>
      <c r="H1090" s="82" t="s">
        <v>349</v>
      </c>
      <c r="I1090" s="148">
        <v>49.69</v>
      </c>
      <c r="J1090" s="84"/>
      <c r="K1090" s="91"/>
      <c r="L1090" s="66"/>
      <c r="M1090" s="66"/>
      <c r="N1090" s="66"/>
      <c r="O1090" s="66"/>
      <c r="P1090" s="66"/>
      <c r="Q1090" s="66"/>
      <c r="R1090" s="72"/>
      <c r="T1090" s="66"/>
      <c r="U1090" s="66"/>
    </row>
    <row r="1091" spans="1:21" ht="18.75" customHeight="1" x14ac:dyDescent="0.2">
      <c r="A1091" s="79"/>
      <c r="B1091" s="79"/>
      <c r="C1091" s="80"/>
      <c r="D1091" s="66"/>
      <c r="E1091" s="86"/>
      <c r="F1091" s="66"/>
      <c r="G1091" s="66" t="s">
        <v>353</v>
      </c>
      <c r="H1091" s="82"/>
      <c r="I1091" s="87"/>
      <c r="J1091" s="84"/>
      <c r="K1091" s="91"/>
      <c r="L1091" s="66"/>
      <c r="M1091" s="66"/>
      <c r="N1091" s="66"/>
      <c r="O1091" s="66"/>
      <c r="P1091" s="66"/>
      <c r="Q1091" s="66"/>
      <c r="R1091" s="72"/>
      <c r="T1091" s="66"/>
      <c r="U1091" s="66"/>
    </row>
    <row r="1092" spans="1:21" ht="18.75" customHeight="1" x14ac:dyDescent="0.2">
      <c r="A1092" s="70">
        <v>39971</v>
      </c>
      <c r="B1092" s="70">
        <v>39985</v>
      </c>
      <c r="C1092" s="71">
        <v>23203</v>
      </c>
      <c r="D1092" s="72" t="s">
        <v>999</v>
      </c>
      <c r="E1092" s="74" t="s">
        <v>19</v>
      </c>
      <c r="F1092" s="74" t="s">
        <v>291</v>
      </c>
      <c r="G1092" s="74" t="s">
        <v>1319</v>
      </c>
      <c r="H1092" s="74" t="s">
        <v>349</v>
      </c>
      <c r="I1092" s="147">
        <v>65.91</v>
      </c>
      <c r="J1092" s="76"/>
      <c r="K1092" s="76">
        <v>61.38</v>
      </c>
      <c r="L1092" s="76"/>
      <c r="M1092" s="70">
        <v>40179</v>
      </c>
      <c r="N1092" s="146">
        <v>41820</v>
      </c>
      <c r="O1092" s="72" t="s">
        <v>19</v>
      </c>
      <c r="P1092" s="72" t="s">
        <v>1000</v>
      </c>
      <c r="Q1092" s="72" t="s">
        <v>1001</v>
      </c>
      <c r="R1092" s="72" t="s">
        <v>349</v>
      </c>
      <c r="S1092" s="72" t="s">
        <v>1320</v>
      </c>
      <c r="T1092" s="72"/>
      <c r="U1092" s="72"/>
    </row>
    <row r="1093" spans="1:21" ht="18.75" customHeight="1" x14ac:dyDescent="0.2">
      <c r="A1093" s="79"/>
      <c r="B1093" s="79"/>
      <c r="C1093" s="80"/>
      <c r="D1093" s="66"/>
      <c r="E1093" s="82" t="s">
        <v>21</v>
      </c>
      <c r="F1093" s="82" t="s">
        <v>276</v>
      </c>
      <c r="G1093" s="82" t="s">
        <v>958</v>
      </c>
      <c r="H1093" s="82" t="s">
        <v>349</v>
      </c>
      <c r="I1093" s="148">
        <v>34.090000000000003</v>
      </c>
      <c r="J1093" s="84"/>
      <c r="K1093" s="91"/>
      <c r="L1093" s="66"/>
      <c r="M1093" s="66"/>
      <c r="N1093" s="66"/>
      <c r="O1093" s="66"/>
      <c r="P1093" s="66"/>
      <c r="Q1093" s="66"/>
      <c r="R1093" s="72"/>
      <c r="T1093" s="66"/>
      <c r="U1093" s="66"/>
    </row>
    <row r="1094" spans="1:21" ht="18.75" customHeight="1" x14ac:dyDescent="0.2">
      <c r="A1094" s="79"/>
      <c r="B1094" s="79"/>
      <c r="C1094" s="80"/>
      <c r="D1094" s="66"/>
      <c r="E1094" s="86"/>
      <c r="F1094" s="66"/>
      <c r="G1094" s="66" t="s">
        <v>353</v>
      </c>
      <c r="H1094" s="82"/>
      <c r="I1094" s="87"/>
      <c r="J1094" s="84"/>
      <c r="K1094" s="91"/>
      <c r="L1094" s="66"/>
      <c r="M1094" s="66"/>
      <c r="N1094" s="66"/>
      <c r="O1094" s="66"/>
      <c r="P1094" s="66"/>
      <c r="Q1094" s="66"/>
      <c r="R1094" s="72"/>
      <c r="T1094" s="66"/>
      <c r="U1094" s="66"/>
    </row>
    <row r="1095" spans="1:21" ht="18.75" customHeight="1" x14ac:dyDescent="0.2">
      <c r="A1095" s="70">
        <v>39971</v>
      </c>
      <c r="B1095" s="70">
        <v>39985</v>
      </c>
      <c r="C1095" s="71">
        <v>23205</v>
      </c>
      <c r="D1095" s="72" t="s">
        <v>1002</v>
      </c>
      <c r="E1095" s="74" t="s">
        <v>347</v>
      </c>
      <c r="F1095" s="74" t="s">
        <v>347</v>
      </c>
      <c r="G1095" s="74" t="s">
        <v>611</v>
      </c>
      <c r="H1095" s="74" t="s">
        <v>349</v>
      </c>
      <c r="I1095" s="147">
        <v>68.59</v>
      </c>
      <c r="J1095" s="76"/>
      <c r="K1095" s="76">
        <v>68.540000000000006</v>
      </c>
      <c r="L1095" s="76"/>
      <c r="M1095" s="70">
        <v>40179</v>
      </c>
      <c r="N1095" s="146">
        <v>41820</v>
      </c>
      <c r="O1095" s="72" t="s">
        <v>83</v>
      </c>
      <c r="P1095" s="72" t="s">
        <v>347</v>
      </c>
      <c r="Q1095" s="72" t="s">
        <v>611</v>
      </c>
      <c r="R1095" s="72" t="s">
        <v>349</v>
      </c>
      <c r="S1095" s="72" t="s">
        <v>1320</v>
      </c>
      <c r="T1095" s="72"/>
      <c r="U1095" s="72"/>
    </row>
    <row r="1096" spans="1:21" ht="18.75" customHeight="1" x14ac:dyDescent="0.2">
      <c r="A1096" s="79"/>
      <c r="B1096" s="79"/>
      <c r="C1096" s="80"/>
      <c r="D1096" s="66"/>
      <c r="E1096" s="82" t="s">
        <v>19</v>
      </c>
      <c r="F1096" s="82" t="s">
        <v>1321</v>
      </c>
      <c r="G1096" s="82" t="s">
        <v>358</v>
      </c>
      <c r="H1096" s="82" t="s">
        <v>349</v>
      </c>
      <c r="I1096" s="148">
        <v>31.41</v>
      </c>
      <c r="J1096" s="84"/>
      <c r="K1096" s="91"/>
      <c r="L1096" s="66"/>
      <c r="M1096" s="66"/>
      <c r="N1096" s="66"/>
      <c r="O1096" s="66"/>
      <c r="P1096" s="66"/>
      <c r="Q1096" s="66"/>
      <c r="R1096" s="72"/>
      <c r="T1096" s="66"/>
      <c r="U1096" s="66"/>
    </row>
    <row r="1097" spans="1:21" ht="18.75" customHeight="1" x14ac:dyDescent="0.2">
      <c r="A1097" s="79"/>
      <c r="B1097" s="79"/>
      <c r="C1097" s="80"/>
      <c r="D1097" s="66"/>
      <c r="E1097" s="86"/>
      <c r="F1097" s="66"/>
      <c r="G1097" s="66" t="s">
        <v>353</v>
      </c>
      <c r="H1097" s="82"/>
      <c r="I1097" s="87"/>
      <c r="J1097" s="84"/>
      <c r="K1097" s="91"/>
      <c r="L1097" s="66"/>
      <c r="M1097" s="66"/>
      <c r="N1097" s="66"/>
      <c r="O1097" s="66"/>
      <c r="P1097" s="66"/>
      <c r="Q1097" s="66"/>
      <c r="R1097" s="72"/>
      <c r="T1097" s="66"/>
      <c r="U1097" s="66"/>
    </row>
    <row r="1098" spans="1:21" ht="18.75" customHeight="1" x14ac:dyDescent="0.2">
      <c r="A1098" s="70">
        <v>39971</v>
      </c>
      <c r="B1098" s="70">
        <v>39985</v>
      </c>
      <c r="C1098" s="71">
        <v>23206</v>
      </c>
      <c r="D1098" s="72" t="s">
        <v>906</v>
      </c>
      <c r="E1098" s="74" t="s">
        <v>19</v>
      </c>
      <c r="F1098" s="74" t="s">
        <v>907</v>
      </c>
      <c r="G1098" s="74" t="s">
        <v>908</v>
      </c>
      <c r="H1098" s="74" t="s">
        <v>349</v>
      </c>
      <c r="I1098" s="147">
        <v>80.77</v>
      </c>
      <c r="J1098" s="76"/>
      <c r="K1098" s="76">
        <v>63.53</v>
      </c>
      <c r="L1098" s="76"/>
      <c r="M1098" s="70">
        <v>40087</v>
      </c>
      <c r="N1098" s="89">
        <f>DATE(YEAR(M1098)+8,MONTH(M1098),DAY(M1098)-1)</f>
        <v>43008</v>
      </c>
      <c r="O1098" s="72" t="s">
        <v>19</v>
      </c>
      <c r="P1098" s="72" t="s">
        <v>907</v>
      </c>
      <c r="Q1098" s="72" t="s">
        <v>908</v>
      </c>
      <c r="R1098" s="72" t="s">
        <v>349</v>
      </c>
      <c r="S1098" s="72"/>
      <c r="T1098" s="72"/>
      <c r="U1098" s="72"/>
    </row>
    <row r="1099" spans="1:21" ht="18.75" customHeight="1" x14ac:dyDescent="0.2">
      <c r="A1099" s="79"/>
      <c r="B1099" s="79"/>
      <c r="C1099" s="80"/>
      <c r="D1099" s="66"/>
      <c r="E1099" s="86"/>
      <c r="F1099" s="66"/>
      <c r="G1099" s="66" t="s">
        <v>353</v>
      </c>
      <c r="H1099" s="82"/>
      <c r="I1099" s="87"/>
      <c r="J1099" s="84"/>
      <c r="K1099" s="91"/>
      <c r="L1099" s="66"/>
      <c r="M1099" s="66"/>
      <c r="N1099" s="66"/>
      <c r="O1099" s="66"/>
      <c r="P1099" s="66"/>
      <c r="Q1099" s="66"/>
      <c r="R1099" s="72"/>
      <c r="T1099" s="66"/>
      <c r="U1099" s="66"/>
    </row>
    <row r="1100" spans="1:21" ht="18.75" customHeight="1" x14ac:dyDescent="0.2">
      <c r="A1100" s="70">
        <v>39971</v>
      </c>
      <c r="B1100" s="70">
        <v>39985</v>
      </c>
      <c r="C1100" s="71">
        <v>23207</v>
      </c>
      <c r="D1100" s="72" t="s">
        <v>1008</v>
      </c>
      <c r="E1100" s="74" t="s">
        <v>19</v>
      </c>
      <c r="F1100" s="74" t="s">
        <v>533</v>
      </c>
      <c r="G1100" s="74" t="s">
        <v>958</v>
      </c>
      <c r="H1100" s="74" t="s">
        <v>349</v>
      </c>
      <c r="I1100" s="147">
        <v>82.69</v>
      </c>
      <c r="J1100" s="76"/>
      <c r="K1100" s="76">
        <v>66.069999999999993</v>
      </c>
      <c r="L1100" s="76"/>
      <c r="M1100" s="70">
        <v>40179</v>
      </c>
      <c r="N1100" s="68">
        <v>41851</v>
      </c>
      <c r="O1100" s="72" t="s">
        <v>19</v>
      </c>
      <c r="P1100" s="72" t="s">
        <v>533</v>
      </c>
      <c r="Q1100" s="72" t="s">
        <v>958</v>
      </c>
      <c r="R1100" s="72" t="s">
        <v>349</v>
      </c>
      <c r="S1100" s="72"/>
      <c r="T1100" s="72"/>
      <c r="U1100" s="72"/>
    </row>
    <row r="1101" spans="1:21" ht="18.75" customHeight="1" x14ac:dyDescent="0.2">
      <c r="A1101" s="79"/>
      <c r="B1101" s="79"/>
      <c r="C1101" s="80"/>
      <c r="D1101" s="66"/>
      <c r="E1101" s="86"/>
      <c r="F1101" s="66"/>
      <c r="G1101" s="66" t="s">
        <v>353</v>
      </c>
      <c r="H1101" s="82"/>
      <c r="I1101" s="87"/>
      <c r="J1101" s="84"/>
      <c r="K1101" s="91"/>
      <c r="L1101" s="66"/>
      <c r="M1101" s="66"/>
      <c r="N1101" s="66"/>
      <c r="O1101" s="66"/>
      <c r="P1101" s="66"/>
      <c r="Q1101" s="66"/>
      <c r="R1101" s="72"/>
      <c r="T1101" s="66"/>
      <c r="U1101" s="66"/>
    </row>
    <row r="1102" spans="1:21" ht="18.75" customHeight="1" x14ac:dyDescent="0.2">
      <c r="A1102" s="70">
        <v>39971</v>
      </c>
      <c r="B1102" s="70">
        <v>39985</v>
      </c>
      <c r="C1102" s="71">
        <v>23302</v>
      </c>
      <c r="D1102" s="72" t="s">
        <v>1062</v>
      </c>
      <c r="E1102" s="74" t="s">
        <v>19</v>
      </c>
      <c r="F1102" s="74" t="s">
        <v>1063</v>
      </c>
      <c r="G1102" s="74" t="s">
        <v>469</v>
      </c>
      <c r="H1102" s="74" t="s">
        <v>349</v>
      </c>
      <c r="I1102" s="147">
        <v>76.900000000000006</v>
      </c>
      <c r="J1102" s="76"/>
      <c r="K1102" s="76">
        <v>55.53</v>
      </c>
      <c r="L1102" s="76"/>
      <c r="M1102" s="70">
        <v>40179</v>
      </c>
      <c r="N1102" s="89">
        <f>DATE(YEAR(M1102)+8,MONTH(M1102),DAY(M1102)-1)</f>
        <v>43100</v>
      </c>
      <c r="O1102" s="72" t="s">
        <v>19</v>
      </c>
      <c r="P1102" s="72" t="s">
        <v>1063</v>
      </c>
      <c r="Q1102" s="72" t="s">
        <v>469</v>
      </c>
      <c r="R1102" s="72" t="s">
        <v>349</v>
      </c>
      <c r="S1102" s="72"/>
      <c r="T1102" s="72"/>
      <c r="U1102" s="72"/>
    </row>
    <row r="1103" spans="1:21" ht="18.75" customHeight="1" x14ac:dyDescent="0.2">
      <c r="A1103" s="79"/>
      <c r="B1103" s="79"/>
      <c r="C1103" s="80"/>
      <c r="D1103" s="66"/>
      <c r="E1103" s="82" t="s">
        <v>1322</v>
      </c>
      <c r="F1103" s="82" t="s">
        <v>1322</v>
      </c>
      <c r="G1103" s="82" t="s">
        <v>1323</v>
      </c>
      <c r="H1103" s="82" t="s">
        <v>419</v>
      </c>
      <c r="I1103" s="148">
        <v>15.98</v>
      </c>
      <c r="J1103" s="84"/>
      <c r="K1103" s="91"/>
      <c r="L1103" s="66"/>
      <c r="M1103" s="66"/>
      <c r="N1103" s="66"/>
      <c r="O1103" s="66"/>
      <c r="P1103" s="66"/>
      <c r="Q1103" s="66"/>
      <c r="R1103" s="72"/>
      <c r="T1103" s="66"/>
      <c r="U1103" s="66"/>
    </row>
    <row r="1104" spans="1:21" ht="18.75" customHeight="1" x14ac:dyDescent="0.2">
      <c r="A1104" s="79"/>
      <c r="B1104" s="79"/>
      <c r="C1104" s="80"/>
      <c r="D1104" s="66"/>
      <c r="E1104" s="82" t="s">
        <v>370</v>
      </c>
      <c r="F1104" s="82" t="s">
        <v>370</v>
      </c>
      <c r="G1104" s="82" t="s">
        <v>629</v>
      </c>
      <c r="H1104" s="82" t="s">
        <v>349</v>
      </c>
      <c r="I1104" s="148">
        <v>7.12</v>
      </c>
      <c r="J1104" s="84"/>
      <c r="K1104" s="91"/>
      <c r="L1104" s="66"/>
      <c r="M1104" s="66"/>
      <c r="N1104" s="66"/>
      <c r="O1104" s="66"/>
      <c r="P1104" s="66"/>
      <c r="Q1104" s="66"/>
      <c r="R1104" s="72"/>
      <c r="T1104" s="66"/>
      <c r="U1104" s="66"/>
    </row>
    <row r="1105" spans="1:21" ht="18.75" customHeight="1" x14ac:dyDescent="0.2">
      <c r="A1105" s="79"/>
      <c r="B1105" s="79"/>
      <c r="C1105" s="80"/>
      <c r="D1105" s="66"/>
      <c r="E1105" s="86"/>
      <c r="F1105" s="66"/>
      <c r="G1105" s="66" t="s">
        <v>353</v>
      </c>
      <c r="H1105" s="82"/>
      <c r="I1105" s="87"/>
      <c r="J1105" s="84"/>
      <c r="K1105" s="91"/>
      <c r="L1105" s="66"/>
      <c r="M1105" s="66"/>
      <c r="N1105" s="66"/>
      <c r="O1105" s="66"/>
      <c r="P1105" s="66"/>
      <c r="Q1105" s="66"/>
      <c r="R1105" s="72"/>
      <c r="T1105" s="66"/>
      <c r="U1105" s="66"/>
    </row>
    <row r="1106" spans="1:21" ht="18.75" customHeight="1" x14ac:dyDescent="0.2">
      <c r="A1106" s="70">
        <v>39971</v>
      </c>
      <c r="B1106" s="70">
        <v>39985</v>
      </c>
      <c r="C1106" s="71">
        <v>23305</v>
      </c>
      <c r="D1106" s="72" t="s">
        <v>1066</v>
      </c>
      <c r="E1106" s="151" t="s">
        <v>19</v>
      </c>
      <c r="F1106" s="151" t="s">
        <v>766</v>
      </c>
      <c r="G1106" s="151" t="s">
        <v>1324</v>
      </c>
      <c r="H1106" s="74" t="s">
        <v>419</v>
      </c>
      <c r="I1106" s="152">
        <v>39.06</v>
      </c>
      <c r="J1106" s="153">
        <v>54.49</v>
      </c>
      <c r="K1106" s="76">
        <v>64.08</v>
      </c>
      <c r="L1106" s="76">
        <v>56.05</v>
      </c>
      <c r="M1106" s="70">
        <v>40179</v>
      </c>
      <c r="N1106" s="89">
        <f>DATE(YEAR(M1106)+8,MONTH(M1106),DAY(M1106)-1)</f>
        <v>43100</v>
      </c>
      <c r="O1106" s="72" t="s">
        <v>19</v>
      </c>
      <c r="P1106" s="72" t="s">
        <v>1067</v>
      </c>
      <c r="Q1106" s="72" t="s">
        <v>368</v>
      </c>
      <c r="R1106" s="72" t="s">
        <v>349</v>
      </c>
      <c r="S1106" s="72"/>
      <c r="T1106" s="72"/>
      <c r="U1106" s="72"/>
    </row>
    <row r="1107" spans="1:21" ht="18.75" customHeight="1" x14ac:dyDescent="0.2">
      <c r="A1107" s="79"/>
      <c r="B1107" s="79"/>
      <c r="C1107" s="80"/>
      <c r="D1107" s="66"/>
      <c r="E1107" s="154" t="s">
        <v>1067</v>
      </c>
      <c r="F1107" s="154" t="s">
        <v>1067</v>
      </c>
      <c r="G1107" s="154" t="s">
        <v>368</v>
      </c>
      <c r="H1107" s="82" t="s">
        <v>349</v>
      </c>
      <c r="I1107" s="155">
        <v>38.19</v>
      </c>
      <c r="J1107" s="156">
        <v>45.51</v>
      </c>
      <c r="K1107" s="91"/>
      <c r="L1107" s="66"/>
      <c r="M1107" s="66"/>
      <c r="N1107" s="66"/>
      <c r="O1107" s="66"/>
      <c r="P1107" s="66"/>
      <c r="Q1107" s="66"/>
      <c r="R1107" s="72"/>
      <c r="T1107" s="66"/>
      <c r="U1107" s="66"/>
    </row>
    <row r="1108" spans="1:21" ht="18.75" customHeight="1" x14ac:dyDescent="0.2">
      <c r="A1108" s="79"/>
      <c r="B1108" s="79"/>
      <c r="C1108" s="80"/>
      <c r="D1108" s="66"/>
      <c r="E1108" s="154" t="s">
        <v>1325</v>
      </c>
      <c r="F1108" s="154" t="s">
        <v>1325</v>
      </c>
      <c r="G1108" s="154" t="s">
        <v>915</v>
      </c>
      <c r="H1108" s="82" t="s">
        <v>349</v>
      </c>
      <c r="I1108" s="155">
        <v>22.75</v>
      </c>
      <c r="J1108" s="84"/>
      <c r="K1108" s="91"/>
      <c r="L1108" s="66"/>
      <c r="M1108" s="66"/>
      <c r="N1108" s="66"/>
      <c r="O1108" s="66"/>
      <c r="P1108" s="66"/>
      <c r="Q1108" s="66"/>
      <c r="R1108" s="72"/>
      <c r="T1108" s="66"/>
      <c r="U1108" s="66"/>
    </row>
    <row r="1109" spans="1:21" ht="18.75" customHeight="1" x14ac:dyDescent="0.2">
      <c r="A1109" s="79"/>
      <c r="B1109" s="79"/>
      <c r="C1109" s="80"/>
      <c r="D1109" s="66"/>
      <c r="E1109" s="86"/>
      <c r="F1109" s="66"/>
      <c r="G1109" s="66" t="s">
        <v>353</v>
      </c>
      <c r="H1109" s="82"/>
      <c r="I1109" s="87"/>
      <c r="J1109" s="84"/>
      <c r="K1109" s="91"/>
      <c r="L1109" s="66"/>
      <c r="M1109" s="66"/>
      <c r="N1109" s="66"/>
      <c r="O1109" s="66"/>
      <c r="P1109" s="66"/>
      <c r="Q1109" s="66"/>
      <c r="R1109" s="72"/>
      <c r="T1109" s="66"/>
      <c r="U1109" s="66"/>
    </row>
    <row r="1110" spans="1:21" ht="18.75" customHeight="1" x14ac:dyDescent="0.2">
      <c r="A1110" s="70">
        <v>39971</v>
      </c>
      <c r="B1110" s="70">
        <v>39985</v>
      </c>
      <c r="C1110" s="71">
        <v>33105</v>
      </c>
      <c r="D1110" s="72" t="s">
        <v>1017</v>
      </c>
      <c r="E1110" s="74" t="s">
        <v>21</v>
      </c>
      <c r="F1110" s="74" t="s">
        <v>1326</v>
      </c>
      <c r="G1110" s="74" t="s">
        <v>993</v>
      </c>
      <c r="H1110" s="74" t="s">
        <v>349</v>
      </c>
      <c r="I1110" s="147">
        <v>57.49</v>
      </c>
      <c r="J1110" s="76"/>
      <c r="K1110" s="76">
        <v>63.08</v>
      </c>
      <c r="L1110" s="76"/>
      <c r="M1110" s="70">
        <v>40179</v>
      </c>
      <c r="N1110" s="89">
        <f>DATE(YEAR(M1110)+8,MONTH(M1110),DAY(M1110)-1)</f>
        <v>43100</v>
      </c>
      <c r="O1110" s="72" t="s">
        <v>21</v>
      </c>
      <c r="P1110" s="72" t="s">
        <v>1018</v>
      </c>
      <c r="Q1110" s="72" t="s">
        <v>376</v>
      </c>
      <c r="R1110" s="72" t="s">
        <v>349</v>
      </c>
      <c r="S1110" s="72"/>
      <c r="T1110" s="72"/>
      <c r="U1110" s="72"/>
    </row>
    <row r="1111" spans="1:21" ht="18.75" customHeight="1" x14ac:dyDescent="0.2">
      <c r="A1111" s="79"/>
      <c r="B1111" s="79"/>
      <c r="C1111" s="80"/>
      <c r="D1111" s="66"/>
      <c r="E1111" s="82" t="s">
        <v>19</v>
      </c>
      <c r="F1111" s="82" t="s">
        <v>580</v>
      </c>
      <c r="G1111" s="82" t="s">
        <v>1327</v>
      </c>
      <c r="H1111" s="82" t="s">
        <v>349</v>
      </c>
      <c r="I1111" s="148">
        <v>42.51</v>
      </c>
      <c r="J1111" s="84"/>
      <c r="K1111" s="91"/>
      <c r="L1111" s="66"/>
      <c r="M1111" s="66"/>
      <c r="N1111" s="66"/>
      <c r="O1111" s="66"/>
      <c r="P1111" s="66"/>
      <c r="Q1111" s="66"/>
      <c r="R1111" s="72"/>
      <c r="T1111" s="66"/>
      <c r="U1111" s="66"/>
    </row>
    <row r="1112" spans="1:21" ht="18.75" customHeight="1" x14ac:dyDescent="0.2">
      <c r="A1112" s="79"/>
      <c r="B1112" s="79"/>
      <c r="C1112" s="80"/>
      <c r="D1112" s="66"/>
      <c r="E1112" s="86"/>
      <c r="F1112" s="66"/>
      <c r="G1112" s="66" t="s">
        <v>353</v>
      </c>
      <c r="H1112" s="82"/>
      <c r="I1112" s="87"/>
      <c r="J1112" s="84"/>
      <c r="K1112" s="91"/>
      <c r="L1112" s="66"/>
      <c r="M1112" s="66"/>
      <c r="N1112" s="66"/>
      <c r="O1112" s="66"/>
      <c r="P1112" s="66"/>
      <c r="Q1112" s="66"/>
      <c r="R1112" s="72"/>
      <c r="T1112" s="66"/>
      <c r="U1112" s="66"/>
    </row>
    <row r="1113" spans="1:21" ht="18.75" customHeight="1" x14ac:dyDescent="0.2">
      <c r="A1113" s="70">
        <v>39971</v>
      </c>
      <c r="B1113" s="70">
        <v>39985</v>
      </c>
      <c r="C1113" s="71">
        <v>33202</v>
      </c>
      <c r="D1113" s="72" t="s">
        <v>944</v>
      </c>
      <c r="E1113" s="74" t="s">
        <v>21</v>
      </c>
      <c r="F1113" s="74" t="s">
        <v>945</v>
      </c>
      <c r="G1113" s="74" t="s">
        <v>348</v>
      </c>
      <c r="H1113" s="74" t="s">
        <v>349</v>
      </c>
      <c r="I1113" s="147">
        <v>52.82</v>
      </c>
      <c r="J1113" s="76"/>
      <c r="K1113" s="76">
        <v>72.59</v>
      </c>
      <c r="L1113" s="76"/>
      <c r="M1113" s="70">
        <v>40179</v>
      </c>
      <c r="N1113" s="68">
        <v>42429</v>
      </c>
      <c r="O1113" s="72" t="s">
        <v>21</v>
      </c>
      <c r="P1113" s="72" t="s">
        <v>945</v>
      </c>
      <c r="Q1113" s="72" t="s">
        <v>348</v>
      </c>
      <c r="R1113" s="72" t="s">
        <v>349</v>
      </c>
      <c r="S1113" s="72"/>
      <c r="T1113" s="72"/>
      <c r="U1113" s="72"/>
    </row>
    <row r="1114" spans="1:21" ht="18.75" customHeight="1" x14ac:dyDescent="0.2">
      <c r="A1114" s="79"/>
      <c r="B1114" s="79"/>
      <c r="C1114" s="80"/>
      <c r="D1114" s="66"/>
      <c r="E1114" s="82" t="s">
        <v>19</v>
      </c>
      <c r="F1114" s="82" t="s">
        <v>1328</v>
      </c>
      <c r="G1114" s="82" t="s">
        <v>894</v>
      </c>
      <c r="H1114" s="82" t="s">
        <v>419</v>
      </c>
      <c r="I1114" s="148">
        <v>47.18</v>
      </c>
      <c r="J1114" s="84"/>
      <c r="K1114" s="91"/>
      <c r="L1114" s="66"/>
      <c r="M1114" s="66"/>
      <c r="N1114" s="66"/>
      <c r="O1114" s="66"/>
      <c r="P1114" s="66"/>
      <c r="Q1114" s="66"/>
      <c r="R1114" s="72"/>
      <c r="T1114" s="66"/>
      <c r="U1114" s="66"/>
    </row>
    <row r="1115" spans="1:21" ht="18.75" customHeight="1" x14ac:dyDescent="0.2">
      <c r="A1115" s="79"/>
      <c r="B1115" s="79"/>
      <c r="C1115" s="80"/>
      <c r="D1115" s="66"/>
      <c r="E1115" s="86"/>
      <c r="F1115" s="66"/>
      <c r="G1115" s="66" t="s">
        <v>353</v>
      </c>
      <c r="H1115" s="82"/>
      <c r="I1115" s="87"/>
      <c r="J1115" s="84"/>
      <c r="K1115" s="91"/>
      <c r="L1115" s="66"/>
      <c r="M1115" s="66"/>
      <c r="N1115" s="66"/>
      <c r="O1115" s="66"/>
      <c r="P1115" s="66"/>
      <c r="Q1115" s="66"/>
      <c r="R1115" s="72"/>
      <c r="T1115" s="66"/>
      <c r="U1115" s="66"/>
    </row>
    <row r="1116" spans="1:21" ht="18.75" customHeight="1" x14ac:dyDescent="0.2">
      <c r="A1116" s="70">
        <v>39971</v>
      </c>
      <c r="B1116" s="70">
        <v>39985</v>
      </c>
      <c r="C1116" s="71">
        <v>33305</v>
      </c>
      <c r="D1116" s="72" t="s">
        <v>1023</v>
      </c>
      <c r="E1116" s="74" t="s">
        <v>21</v>
      </c>
      <c r="F1116" s="74" t="s">
        <v>459</v>
      </c>
      <c r="G1116" s="74" t="s">
        <v>416</v>
      </c>
      <c r="H1116" s="74" t="s">
        <v>349</v>
      </c>
      <c r="I1116" s="147">
        <v>65.03</v>
      </c>
      <c r="J1116" s="76"/>
      <c r="K1116" s="76">
        <v>60.81</v>
      </c>
      <c r="L1116" s="76"/>
      <c r="M1116" s="70">
        <v>40179</v>
      </c>
      <c r="N1116" s="68">
        <v>41639</v>
      </c>
      <c r="O1116" s="74" t="s">
        <v>21</v>
      </c>
      <c r="P1116" s="74" t="s">
        <v>459</v>
      </c>
      <c r="Q1116" s="74" t="s">
        <v>416</v>
      </c>
      <c r="R1116" s="72" t="s">
        <v>349</v>
      </c>
      <c r="S1116" s="72"/>
      <c r="T1116" s="72"/>
      <c r="U1116" s="72"/>
    </row>
    <row r="1117" spans="1:21" ht="18.75" customHeight="1" x14ac:dyDescent="0.2">
      <c r="A1117" s="79"/>
      <c r="B1117" s="79"/>
      <c r="C1117" s="80"/>
      <c r="D1117" s="66"/>
      <c r="E1117" s="82" t="s">
        <v>19</v>
      </c>
      <c r="F1117" s="82" t="s">
        <v>1329</v>
      </c>
      <c r="G1117" s="82" t="s">
        <v>1151</v>
      </c>
      <c r="H1117" s="82" t="s">
        <v>349</v>
      </c>
      <c r="I1117" s="148">
        <v>34.97</v>
      </c>
      <c r="J1117" s="84"/>
      <c r="K1117" s="91"/>
      <c r="L1117" s="66"/>
      <c r="M1117" s="66"/>
      <c r="N1117" s="66"/>
      <c r="O1117" s="66"/>
      <c r="P1117" s="66"/>
      <c r="Q1117" s="66"/>
      <c r="R1117" s="72"/>
      <c r="T1117" s="66"/>
      <c r="U1117" s="66"/>
    </row>
    <row r="1118" spans="1:21" ht="18.75" customHeight="1" x14ac:dyDescent="0.2">
      <c r="A1118" s="79"/>
      <c r="B1118" s="79"/>
      <c r="C1118" s="80"/>
      <c r="D1118" s="66"/>
      <c r="E1118" s="86"/>
      <c r="F1118" s="66"/>
      <c r="G1118" s="66" t="s">
        <v>353</v>
      </c>
      <c r="H1118" s="82"/>
      <c r="I1118" s="87"/>
      <c r="J1118" s="84"/>
      <c r="K1118" s="91"/>
      <c r="L1118" s="66"/>
      <c r="M1118" s="66"/>
      <c r="N1118" s="66"/>
      <c r="O1118" s="66"/>
      <c r="P1118" s="66"/>
      <c r="Q1118" s="66"/>
      <c r="R1118" s="72"/>
      <c r="T1118" s="66"/>
      <c r="U1118" s="66"/>
    </row>
    <row r="1119" spans="1:21" ht="18.75" customHeight="1" x14ac:dyDescent="0.2">
      <c r="A1119" s="70">
        <v>39971</v>
      </c>
      <c r="B1119" s="70">
        <v>39985</v>
      </c>
      <c r="C1119" s="71">
        <v>33401</v>
      </c>
      <c r="D1119" s="72" t="s">
        <v>916</v>
      </c>
      <c r="E1119" s="74" t="s">
        <v>1330</v>
      </c>
      <c r="F1119" s="74" t="s">
        <v>918</v>
      </c>
      <c r="G1119" s="74" t="s">
        <v>516</v>
      </c>
      <c r="H1119" s="74" t="s">
        <v>349</v>
      </c>
      <c r="I1119" s="147">
        <v>62.04</v>
      </c>
      <c r="J1119" s="76"/>
      <c r="K1119" s="76">
        <v>66.33</v>
      </c>
      <c r="L1119" s="76"/>
      <c r="M1119" s="70">
        <v>40179</v>
      </c>
      <c r="N1119" s="89">
        <f>DATE(YEAR(M1119)+8,MONTH(M1119),DAY(M1119)-1)</f>
        <v>43100</v>
      </c>
      <c r="O1119" s="72" t="s">
        <v>917</v>
      </c>
      <c r="P1119" s="72" t="s">
        <v>918</v>
      </c>
      <c r="Q1119" s="72" t="s">
        <v>516</v>
      </c>
      <c r="R1119" s="72" t="s">
        <v>349</v>
      </c>
      <c r="S1119" s="72"/>
      <c r="T1119" s="72"/>
      <c r="U1119" s="72"/>
    </row>
    <row r="1120" spans="1:21" ht="18.75" customHeight="1" x14ac:dyDescent="0.2">
      <c r="A1120" s="79"/>
      <c r="B1120" s="79"/>
      <c r="C1120" s="80"/>
      <c r="D1120" s="66"/>
      <c r="E1120" s="82" t="s">
        <v>19</v>
      </c>
      <c r="F1120" s="82" t="s">
        <v>1331</v>
      </c>
      <c r="G1120" s="82" t="s">
        <v>611</v>
      </c>
      <c r="H1120" s="82" t="s">
        <v>349</v>
      </c>
      <c r="I1120" s="148">
        <v>24.58</v>
      </c>
      <c r="J1120" s="84"/>
      <c r="K1120" s="91"/>
      <c r="L1120" s="102"/>
      <c r="M1120" s="66"/>
      <c r="N1120" s="66"/>
      <c r="O1120" s="66"/>
      <c r="P1120" s="66"/>
      <c r="Q1120" s="66"/>
      <c r="R1120" s="72"/>
      <c r="T1120" s="66"/>
      <c r="U1120" s="66"/>
    </row>
    <row r="1121" spans="1:21" ht="18.75" customHeight="1" x14ac:dyDescent="0.2">
      <c r="A1121" s="79"/>
      <c r="B1121" s="79"/>
      <c r="C1121" s="80"/>
      <c r="D1121" s="66"/>
      <c r="E1121" s="82" t="s">
        <v>1332</v>
      </c>
      <c r="F1121" s="82" t="s">
        <v>1333</v>
      </c>
      <c r="G1121" s="82" t="s">
        <v>476</v>
      </c>
      <c r="H1121" s="82" t="s">
        <v>349</v>
      </c>
      <c r="I1121" s="148">
        <v>13.38</v>
      </c>
      <c r="J1121" s="84"/>
      <c r="K1121" s="91"/>
      <c r="L1121" s="102"/>
      <c r="M1121" s="66"/>
      <c r="N1121" s="66"/>
      <c r="O1121" s="66"/>
      <c r="P1121" s="66"/>
      <c r="Q1121" s="66"/>
      <c r="R1121" s="72"/>
      <c r="T1121" s="66"/>
      <c r="U1121" s="66"/>
    </row>
    <row r="1122" spans="1:21" ht="18.75" customHeight="1" x14ac:dyDescent="0.2">
      <c r="A1122" s="79"/>
      <c r="B1122" s="79"/>
      <c r="C1122" s="80"/>
      <c r="D1122" s="66"/>
      <c r="E1122" s="86"/>
      <c r="F1122" s="66"/>
      <c r="G1122" s="66" t="s">
        <v>353</v>
      </c>
      <c r="H1122" s="82"/>
      <c r="I1122" s="87"/>
      <c r="J1122" s="84"/>
      <c r="K1122" s="91"/>
      <c r="L1122" s="102"/>
      <c r="M1122" s="66"/>
      <c r="N1122" s="66"/>
      <c r="O1122" s="66"/>
      <c r="P1122" s="66"/>
      <c r="Q1122" s="66"/>
      <c r="R1122" s="72"/>
      <c r="T1122" s="66"/>
      <c r="U1122" s="66"/>
    </row>
    <row r="1123" spans="1:21" ht="18.75" customHeight="1" x14ac:dyDescent="0.2">
      <c r="A1123" s="70">
        <v>39971</v>
      </c>
      <c r="B1123" s="70">
        <v>39985</v>
      </c>
      <c r="C1123" s="71">
        <v>33403</v>
      </c>
      <c r="D1123" s="72" t="s">
        <v>1033</v>
      </c>
      <c r="E1123" s="74" t="s">
        <v>21</v>
      </c>
      <c r="F1123" s="74" t="s">
        <v>1034</v>
      </c>
      <c r="G1123" s="74" t="s">
        <v>789</v>
      </c>
      <c r="H1123" s="74" t="s">
        <v>349</v>
      </c>
      <c r="I1123" s="147">
        <v>56.82</v>
      </c>
      <c r="J1123" s="76"/>
      <c r="K1123" s="76">
        <v>62.45</v>
      </c>
      <c r="L1123" s="76"/>
      <c r="M1123" s="70">
        <v>40179</v>
      </c>
      <c r="N1123" s="89">
        <f>DATE(YEAR(M1123)+8,MONTH(M1123),DAY(M1123)-1)</f>
        <v>43100</v>
      </c>
      <c r="O1123" s="74" t="s">
        <v>21</v>
      </c>
      <c r="P1123" s="74" t="s">
        <v>1034</v>
      </c>
      <c r="Q1123" s="74" t="s">
        <v>789</v>
      </c>
      <c r="R1123" s="72" t="s">
        <v>349</v>
      </c>
      <c r="S1123" s="72"/>
      <c r="T1123" s="72"/>
      <c r="U1123" s="72"/>
    </row>
    <row r="1124" spans="1:21" ht="18.75" customHeight="1" x14ac:dyDescent="0.2">
      <c r="A1124" s="79"/>
      <c r="B1124" s="79"/>
      <c r="C1124" s="80"/>
      <c r="D1124" s="66"/>
      <c r="E1124" s="82" t="s">
        <v>19</v>
      </c>
      <c r="F1124" s="82" t="s">
        <v>1334</v>
      </c>
      <c r="G1124" s="82" t="s">
        <v>889</v>
      </c>
      <c r="H1124" s="82" t="s">
        <v>349</v>
      </c>
      <c r="I1124" s="148">
        <v>43.18</v>
      </c>
      <c r="J1124" s="84"/>
      <c r="K1124" s="91"/>
      <c r="L1124" s="102"/>
      <c r="M1124" s="66"/>
      <c r="N1124" s="66"/>
      <c r="O1124" s="66"/>
      <c r="P1124" s="66"/>
      <c r="Q1124" s="66"/>
      <c r="R1124" s="72"/>
      <c r="T1124" s="66"/>
      <c r="U1124" s="66"/>
    </row>
    <row r="1125" spans="1:21" ht="18.75" customHeight="1" x14ac:dyDescent="0.2">
      <c r="A1125" s="79"/>
      <c r="B1125" s="79"/>
      <c r="C1125" s="80"/>
      <c r="D1125" s="66"/>
      <c r="E1125" s="86"/>
      <c r="F1125" s="66"/>
      <c r="G1125" s="66" t="s">
        <v>353</v>
      </c>
      <c r="H1125" s="82"/>
      <c r="I1125" s="87"/>
      <c r="J1125" s="84"/>
      <c r="K1125" s="91"/>
      <c r="L1125" s="102"/>
      <c r="M1125" s="66"/>
      <c r="N1125" s="66"/>
      <c r="O1125" s="66"/>
      <c r="P1125" s="66"/>
      <c r="Q1125" s="66"/>
      <c r="R1125" s="72"/>
      <c r="T1125" s="66"/>
      <c r="U1125" s="66"/>
    </row>
    <row r="1126" spans="1:21" ht="18.75" customHeight="1" x14ac:dyDescent="0.2">
      <c r="A1126" s="70">
        <v>39971</v>
      </c>
      <c r="B1126" s="70">
        <v>39985</v>
      </c>
      <c r="C1126" s="71">
        <v>33506</v>
      </c>
      <c r="D1126" s="72" t="s">
        <v>1042</v>
      </c>
      <c r="E1126" s="74" t="s">
        <v>21</v>
      </c>
      <c r="F1126" s="74" t="s">
        <v>1335</v>
      </c>
      <c r="G1126" s="74" t="s">
        <v>591</v>
      </c>
      <c r="H1126" s="74" t="s">
        <v>349</v>
      </c>
      <c r="I1126" s="147">
        <v>59.7</v>
      </c>
      <c r="J1126" s="76"/>
      <c r="K1126" s="76">
        <v>62.98</v>
      </c>
      <c r="L1126" s="76"/>
      <c r="M1126" s="70">
        <v>40179</v>
      </c>
      <c r="N1126" s="146">
        <v>41820</v>
      </c>
      <c r="O1126" s="72" t="s">
        <v>21</v>
      </c>
      <c r="P1126" s="72" t="s">
        <v>1043</v>
      </c>
      <c r="Q1126" s="72" t="s">
        <v>481</v>
      </c>
      <c r="R1126" s="72" t="s">
        <v>349</v>
      </c>
      <c r="S1126" s="72" t="s">
        <v>1336</v>
      </c>
      <c r="U1126" s="72"/>
    </row>
    <row r="1127" spans="1:21" ht="18.75" customHeight="1" x14ac:dyDescent="0.2">
      <c r="A1127" s="79"/>
      <c r="B1127" s="79"/>
      <c r="C1127" s="80"/>
      <c r="D1127" s="66"/>
      <c r="E1127" s="82" t="s">
        <v>19</v>
      </c>
      <c r="F1127" s="82" t="s">
        <v>616</v>
      </c>
      <c r="G1127" s="82" t="s">
        <v>899</v>
      </c>
      <c r="H1127" s="82" t="s">
        <v>349</v>
      </c>
      <c r="I1127" s="148">
        <v>40.299999999999997</v>
      </c>
      <c r="J1127" s="84"/>
      <c r="K1127" s="91"/>
      <c r="L1127" s="102"/>
      <c r="M1127" s="66"/>
      <c r="N1127" s="66"/>
      <c r="O1127" s="66"/>
      <c r="P1127" s="66"/>
      <c r="Q1127" s="66"/>
      <c r="R1127" s="72"/>
      <c r="T1127" s="66"/>
      <c r="U1127" s="66"/>
    </row>
    <row r="1128" spans="1:21" ht="18.75" customHeight="1" x14ac:dyDescent="0.2">
      <c r="A1128" s="79"/>
      <c r="B1128" s="79"/>
      <c r="C1128" s="80"/>
      <c r="D1128" s="66"/>
      <c r="E1128" s="86"/>
      <c r="F1128" s="66"/>
      <c r="G1128" s="66" t="s">
        <v>353</v>
      </c>
      <c r="H1128" s="82"/>
      <c r="I1128" s="87"/>
      <c r="J1128" s="84"/>
      <c r="K1128" s="91"/>
      <c r="L1128" s="102"/>
      <c r="M1128" s="66"/>
      <c r="N1128" s="66"/>
      <c r="O1128" s="66"/>
      <c r="P1128" s="66"/>
      <c r="Q1128" s="66"/>
      <c r="R1128" s="72"/>
      <c r="T1128" s="66"/>
      <c r="U1128" s="66"/>
    </row>
    <row r="1129" spans="1:21" ht="18.75" customHeight="1" x14ac:dyDescent="0.2">
      <c r="A1129" s="70">
        <v>39971</v>
      </c>
      <c r="B1129" s="70">
        <v>39985</v>
      </c>
      <c r="C1129" s="71">
        <v>33507</v>
      </c>
      <c r="D1129" s="72" t="s">
        <v>1045</v>
      </c>
      <c r="E1129" s="74" t="s">
        <v>21</v>
      </c>
      <c r="F1129" s="74" t="s">
        <v>716</v>
      </c>
      <c r="G1129" s="74" t="s">
        <v>915</v>
      </c>
      <c r="H1129" s="74" t="s">
        <v>349</v>
      </c>
      <c r="I1129" s="147">
        <v>51.44</v>
      </c>
      <c r="J1129" s="76"/>
      <c r="K1129" s="76">
        <v>64.680000000000007</v>
      </c>
      <c r="L1129" s="76"/>
      <c r="M1129" s="70">
        <v>40179</v>
      </c>
      <c r="N1129" s="146">
        <v>41820</v>
      </c>
      <c r="O1129" s="72" t="s">
        <v>19</v>
      </c>
      <c r="P1129" s="72" t="s">
        <v>1046</v>
      </c>
      <c r="Q1129" s="72" t="s">
        <v>371</v>
      </c>
      <c r="R1129" s="72" t="s">
        <v>349</v>
      </c>
      <c r="S1129" s="72" t="s">
        <v>1336</v>
      </c>
      <c r="U1129" s="72"/>
    </row>
    <row r="1130" spans="1:21" ht="18.75" customHeight="1" x14ac:dyDescent="0.2">
      <c r="A1130" s="79"/>
      <c r="B1130" s="79"/>
      <c r="C1130" s="80"/>
      <c r="D1130" s="66"/>
      <c r="E1130" s="82" t="s">
        <v>19</v>
      </c>
      <c r="F1130" s="82" t="s">
        <v>1046</v>
      </c>
      <c r="G1130" s="82" t="s">
        <v>371</v>
      </c>
      <c r="H1130" s="82" t="s">
        <v>349</v>
      </c>
      <c r="I1130" s="148">
        <v>48.56</v>
      </c>
      <c r="J1130" s="84"/>
      <c r="K1130" s="91"/>
      <c r="L1130" s="66"/>
      <c r="M1130" s="66"/>
      <c r="N1130" s="66"/>
      <c r="O1130" s="66"/>
      <c r="P1130" s="66"/>
      <c r="Q1130" s="66"/>
      <c r="R1130" s="72"/>
      <c r="T1130" s="66"/>
      <c r="U1130" s="66"/>
    </row>
    <row r="1131" spans="1:21" ht="18.75" customHeight="1" x14ac:dyDescent="0.2">
      <c r="A1131" s="79"/>
      <c r="B1131" s="79"/>
      <c r="C1131" s="80"/>
      <c r="D1131" s="66"/>
      <c r="E1131" s="86"/>
      <c r="F1131" s="66"/>
      <c r="G1131" s="66" t="s">
        <v>353</v>
      </c>
      <c r="H1131" s="82"/>
      <c r="I1131" s="87"/>
      <c r="J1131" s="84"/>
      <c r="K1131" s="91"/>
      <c r="L1131" s="66"/>
      <c r="M1131" s="66"/>
      <c r="N1131" s="66"/>
      <c r="O1131" s="66"/>
      <c r="P1131" s="66"/>
      <c r="Q1131" s="66"/>
      <c r="R1131" s="72"/>
      <c r="T1131" s="66"/>
      <c r="U1131" s="66"/>
    </row>
    <row r="1132" spans="1:21" ht="18.75" customHeight="1" x14ac:dyDescent="0.2">
      <c r="A1132" s="70">
        <v>39971</v>
      </c>
      <c r="B1132" s="70">
        <v>39985</v>
      </c>
      <c r="C1132" s="71">
        <v>33701</v>
      </c>
      <c r="D1132" s="72" t="s">
        <v>1047</v>
      </c>
      <c r="E1132" s="74" t="s">
        <v>1337</v>
      </c>
      <c r="F1132" s="74" t="s">
        <v>406</v>
      </c>
      <c r="G1132" s="74" t="s">
        <v>407</v>
      </c>
      <c r="H1132" s="74" t="s">
        <v>349</v>
      </c>
      <c r="I1132" s="147">
        <v>53.99</v>
      </c>
      <c r="J1132" s="76"/>
      <c r="K1132" s="76">
        <v>65.39</v>
      </c>
      <c r="L1132" s="76"/>
      <c r="M1132" s="70">
        <v>40179</v>
      </c>
      <c r="N1132" s="89">
        <f>DATE(YEAR(M1132)+8,MONTH(M1132),DAY(M1132)-1)</f>
        <v>43100</v>
      </c>
      <c r="O1132" s="72" t="s">
        <v>19</v>
      </c>
      <c r="P1132" s="72" t="s">
        <v>1048</v>
      </c>
      <c r="Q1132" s="72" t="s">
        <v>669</v>
      </c>
      <c r="R1132" s="72" t="s">
        <v>349</v>
      </c>
      <c r="S1132" s="72"/>
      <c r="T1132" s="72"/>
      <c r="U1132" s="72"/>
    </row>
    <row r="1133" spans="1:21" ht="18.75" customHeight="1" x14ac:dyDescent="0.2">
      <c r="A1133" s="79"/>
      <c r="B1133" s="79"/>
      <c r="C1133" s="80"/>
      <c r="D1133" s="66"/>
      <c r="E1133" s="82" t="s">
        <v>21</v>
      </c>
      <c r="F1133" s="82" t="s">
        <v>1338</v>
      </c>
      <c r="G1133" s="82" t="s">
        <v>476</v>
      </c>
      <c r="H1133" s="82" t="s">
        <v>349</v>
      </c>
      <c r="I1133" s="148">
        <v>46.01</v>
      </c>
      <c r="J1133" s="84"/>
      <c r="K1133" s="91"/>
      <c r="L1133" s="66"/>
      <c r="M1133" s="66"/>
      <c r="N1133" s="66"/>
      <c r="O1133" s="66"/>
      <c r="P1133" s="66"/>
      <c r="Q1133" s="66"/>
      <c r="R1133" s="72"/>
      <c r="T1133" s="66"/>
      <c r="U1133" s="66"/>
    </row>
    <row r="1134" spans="1:21" ht="18.75" customHeight="1" x14ac:dyDescent="0.2">
      <c r="A1134" s="79"/>
      <c r="B1134" s="79"/>
      <c r="C1134" s="80"/>
      <c r="D1134" s="66"/>
      <c r="E1134" s="86"/>
      <c r="F1134" s="66"/>
      <c r="G1134" s="66" t="s">
        <v>353</v>
      </c>
      <c r="H1134" s="82"/>
      <c r="I1134" s="87"/>
      <c r="J1134" s="84"/>
      <c r="K1134" s="91"/>
      <c r="L1134" s="66"/>
      <c r="M1134" s="66"/>
      <c r="N1134" s="66"/>
      <c r="O1134" s="66"/>
      <c r="P1134" s="66"/>
      <c r="Q1134" s="66"/>
      <c r="R1134" s="72"/>
      <c r="T1134" s="66"/>
      <c r="U1134" s="66"/>
    </row>
    <row r="1135" spans="1:21" ht="18.75" customHeight="1" x14ac:dyDescent="0.2">
      <c r="A1135" s="70">
        <v>39971</v>
      </c>
      <c r="B1135" s="70">
        <v>39985</v>
      </c>
      <c r="C1135" s="71">
        <v>33706</v>
      </c>
      <c r="D1135" s="72" t="s">
        <v>1056</v>
      </c>
      <c r="E1135" s="74" t="s">
        <v>19</v>
      </c>
      <c r="F1135" s="74" t="s">
        <v>428</v>
      </c>
      <c r="G1135" s="74" t="s">
        <v>374</v>
      </c>
      <c r="H1135" s="74" t="s">
        <v>349</v>
      </c>
      <c r="I1135" s="147">
        <v>79.69</v>
      </c>
      <c r="J1135" s="76"/>
      <c r="K1135" s="76">
        <v>71.77</v>
      </c>
      <c r="L1135" s="76"/>
      <c r="M1135" s="70">
        <v>40179</v>
      </c>
      <c r="N1135" s="89">
        <f>DATE(YEAR(M1135)+8,MONTH(M1135),DAY(M1135)-1)</f>
        <v>43100</v>
      </c>
      <c r="O1135" s="72" t="s">
        <v>19</v>
      </c>
      <c r="P1135" s="72" t="s">
        <v>428</v>
      </c>
      <c r="Q1135" s="72" t="s">
        <v>374</v>
      </c>
      <c r="R1135" s="72" t="s">
        <v>349</v>
      </c>
      <c r="S1135" s="72" t="s">
        <v>1339</v>
      </c>
      <c r="T1135" s="72"/>
      <c r="U1135" s="72"/>
    </row>
    <row r="1136" spans="1:21" ht="18.75" customHeight="1" x14ac:dyDescent="0.2">
      <c r="A1136" s="79"/>
      <c r="B1136" s="79"/>
      <c r="C1136" s="80"/>
      <c r="D1136" s="66"/>
      <c r="E1136" s="86"/>
      <c r="F1136" s="66"/>
      <c r="G1136" s="66" t="s">
        <v>353</v>
      </c>
      <c r="H1136" s="82"/>
      <c r="I1136" s="87"/>
      <c r="J1136" s="84"/>
      <c r="K1136" s="91"/>
      <c r="L1136" s="66"/>
      <c r="M1136" s="66"/>
      <c r="N1136" s="66"/>
      <c r="O1136" s="66"/>
      <c r="P1136" s="66"/>
      <c r="Q1136" s="66"/>
      <c r="R1136" s="72"/>
      <c r="T1136" s="66"/>
      <c r="U1136" s="66"/>
    </row>
    <row r="1137" spans="1:21" ht="18.75" customHeight="1" x14ac:dyDescent="0.2">
      <c r="A1137" s="70">
        <v>39971</v>
      </c>
      <c r="B1137" s="70">
        <v>39985</v>
      </c>
      <c r="C1137" s="71">
        <v>33804</v>
      </c>
      <c r="D1137" s="72" t="s">
        <v>566</v>
      </c>
      <c r="E1137" s="74" t="s">
        <v>21</v>
      </c>
      <c r="F1137" s="74" t="s">
        <v>261</v>
      </c>
      <c r="G1137" s="74" t="s">
        <v>1340</v>
      </c>
      <c r="H1137" s="74" t="s">
        <v>419</v>
      </c>
      <c r="I1137" s="147">
        <v>56.61</v>
      </c>
      <c r="J1137" s="76"/>
      <c r="K1137" s="76">
        <v>63.61</v>
      </c>
      <c r="L1137" s="76"/>
      <c r="M1137" s="70">
        <v>40026</v>
      </c>
      <c r="N1137" s="89">
        <f>DATE(YEAR(M1137)+8,MONTH(M1137),DAY(M1137)-1)</f>
        <v>42947</v>
      </c>
      <c r="O1137" s="138" t="s">
        <v>21</v>
      </c>
      <c r="P1137" s="138" t="s">
        <v>567</v>
      </c>
      <c r="Q1137" s="138" t="s">
        <v>568</v>
      </c>
      <c r="R1137" s="72" t="s">
        <v>349</v>
      </c>
      <c r="S1137" s="72"/>
      <c r="T1137" s="72"/>
      <c r="U1137" s="72"/>
    </row>
    <row r="1138" spans="1:21" ht="18.75" customHeight="1" x14ac:dyDescent="0.2">
      <c r="A1138" s="79"/>
      <c r="B1138" s="79"/>
      <c r="C1138" s="80"/>
      <c r="D1138" s="66"/>
      <c r="E1138" s="82" t="s">
        <v>19</v>
      </c>
      <c r="F1138" s="82" t="s">
        <v>1341</v>
      </c>
      <c r="G1138" s="82" t="s">
        <v>1257</v>
      </c>
      <c r="H1138" s="82" t="s">
        <v>349</v>
      </c>
      <c r="I1138" s="148">
        <v>29.69</v>
      </c>
      <c r="J1138" s="84"/>
      <c r="K1138" s="91"/>
      <c r="L1138" s="66"/>
      <c r="M1138" s="66"/>
      <c r="N1138" s="66"/>
      <c r="O1138" s="66"/>
      <c r="P1138" s="66"/>
      <c r="Q1138" s="66"/>
      <c r="R1138" s="72"/>
      <c r="T1138" s="66"/>
      <c r="U1138" s="66"/>
    </row>
    <row r="1139" spans="1:21" ht="18.75" customHeight="1" x14ac:dyDescent="0.2">
      <c r="A1139" s="79"/>
      <c r="B1139" s="79"/>
      <c r="C1139" s="80"/>
      <c r="D1139" s="66"/>
      <c r="E1139" s="82" t="s">
        <v>38</v>
      </c>
      <c r="F1139" s="82" t="s">
        <v>1342</v>
      </c>
      <c r="G1139" s="82" t="s">
        <v>935</v>
      </c>
      <c r="H1139" s="82" t="s">
        <v>349</v>
      </c>
      <c r="I1139" s="148">
        <v>13.71</v>
      </c>
      <c r="J1139" s="84"/>
      <c r="K1139" s="91"/>
      <c r="L1139" s="66"/>
      <c r="M1139" s="66"/>
      <c r="N1139" s="66"/>
      <c r="O1139" s="66"/>
      <c r="P1139" s="66"/>
      <c r="Q1139" s="66"/>
      <c r="R1139" s="72"/>
      <c r="T1139" s="66"/>
      <c r="U1139" s="66"/>
    </row>
    <row r="1140" spans="1:21" ht="18.75" customHeight="1" x14ac:dyDescent="0.2">
      <c r="A1140" s="79"/>
      <c r="B1140" s="79"/>
      <c r="C1140" s="80"/>
      <c r="D1140" s="66"/>
      <c r="E1140" s="86"/>
      <c r="F1140" s="66"/>
      <c r="G1140" s="66" t="s">
        <v>353</v>
      </c>
      <c r="H1140" s="82"/>
      <c r="I1140" s="87"/>
      <c r="J1140" s="84"/>
      <c r="K1140" s="91"/>
      <c r="L1140" s="66"/>
      <c r="M1140" s="66"/>
      <c r="N1140" s="66"/>
      <c r="O1140" s="66"/>
      <c r="P1140" s="66"/>
      <c r="Q1140" s="66"/>
      <c r="R1140" s="72"/>
      <c r="T1140" s="66"/>
      <c r="U1140" s="66"/>
    </row>
    <row r="1141" spans="1:21" ht="18.75" customHeight="1" x14ac:dyDescent="0.2">
      <c r="A1141" s="70">
        <v>39971</v>
      </c>
      <c r="B1141" s="70">
        <v>39985</v>
      </c>
      <c r="C1141" s="71">
        <v>33805</v>
      </c>
      <c r="D1141" s="72" t="s">
        <v>956</v>
      </c>
      <c r="E1141" s="74" t="s">
        <v>19</v>
      </c>
      <c r="F1141" s="74" t="s">
        <v>957</v>
      </c>
      <c r="G1141" s="74" t="s">
        <v>587</v>
      </c>
      <c r="H1141" s="74" t="s">
        <v>349</v>
      </c>
      <c r="I1141" s="147">
        <v>80.150000000000006</v>
      </c>
      <c r="J1141" s="76"/>
      <c r="K1141" s="76">
        <v>61.11</v>
      </c>
      <c r="L1141" s="76"/>
      <c r="M1141" s="70">
        <v>40179</v>
      </c>
      <c r="N1141" s="146">
        <v>41820</v>
      </c>
      <c r="O1141" s="72" t="s">
        <v>19</v>
      </c>
      <c r="P1141" s="72" t="s">
        <v>957</v>
      </c>
      <c r="Q1141" s="72" t="s">
        <v>587</v>
      </c>
      <c r="R1141" s="72" t="s">
        <v>349</v>
      </c>
      <c r="S1141" s="72" t="s">
        <v>1343</v>
      </c>
      <c r="U1141" s="72"/>
    </row>
    <row r="1142" spans="1:21" ht="18.75" customHeight="1" x14ac:dyDescent="0.2">
      <c r="A1142" s="79"/>
      <c r="B1142" s="79"/>
      <c r="C1142" s="80"/>
      <c r="D1142" s="66"/>
      <c r="E1142" s="86"/>
      <c r="F1142" s="66"/>
      <c r="G1142" s="66" t="s">
        <v>353</v>
      </c>
      <c r="H1142" s="82"/>
      <c r="I1142" s="87"/>
      <c r="J1142" s="84"/>
      <c r="K1142" s="91"/>
      <c r="L1142" s="66"/>
      <c r="M1142" s="66"/>
      <c r="N1142" s="66"/>
      <c r="O1142" s="66"/>
      <c r="P1142" s="66"/>
      <c r="Q1142" s="66"/>
      <c r="R1142" s="72"/>
      <c r="T1142" s="66"/>
      <c r="U1142" s="66"/>
    </row>
    <row r="1143" spans="1:21" ht="18.75" customHeight="1" x14ac:dyDescent="0.2">
      <c r="A1143" s="70">
        <v>39971</v>
      </c>
      <c r="B1143" s="70">
        <v>39985</v>
      </c>
      <c r="C1143" s="71">
        <v>33903</v>
      </c>
      <c r="D1143" s="72" t="s">
        <v>920</v>
      </c>
      <c r="E1143" s="74" t="s">
        <v>1344</v>
      </c>
      <c r="F1143" s="74" t="s">
        <v>921</v>
      </c>
      <c r="G1143" s="74" t="s">
        <v>516</v>
      </c>
      <c r="H1143" s="74" t="s">
        <v>349</v>
      </c>
      <c r="I1143" s="147">
        <v>62.93</v>
      </c>
      <c r="J1143" s="76"/>
      <c r="K1143" s="76">
        <v>65.77</v>
      </c>
      <c r="L1143" s="76"/>
      <c r="M1143" s="70">
        <v>40179</v>
      </c>
      <c r="N1143" s="89">
        <f>DATE(YEAR(M1143)+8,MONTH(M1143),DAY(M1143)-1)</f>
        <v>43100</v>
      </c>
      <c r="O1143" s="72" t="s">
        <v>921</v>
      </c>
      <c r="P1143" s="72" t="s">
        <v>921</v>
      </c>
      <c r="Q1143" s="72" t="s">
        <v>516</v>
      </c>
      <c r="R1143" s="72" t="s">
        <v>349</v>
      </c>
      <c r="S1143" s="111"/>
      <c r="T1143" s="72"/>
      <c r="U1143" s="72"/>
    </row>
    <row r="1144" spans="1:21" ht="18.75" customHeight="1" x14ac:dyDescent="0.2">
      <c r="A1144" s="79"/>
      <c r="B1144" s="79"/>
      <c r="C1144" s="80"/>
      <c r="D1144" s="66"/>
      <c r="E1144" s="82" t="s">
        <v>19</v>
      </c>
      <c r="F1144" s="82" t="s">
        <v>1345</v>
      </c>
      <c r="G1144" s="82" t="s">
        <v>1346</v>
      </c>
      <c r="H1144" s="82" t="s">
        <v>349</v>
      </c>
      <c r="I1144" s="148">
        <v>37.07</v>
      </c>
      <c r="J1144" s="84"/>
      <c r="K1144" s="91"/>
      <c r="L1144" s="66"/>
      <c r="M1144" s="66"/>
      <c r="N1144" s="66"/>
      <c r="O1144" s="66"/>
      <c r="P1144" s="66"/>
      <c r="Q1144" s="66"/>
      <c r="R1144" s="72"/>
      <c r="T1144" s="66"/>
      <c r="U1144" s="66"/>
    </row>
    <row r="1145" spans="1:21" ht="18.75" customHeight="1" x14ac:dyDescent="0.2">
      <c r="A1145" s="79"/>
      <c r="B1145" s="79"/>
      <c r="C1145" s="80"/>
      <c r="D1145" s="66"/>
      <c r="E1145" s="86"/>
      <c r="F1145" s="66"/>
      <c r="G1145" s="66" t="s">
        <v>353</v>
      </c>
      <c r="H1145" s="82"/>
      <c r="I1145" s="87"/>
      <c r="J1145" s="84"/>
      <c r="K1145" s="91"/>
      <c r="L1145" s="66"/>
      <c r="M1145" s="66"/>
      <c r="N1145" s="66"/>
      <c r="O1145" s="66"/>
      <c r="P1145" s="66"/>
      <c r="Q1145" s="66"/>
      <c r="R1145" s="72"/>
      <c r="T1145" s="66"/>
      <c r="U1145" s="66"/>
    </row>
    <row r="1146" spans="1:21" ht="18.75" customHeight="1" x14ac:dyDescent="0.2">
      <c r="A1146" s="70">
        <v>39971</v>
      </c>
      <c r="B1146" s="70">
        <v>39985</v>
      </c>
      <c r="C1146" s="71">
        <v>34004</v>
      </c>
      <c r="D1146" s="72" t="s">
        <v>948</v>
      </c>
      <c r="E1146" s="74" t="s">
        <v>19</v>
      </c>
      <c r="F1146" s="74" t="s">
        <v>533</v>
      </c>
      <c r="G1146" s="74" t="s">
        <v>368</v>
      </c>
      <c r="H1146" s="74" t="s">
        <v>349</v>
      </c>
      <c r="I1146" s="147">
        <v>55.74</v>
      </c>
      <c r="J1146" s="76"/>
      <c r="K1146" s="76">
        <v>68.739999999999995</v>
      </c>
      <c r="L1146" s="76"/>
      <c r="M1146" s="70">
        <v>40179</v>
      </c>
      <c r="N1146" s="89">
        <f>DATE(YEAR(M1146)+8,MONTH(M1146),DAY(M1146)-1)</f>
        <v>43100</v>
      </c>
      <c r="O1146" s="72" t="s">
        <v>19</v>
      </c>
      <c r="P1146" s="72" t="s">
        <v>533</v>
      </c>
      <c r="Q1146" s="72" t="s">
        <v>368</v>
      </c>
      <c r="R1146" s="72" t="s">
        <v>349</v>
      </c>
      <c r="S1146" s="72"/>
      <c r="T1146" s="72"/>
      <c r="U1146" s="72"/>
    </row>
    <row r="1147" spans="1:21" ht="18.75" customHeight="1" x14ac:dyDescent="0.2">
      <c r="A1147" s="79"/>
      <c r="B1147" s="79"/>
      <c r="C1147" s="80"/>
      <c r="D1147" s="66"/>
      <c r="E1147" s="82" t="s">
        <v>21</v>
      </c>
      <c r="F1147" s="82" t="s">
        <v>1347</v>
      </c>
      <c r="G1147" s="82" t="s">
        <v>389</v>
      </c>
      <c r="H1147" s="82" t="s">
        <v>349</v>
      </c>
      <c r="I1147" s="148">
        <v>24.53</v>
      </c>
      <c r="J1147" s="84"/>
      <c r="K1147" s="91"/>
      <c r="L1147" s="66"/>
      <c r="M1147" s="66"/>
      <c r="N1147" s="66"/>
      <c r="O1147" s="66"/>
      <c r="P1147" s="66"/>
      <c r="Q1147" s="66"/>
      <c r="R1147" s="72"/>
      <c r="T1147" s="66"/>
      <c r="U1147" s="66"/>
    </row>
    <row r="1148" spans="1:21" ht="18.75" customHeight="1" x14ac:dyDescent="0.2">
      <c r="A1148" s="79"/>
      <c r="B1148" s="79"/>
      <c r="C1148" s="80"/>
      <c r="D1148" s="66"/>
      <c r="E1148" s="82" t="s">
        <v>55</v>
      </c>
      <c r="F1148" s="82" t="s">
        <v>693</v>
      </c>
      <c r="G1148" s="82" t="s">
        <v>561</v>
      </c>
      <c r="H1148" s="82" t="s">
        <v>349</v>
      </c>
      <c r="I1148" s="148">
        <v>11.3</v>
      </c>
      <c r="J1148" s="84"/>
      <c r="K1148" s="91"/>
      <c r="L1148" s="66"/>
      <c r="M1148" s="66"/>
      <c r="N1148" s="66"/>
      <c r="O1148" s="66"/>
      <c r="P1148" s="66"/>
      <c r="Q1148" s="66"/>
      <c r="R1148" s="72"/>
      <c r="T1148" s="66"/>
      <c r="U1148" s="66"/>
    </row>
    <row r="1149" spans="1:21" ht="18.75" customHeight="1" x14ac:dyDescent="0.2">
      <c r="A1149" s="79"/>
      <c r="B1149" s="79"/>
      <c r="C1149" s="80"/>
      <c r="D1149" s="66"/>
      <c r="E1149" s="82" t="s">
        <v>38</v>
      </c>
      <c r="F1149" s="82" t="s">
        <v>1348</v>
      </c>
      <c r="G1149" s="82" t="s">
        <v>562</v>
      </c>
      <c r="H1149" s="82" t="s">
        <v>349</v>
      </c>
      <c r="I1149" s="148">
        <v>8.42</v>
      </c>
      <c r="J1149" s="84"/>
      <c r="K1149" s="91"/>
      <c r="L1149" s="66"/>
      <c r="M1149" s="66"/>
      <c r="N1149" s="66"/>
      <c r="O1149" s="66"/>
      <c r="P1149" s="66"/>
      <c r="Q1149" s="66"/>
      <c r="R1149" s="72"/>
      <c r="T1149" s="66"/>
      <c r="U1149" s="66"/>
    </row>
    <row r="1150" spans="1:21" ht="18.75" customHeight="1" x14ac:dyDescent="0.2">
      <c r="A1150" s="79"/>
      <c r="B1150" s="79"/>
      <c r="C1150" s="80"/>
      <c r="D1150" s="66"/>
      <c r="E1150" s="86"/>
      <c r="F1150" s="66"/>
      <c r="G1150" s="66" t="s">
        <v>353</v>
      </c>
      <c r="H1150" s="82"/>
      <c r="I1150" s="87"/>
      <c r="J1150" s="84"/>
      <c r="K1150" s="91"/>
      <c r="L1150" s="66"/>
      <c r="M1150" s="66"/>
      <c r="N1150" s="66"/>
      <c r="O1150" s="66"/>
      <c r="P1150" s="66"/>
      <c r="Q1150" s="66"/>
      <c r="R1150" s="72"/>
      <c r="T1150" s="66"/>
      <c r="U1150" s="66"/>
    </row>
    <row r="1151" spans="1:21" ht="18.75" customHeight="1" x14ac:dyDescent="0.2">
      <c r="A1151" s="70">
        <v>39971</v>
      </c>
      <c r="B1151" s="70">
        <v>39985</v>
      </c>
      <c r="C1151" s="71">
        <v>34008</v>
      </c>
      <c r="D1151" s="72" t="s">
        <v>953</v>
      </c>
      <c r="E1151" s="74" t="s">
        <v>21</v>
      </c>
      <c r="F1151" s="74" t="s">
        <v>954</v>
      </c>
      <c r="G1151" s="74" t="s">
        <v>407</v>
      </c>
      <c r="H1151" s="74" t="s">
        <v>349</v>
      </c>
      <c r="I1151" s="147">
        <v>74.44</v>
      </c>
      <c r="J1151" s="76"/>
      <c r="K1151" s="76">
        <v>65.27</v>
      </c>
      <c r="L1151" s="76"/>
      <c r="M1151" s="70">
        <v>40179</v>
      </c>
      <c r="N1151" s="68">
        <v>41060</v>
      </c>
      <c r="O1151" s="72" t="s">
        <v>21</v>
      </c>
      <c r="P1151" s="72" t="s">
        <v>954</v>
      </c>
      <c r="Q1151" s="72" t="s">
        <v>407</v>
      </c>
      <c r="R1151" s="72" t="s">
        <v>349</v>
      </c>
      <c r="S1151" s="72"/>
      <c r="T1151" s="72"/>
      <c r="U1151" s="72"/>
    </row>
    <row r="1152" spans="1:21" ht="18.75" customHeight="1" x14ac:dyDescent="0.2">
      <c r="A1152" s="79"/>
      <c r="B1152" s="79"/>
      <c r="C1152" s="80"/>
      <c r="D1152" s="66"/>
      <c r="E1152" s="82" t="s">
        <v>38</v>
      </c>
      <c r="F1152" s="82" t="s">
        <v>1349</v>
      </c>
      <c r="G1152" s="82" t="s">
        <v>476</v>
      </c>
      <c r="H1152" s="82" t="s">
        <v>349</v>
      </c>
      <c r="I1152" s="148">
        <v>17.07</v>
      </c>
      <c r="J1152" s="84"/>
      <c r="K1152" s="91"/>
      <c r="L1152" s="66"/>
      <c r="M1152" s="66"/>
      <c r="N1152" s="66"/>
      <c r="O1152" s="66"/>
      <c r="P1152" s="66"/>
      <c r="Q1152" s="66"/>
      <c r="R1152" s="72"/>
      <c r="T1152" s="66"/>
      <c r="U1152" s="66"/>
    </row>
    <row r="1153" spans="1:21" ht="18.75" customHeight="1" x14ac:dyDescent="0.2">
      <c r="A1153" s="79"/>
      <c r="B1153" s="79"/>
      <c r="C1153" s="80"/>
      <c r="D1153" s="66"/>
      <c r="E1153" s="82" t="s">
        <v>1350</v>
      </c>
      <c r="F1153" s="82" t="s">
        <v>1351</v>
      </c>
      <c r="G1153" s="82" t="s">
        <v>998</v>
      </c>
      <c r="H1153" s="82" t="s">
        <v>349</v>
      </c>
      <c r="I1153" s="148">
        <v>8.49</v>
      </c>
      <c r="J1153" s="84"/>
      <c r="K1153" s="91"/>
      <c r="L1153" s="66"/>
      <c r="M1153" s="66"/>
      <c r="N1153" s="66"/>
      <c r="O1153" s="66"/>
      <c r="P1153" s="66"/>
      <c r="Q1153" s="66"/>
      <c r="R1153" s="72"/>
      <c r="T1153" s="66"/>
      <c r="U1153" s="66"/>
    </row>
    <row r="1154" spans="1:21" ht="18.75" customHeight="1" x14ac:dyDescent="0.2">
      <c r="A1154" s="79"/>
      <c r="B1154" s="79"/>
      <c r="C1154" s="80"/>
      <c r="D1154" s="66"/>
      <c r="E1154" s="86"/>
      <c r="F1154" s="66"/>
      <c r="G1154" s="66" t="s">
        <v>353</v>
      </c>
      <c r="H1154" s="82"/>
      <c r="I1154" s="87"/>
      <c r="J1154" s="84"/>
      <c r="K1154" s="91"/>
      <c r="L1154" s="66"/>
      <c r="M1154" s="66"/>
      <c r="N1154" s="66"/>
      <c r="O1154" s="66"/>
      <c r="P1154" s="66"/>
      <c r="Q1154" s="66"/>
      <c r="R1154" s="72"/>
      <c r="T1154" s="66"/>
      <c r="U1154" s="66"/>
    </row>
    <row r="1155" spans="1:21" ht="18.75" customHeight="1" x14ac:dyDescent="0.2">
      <c r="A1155" s="70">
        <v>40083</v>
      </c>
      <c r="B1155" s="70">
        <v>40097</v>
      </c>
      <c r="C1155" s="71">
        <v>13205</v>
      </c>
      <c r="D1155" s="72" t="s">
        <v>354</v>
      </c>
      <c r="E1155" s="157" t="s">
        <v>19</v>
      </c>
      <c r="F1155" s="157" t="s">
        <v>1078</v>
      </c>
      <c r="G1155" s="157" t="s">
        <v>1079</v>
      </c>
      <c r="H1155" s="74" t="s">
        <v>349</v>
      </c>
      <c r="I1155" s="158">
        <v>82.39</v>
      </c>
      <c r="J1155" s="76"/>
      <c r="K1155" s="76">
        <v>73.23</v>
      </c>
      <c r="L1155" s="76"/>
      <c r="M1155" s="70">
        <v>40360</v>
      </c>
      <c r="N1155" s="146">
        <v>42735</v>
      </c>
      <c r="O1155" s="72" t="s">
        <v>19</v>
      </c>
      <c r="P1155" s="72" t="s">
        <v>1078</v>
      </c>
      <c r="Q1155" s="72" t="s">
        <v>1079</v>
      </c>
      <c r="R1155" s="72" t="s">
        <v>349</v>
      </c>
      <c r="S1155" s="72" t="s">
        <v>1352</v>
      </c>
      <c r="T1155" s="72"/>
      <c r="U1155" s="72"/>
    </row>
    <row r="1156" spans="1:21" ht="18.75" customHeight="1" x14ac:dyDescent="0.2">
      <c r="A1156" s="79"/>
      <c r="B1156" s="79"/>
      <c r="C1156" s="80"/>
      <c r="D1156" s="66"/>
      <c r="E1156" s="86"/>
      <c r="F1156" s="66"/>
      <c r="G1156" s="66" t="s">
        <v>353</v>
      </c>
      <c r="H1156" s="82"/>
      <c r="I1156" s="87"/>
      <c r="J1156" s="84"/>
      <c r="K1156" s="91"/>
      <c r="L1156" s="66"/>
      <c r="M1156" s="66"/>
      <c r="N1156" s="66"/>
      <c r="O1156" s="66"/>
      <c r="P1156" s="66"/>
      <c r="Q1156" s="66"/>
      <c r="R1156" s="72"/>
      <c r="T1156" s="66"/>
      <c r="U1156" s="66"/>
    </row>
    <row r="1157" spans="1:21" ht="18.75" customHeight="1" x14ac:dyDescent="0.2">
      <c r="A1157" s="70">
        <v>40083</v>
      </c>
      <c r="B1157" s="70">
        <v>40097</v>
      </c>
      <c r="C1157" s="71">
        <v>13303</v>
      </c>
      <c r="D1157" s="72" t="s">
        <v>574</v>
      </c>
      <c r="E1157" s="157" t="s">
        <v>21</v>
      </c>
      <c r="F1157" s="157" t="s">
        <v>716</v>
      </c>
      <c r="G1157" s="157" t="s">
        <v>368</v>
      </c>
      <c r="H1157" s="74" t="s">
        <v>349</v>
      </c>
      <c r="I1157" s="158">
        <v>39.08</v>
      </c>
      <c r="J1157" s="159">
        <v>51.7</v>
      </c>
      <c r="K1157" s="76">
        <v>77.28</v>
      </c>
      <c r="L1157" s="76">
        <v>56.66</v>
      </c>
      <c r="M1157" s="70">
        <v>40120</v>
      </c>
      <c r="N1157" s="89">
        <f>DATE(YEAR(M1157)+8,MONTH(M1157),DAY(M1157)-1)</f>
        <v>43041</v>
      </c>
      <c r="O1157" s="95" t="s">
        <v>1139</v>
      </c>
      <c r="P1157" s="95" t="s">
        <v>1139</v>
      </c>
      <c r="Q1157" s="95" t="s">
        <v>591</v>
      </c>
      <c r="R1157" s="72" t="s">
        <v>349</v>
      </c>
      <c r="S1157" s="111"/>
      <c r="T1157" s="72"/>
      <c r="U1157" s="72"/>
    </row>
    <row r="1158" spans="1:21" ht="18.75" customHeight="1" x14ac:dyDescent="0.2">
      <c r="A1158" s="79"/>
      <c r="B1158" s="79"/>
      <c r="C1158" s="80"/>
      <c r="D1158" s="66"/>
      <c r="E1158" s="160" t="s">
        <v>1353</v>
      </c>
      <c r="F1158" s="160" t="s">
        <v>1353</v>
      </c>
      <c r="G1158" s="160" t="s">
        <v>379</v>
      </c>
      <c r="H1158" s="82" t="s">
        <v>349</v>
      </c>
      <c r="I1158" s="161">
        <v>22.36</v>
      </c>
      <c r="J1158" s="162">
        <v>48.3</v>
      </c>
      <c r="K1158" s="91"/>
      <c r="L1158" s="66"/>
      <c r="M1158" s="66"/>
      <c r="N1158" s="66"/>
      <c r="O1158" s="66"/>
      <c r="P1158" s="66"/>
      <c r="Q1158" s="66"/>
      <c r="R1158" s="72"/>
      <c r="T1158" s="66"/>
      <c r="U1158" s="66"/>
    </row>
    <row r="1159" spans="1:21" ht="18.75" customHeight="1" x14ac:dyDescent="0.2">
      <c r="A1159" s="79"/>
      <c r="B1159" s="79"/>
      <c r="C1159" s="80"/>
      <c r="D1159" s="66"/>
      <c r="E1159" s="160" t="s">
        <v>55</v>
      </c>
      <c r="F1159" s="160" t="s">
        <v>1354</v>
      </c>
      <c r="G1159" s="160" t="s">
        <v>1120</v>
      </c>
      <c r="H1159" s="82" t="s">
        <v>419</v>
      </c>
      <c r="I1159" s="161">
        <v>21.04</v>
      </c>
      <c r="J1159" s="84"/>
      <c r="K1159" s="91"/>
      <c r="L1159" s="66"/>
      <c r="M1159" s="66"/>
      <c r="N1159" s="66"/>
      <c r="O1159" s="66"/>
      <c r="P1159" s="66"/>
      <c r="Q1159" s="66"/>
      <c r="R1159" s="72"/>
      <c r="T1159" s="66"/>
      <c r="U1159" s="66"/>
    </row>
    <row r="1160" spans="1:21" ht="18.75" customHeight="1" x14ac:dyDescent="0.2">
      <c r="A1160" s="79"/>
      <c r="B1160" s="79"/>
      <c r="C1160" s="80"/>
      <c r="D1160" s="66"/>
      <c r="E1160" s="160" t="s">
        <v>19</v>
      </c>
      <c r="F1160" s="160" t="s">
        <v>1355</v>
      </c>
      <c r="G1160" s="160" t="s">
        <v>469</v>
      </c>
      <c r="H1160" s="82" t="s">
        <v>349</v>
      </c>
      <c r="I1160" s="161">
        <v>17.52</v>
      </c>
      <c r="J1160" s="84"/>
      <c r="K1160" s="91"/>
      <c r="L1160" s="66"/>
      <c r="M1160" s="66"/>
      <c r="N1160" s="66"/>
      <c r="O1160" s="66"/>
      <c r="P1160" s="66"/>
      <c r="Q1160" s="66"/>
      <c r="R1160" s="72"/>
      <c r="T1160" s="66"/>
      <c r="U1160" s="66"/>
    </row>
    <row r="1161" spans="1:21" ht="18.75" customHeight="1" x14ac:dyDescent="0.2">
      <c r="A1161" s="79"/>
      <c r="B1161" s="79"/>
      <c r="C1161" s="80"/>
      <c r="D1161" s="66"/>
      <c r="E1161" s="86"/>
      <c r="F1161" s="66"/>
      <c r="G1161" s="66" t="s">
        <v>353</v>
      </c>
      <c r="H1161" s="82"/>
      <c r="I1161" s="87"/>
      <c r="J1161" s="84"/>
      <c r="K1161" s="91"/>
      <c r="L1161" s="66"/>
      <c r="M1161" s="66"/>
      <c r="N1161" s="66"/>
      <c r="O1161" s="66"/>
      <c r="P1161" s="66"/>
      <c r="Q1161" s="66"/>
      <c r="R1161" s="72"/>
      <c r="T1161" s="66"/>
      <c r="U1161" s="66"/>
    </row>
    <row r="1162" spans="1:21" ht="18.75" customHeight="1" x14ac:dyDescent="0.2">
      <c r="A1162" s="70">
        <v>40083</v>
      </c>
      <c r="B1162" s="70">
        <v>40097</v>
      </c>
      <c r="C1162" s="71">
        <v>13708</v>
      </c>
      <c r="D1162" s="72" t="s">
        <v>608</v>
      </c>
      <c r="E1162" s="157" t="s">
        <v>19</v>
      </c>
      <c r="F1162" s="157" t="s">
        <v>1356</v>
      </c>
      <c r="G1162" s="157" t="s">
        <v>947</v>
      </c>
      <c r="H1162" s="74" t="s">
        <v>349</v>
      </c>
      <c r="I1162" s="158">
        <v>56.18</v>
      </c>
      <c r="J1162" s="76"/>
      <c r="K1162" s="76">
        <v>65.48</v>
      </c>
      <c r="L1162" s="76"/>
      <c r="M1162" s="70">
        <v>40360</v>
      </c>
      <c r="N1162" s="89">
        <f>DATE(YEAR(M1162)+8,MONTH(M1162),DAY(M1162)-1)</f>
        <v>43281</v>
      </c>
      <c r="O1162" s="138" t="s">
        <v>19</v>
      </c>
      <c r="P1162" s="138" t="s">
        <v>609</v>
      </c>
      <c r="Q1162" s="138" t="s">
        <v>550</v>
      </c>
      <c r="R1162" s="72" t="s">
        <v>349</v>
      </c>
      <c r="S1162" s="72"/>
      <c r="T1162" s="72"/>
      <c r="U1162" s="72"/>
    </row>
    <row r="1163" spans="1:21" ht="18.75" customHeight="1" x14ac:dyDescent="0.2">
      <c r="A1163" s="79"/>
      <c r="B1163" s="79"/>
      <c r="C1163" s="80"/>
      <c r="D1163" s="66"/>
      <c r="E1163" s="160" t="s">
        <v>21</v>
      </c>
      <c r="F1163" s="160" t="s">
        <v>1357</v>
      </c>
      <c r="G1163" s="160" t="s">
        <v>464</v>
      </c>
      <c r="H1163" s="82" t="s">
        <v>349</v>
      </c>
      <c r="I1163" s="163">
        <v>43.82</v>
      </c>
      <c r="J1163" s="84"/>
      <c r="K1163" s="91"/>
      <c r="L1163" s="66"/>
      <c r="M1163" s="66"/>
      <c r="N1163" s="66"/>
      <c r="O1163" s="66"/>
      <c r="P1163" s="66"/>
      <c r="Q1163" s="66"/>
      <c r="R1163" s="72"/>
      <c r="T1163" s="66"/>
      <c r="U1163" s="66"/>
    </row>
    <row r="1164" spans="1:21" ht="18.75" customHeight="1" x14ac:dyDescent="0.2">
      <c r="A1164" s="79"/>
      <c r="B1164" s="79"/>
      <c r="C1164" s="80"/>
      <c r="D1164" s="66"/>
      <c r="E1164" s="86"/>
      <c r="F1164" s="66"/>
      <c r="G1164" s="66" t="s">
        <v>353</v>
      </c>
      <c r="H1164" s="82"/>
      <c r="I1164" s="87"/>
      <c r="J1164" s="84"/>
      <c r="K1164" s="91"/>
      <c r="L1164" s="66"/>
      <c r="M1164" s="66"/>
      <c r="N1164" s="66"/>
      <c r="O1164" s="66"/>
      <c r="P1164" s="66"/>
      <c r="Q1164" s="66"/>
      <c r="R1164" s="72"/>
      <c r="T1164" s="66"/>
      <c r="U1164" s="66"/>
    </row>
    <row r="1165" spans="1:21" ht="18.75" customHeight="1" x14ac:dyDescent="0.2">
      <c r="A1165" s="70">
        <v>40083</v>
      </c>
      <c r="B1165" s="70">
        <v>40097</v>
      </c>
      <c r="C1165" s="71">
        <v>23501</v>
      </c>
      <c r="D1165" s="72" t="s">
        <v>664</v>
      </c>
      <c r="E1165" s="157" t="s">
        <v>19</v>
      </c>
      <c r="F1165" s="157" t="s">
        <v>1103</v>
      </c>
      <c r="G1165" s="157" t="s">
        <v>383</v>
      </c>
      <c r="H1165" s="74" t="s">
        <v>349</v>
      </c>
      <c r="I1165" s="158">
        <v>54.17</v>
      </c>
      <c r="J1165" s="76"/>
      <c r="K1165" s="76">
        <v>71.27</v>
      </c>
      <c r="L1165" s="76"/>
      <c r="M1165" s="70">
        <v>40269</v>
      </c>
      <c r="N1165" s="89">
        <f>DATE(YEAR(M1165)+8,MONTH(M1165),DAY(M1165)-1)</f>
        <v>43190</v>
      </c>
      <c r="O1165" s="72" t="s">
        <v>19</v>
      </c>
      <c r="P1165" s="72" t="s">
        <v>1103</v>
      </c>
      <c r="Q1165" s="72" t="s">
        <v>383</v>
      </c>
      <c r="R1165" s="72" t="s">
        <v>349</v>
      </c>
      <c r="S1165" s="72"/>
      <c r="T1165" s="72"/>
      <c r="U1165" s="72"/>
    </row>
    <row r="1166" spans="1:21" ht="18.75" customHeight="1" x14ac:dyDescent="0.2">
      <c r="A1166" s="79"/>
      <c r="B1166" s="79"/>
      <c r="C1166" s="80"/>
      <c r="D1166" s="66"/>
      <c r="E1166" s="160" t="s">
        <v>21</v>
      </c>
      <c r="F1166" s="160" t="s">
        <v>1358</v>
      </c>
      <c r="G1166" s="160" t="s">
        <v>547</v>
      </c>
      <c r="H1166" s="82" t="s">
        <v>349</v>
      </c>
      <c r="I1166" s="161">
        <v>23.46</v>
      </c>
      <c r="J1166" s="84"/>
      <c r="K1166" s="91"/>
      <c r="L1166" s="66"/>
      <c r="M1166" s="66"/>
      <c r="N1166" s="66"/>
      <c r="O1166" s="66"/>
      <c r="P1166" s="66"/>
      <c r="Q1166" s="66"/>
      <c r="R1166" s="72"/>
      <c r="T1166" s="66"/>
      <c r="U1166" s="66"/>
    </row>
    <row r="1167" spans="1:21" ht="18.75" customHeight="1" x14ac:dyDescent="0.2">
      <c r="A1167" s="79"/>
      <c r="B1167" s="79"/>
      <c r="C1167" s="80"/>
      <c r="D1167" s="66"/>
      <c r="E1167" s="160" t="s">
        <v>1359</v>
      </c>
      <c r="F1167" s="160" t="s">
        <v>1360</v>
      </c>
      <c r="G1167" s="160" t="s">
        <v>702</v>
      </c>
      <c r="H1167" s="82" t="s">
        <v>349</v>
      </c>
      <c r="I1167" s="161">
        <v>22.37</v>
      </c>
      <c r="J1167" s="84"/>
      <c r="K1167" s="91"/>
      <c r="L1167" s="66"/>
      <c r="M1167" s="66"/>
      <c r="N1167" s="66"/>
      <c r="O1167" s="66"/>
      <c r="P1167" s="66"/>
      <c r="Q1167" s="66"/>
      <c r="R1167" s="72"/>
      <c r="T1167" s="66"/>
      <c r="U1167" s="66"/>
    </row>
    <row r="1168" spans="1:21" ht="18.75" customHeight="1" x14ac:dyDescent="0.2">
      <c r="A1168" s="79"/>
      <c r="B1168" s="79"/>
      <c r="C1168" s="80"/>
      <c r="D1168" s="66"/>
      <c r="E1168" s="86"/>
      <c r="F1168" s="66"/>
      <c r="G1168" s="66" t="s">
        <v>353</v>
      </c>
      <c r="H1168" s="82"/>
      <c r="I1168" s="87"/>
      <c r="J1168" s="84"/>
      <c r="K1168" s="91"/>
      <c r="L1168" s="66"/>
      <c r="M1168" s="66"/>
      <c r="N1168" s="66"/>
      <c r="O1168" s="66"/>
      <c r="P1168" s="66"/>
      <c r="Q1168" s="66"/>
      <c r="R1168" s="72"/>
      <c r="T1168" s="66"/>
      <c r="U1168" s="66"/>
    </row>
    <row r="1169" spans="1:21" ht="18.75" customHeight="1" x14ac:dyDescent="0.2">
      <c r="A1169" s="70">
        <v>40083</v>
      </c>
      <c r="B1169" s="70">
        <v>40097</v>
      </c>
      <c r="C1169" s="71">
        <v>33104</v>
      </c>
      <c r="D1169" s="72" t="s">
        <v>387</v>
      </c>
      <c r="E1169" s="157" t="s">
        <v>19</v>
      </c>
      <c r="F1169" s="157" t="s">
        <v>109</v>
      </c>
      <c r="G1169" s="157" t="s">
        <v>550</v>
      </c>
      <c r="H1169" s="74" t="s">
        <v>349</v>
      </c>
      <c r="I1169" s="158">
        <v>77</v>
      </c>
      <c r="J1169" s="76"/>
      <c r="K1169" s="76">
        <v>76.09</v>
      </c>
      <c r="L1169" s="76"/>
      <c r="M1169" s="70">
        <v>40269</v>
      </c>
      <c r="N1169" s="146">
        <v>41820</v>
      </c>
      <c r="O1169" s="72" t="s">
        <v>19</v>
      </c>
      <c r="P1169" s="72" t="s">
        <v>109</v>
      </c>
      <c r="Q1169" s="72" t="s">
        <v>550</v>
      </c>
      <c r="R1169" s="72" t="s">
        <v>349</v>
      </c>
      <c r="S1169" s="72" t="s">
        <v>1361</v>
      </c>
      <c r="U1169" s="72"/>
    </row>
    <row r="1170" spans="1:21" ht="18.75" customHeight="1" x14ac:dyDescent="0.2">
      <c r="A1170" s="79"/>
      <c r="B1170" s="79"/>
      <c r="C1170" s="80"/>
      <c r="D1170" s="66"/>
      <c r="E1170" s="160" t="s">
        <v>1362</v>
      </c>
      <c r="F1170" s="160" t="s">
        <v>1362</v>
      </c>
      <c r="G1170" s="160" t="s">
        <v>565</v>
      </c>
      <c r="H1170" s="82" t="s">
        <v>349</v>
      </c>
      <c r="I1170" s="161">
        <v>23</v>
      </c>
      <c r="J1170" s="84"/>
      <c r="K1170" s="91"/>
      <c r="L1170" s="66"/>
      <c r="M1170" s="66"/>
      <c r="N1170" s="66"/>
      <c r="O1170" s="66"/>
      <c r="P1170" s="66"/>
      <c r="Q1170" s="66"/>
      <c r="R1170" s="72"/>
      <c r="T1170" s="66"/>
      <c r="U1170" s="66"/>
    </row>
    <row r="1171" spans="1:21" ht="18.75" customHeight="1" x14ac:dyDescent="0.2">
      <c r="A1171" s="79"/>
      <c r="B1171" s="79"/>
      <c r="C1171" s="80"/>
      <c r="D1171" s="66"/>
      <c r="E1171" s="86"/>
      <c r="F1171" s="66"/>
      <c r="G1171" s="66" t="s">
        <v>353</v>
      </c>
      <c r="H1171" s="82"/>
      <c r="I1171" s="87"/>
      <c r="J1171" s="84"/>
      <c r="K1171" s="91"/>
      <c r="L1171" s="66"/>
      <c r="M1171" s="66"/>
      <c r="N1171" s="66"/>
      <c r="O1171" s="66"/>
      <c r="P1171" s="66"/>
      <c r="Q1171" s="66"/>
      <c r="R1171" s="72"/>
      <c r="T1171" s="66"/>
      <c r="U1171" s="66"/>
    </row>
    <row r="1172" spans="1:21" ht="18.75" customHeight="1" x14ac:dyDescent="0.2">
      <c r="A1172" s="70">
        <v>40083</v>
      </c>
      <c r="B1172" s="70">
        <v>40097</v>
      </c>
      <c r="C1172" s="71">
        <v>33802</v>
      </c>
      <c r="D1172" s="72" t="s">
        <v>880</v>
      </c>
      <c r="E1172" s="157" t="s">
        <v>19</v>
      </c>
      <c r="F1172" s="157" t="s">
        <v>638</v>
      </c>
      <c r="G1172" s="157" t="s">
        <v>389</v>
      </c>
      <c r="H1172" s="74" t="s">
        <v>349</v>
      </c>
      <c r="I1172" s="158">
        <v>41.22</v>
      </c>
      <c r="J1172" s="159">
        <v>50.74</v>
      </c>
      <c r="K1172" s="76">
        <v>74.760000000000005</v>
      </c>
      <c r="L1172" s="76">
        <v>52.53</v>
      </c>
      <c r="M1172" s="70">
        <v>40136</v>
      </c>
      <c r="N1172" s="146">
        <v>41820</v>
      </c>
      <c r="O1172" s="72" t="s">
        <v>19</v>
      </c>
      <c r="P1172" s="72" t="s">
        <v>881</v>
      </c>
      <c r="Q1172" s="72" t="s">
        <v>882</v>
      </c>
      <c r="R1172" s="72" t="s">
        <v>349</v>
      </c>
      <c r="S1172" s="72" t="s">
        <v>1363</v>
      </c>
      <c r="U1172" s="72"/>
    </row>
    <row r="1173" spans="1:21" ht="18.75" customHeight="1" x14ac:dyDescent="0.2">
      <c r="A1173" s="79"/>
      <c r="B1173" s="79"/>
      <c r="C1173" s="80"/>
      <c r="D1173" s="66"/>
      <c r="E1173" s="160" t="s">
        <v>21</v>
      </c>
      <c r="F1173" s="160" t="s">
        <v>883</v>
      </c>
      <c r="G1173" s="160" t="s">
        <v>884</v>
      </c>
      <c r="H1173" s="82" t="s">
        <v>419</v>
      </c>
      <c r="I1173" s="161">
        <v>40.99</v>
      </c>
      <c r="J1173" s="162">
        <v>49.26</v>
      </c>
      <c r="K1173" s="91"/>
      <c r="L1173" s="66"/>
      <c r="M1173" s="66"/>
      <c r="N1173" s="66"/>
      <c r="O1173" s="66"/>
      <c r="P1173" s="66"/>
      <c r="Q1173" s="66"/>
      <c r="R1173" s="72"/>
      <c r="T1173" s="66"/>
      <c r="U1173" s="66"/>
    </row>
    <row r="1174" spans="1:21" ht="18.75" customHeight="1" x14ac:dyDescent="0.2">
      <c r="A1174" s="79"/>
      <c r="B1174" s="79"/>
      <c r="C1174" s="80"/>
      <c r="D1174" s="66"/>
      <c r="E1174" s="160" t="s">
        <v>55</v>
      </c>
      <c r="F1174" s="160" t="s">
        <v>1364</v>
      </c>
      <c r="G1174" s="160" t="s">
        <v>360</v>
      </c>
      <c r="H1174" s="82" t="s">
        <v>349</v>
      </c>
      <c r="I1174" s="161">
        <v>17.8</v>
      </c>
      <c r="J1174" s="84"/>
      <c r="K1174" s="91"/>
      <c r="L1174" s="66"/>
      <c r="M1174" s="66"/>
      <c r="N1174" s="66"/>
      <c r="O1174" s="66"/>
      <c r="P1174" s="66"/>
      <c r="Q1174" s="66"/>
      <c r="R1174" s="72"/>
      <c r="T1174" s="66"/>
      <c r="U1174" s="66"/>
    </row>
    <row r="1175" spans="1:21" ht="18.75" customHeight="1" x14ac:dyDescent="0.2">
      <c r="A1175" s="79"/>
      <c r="B1175" s="79"/>
      <c r="C1175" s="80"/>
      <c r="D1175" s="66"/>
      <c r="E1175" s="86"/>
      <c r="F1175" s="66"/>
      <c r="G1175" s="66" t="s">
        <v>353</v>
      </c>
      <c r="H1175" s="82"/>
      <c r="I1175" s="87"/>
      <c r="J1175" s="84"/>
      <c r="K1175" s="91"/>
      <c r="L1175" s="66"/>
      <c r="M1175" s="66"/>
      <c r="N1175" s="66"/>
      <c r="O1175" s="66"/>
      <c r="P1175" s="66"/>
      <c r="Q1175" s="66"/>
      <c r="R1175" s="72"/>
      <c r="T1175" s="66"/>
      <c r="U1175" s="66"/>
    </row>
    <row r="1176" spans="1:21" ht="18.75" customHeight="1" x14ac:dyDescent="0.2">
      <c r="A1176" s="70">
        <v>40146</v>
      </c>
      <c r="B1176" s="70">
        <v>40160</v>
      </c>
      <c r="C1176" s="71">
        <v>23301</v>
      </c>
      <c r="D1176" s="72" t="s">
        <v>142</v>
      </c>
      <c r="E1176" s="157" t="s">
        <v>367</v>
      </c>
      <c r="F1176" s="157" t="s">
        <v>367</v>
      </c>
      <c r="G1176" s="157" t="s">
        <v>368</v>
      </c>
      <c r="H1176" s="74" t="s">
        <v>349</v>
      </c>
      <c r="I1176" s="158">
        <v>85.68</v>
      </c>
      <c r="J1176" s="76"/>
      <c r="K1176" s="76">
        <v>25.89</v>
      </c>
      <c r="L1176" s="76"/>
      <c r="M1176" s="70">
        <v>40358</v>
      </c>
      <c r="N1176" s="89">
        <f>DATE(YEAR(M1176)+8,MONTH(M1176),DAY(M1176)-1)</f>
        <v>43279</v>
      </c>
      <c r="O1176" s="73" t="s">
        <v>19</v>
      </c>
      <c r="P1176" s="73" t="s">
        <v>367</v>
      </c>
      <c r="Q1176" s="73" t="s">
        <v>368</v>
      </c>
      <c r="R1176" s="72" t="s">
        <v>349</v>
      </c>
      <c r="S1176" s="72"/>
      <c r="T1176" s="72"/>
      <c r="U1176" s="72"/>
    </row>
    <row r="1177" spans="1:21" ht="18.75" customHeight="1" x14ac:dyDescent="0.2">
      <c r="A1177" s="79"/>
      <c r="B1177" s="79"/>
      <c r="C1177" s="80"/>
      <c r="D1177" s="66"/>
      <c r="E1177" s="86"/>
      <c r="F1177" s="66"/>
      <c r="G1177" s="66" t="s">
        <v>353</v>
      </c>
      <c r="H1177" s="82"/>
      <c r="I1177" s="87"/>
      <c r="J1177" s="84"/>
      <c r="K1177" s="91"/>
      <c r="L1177" s="66"/>
      <c r="M1177" s="66"/>
      <c r="N1177" s="66"/>
      <c r="O1177" s="66"/>
      <c r="P1177" s="66"/>
      <c r="Q1177" s="66"/>
      <c r="R1177" s="72"/>
      <c r="T1177" s="66"/>
      <c r="U1177" s="66"/>
    </row>
    <row r="1178" spans="1:21" ht="18.75" customHeight="1" x14ac:dyDescent="0.2">
      <c r="A1178" s="70">
        <v>40146</v>
      </c>
      <c r="B1178" s="70">
        <v>40160</v>
      </c>
      <c r="C1178" s="71">
        <v>23304</v>
      </c>
      <c r="D1178" s="72" t="s">
        <v>372</v>
      </c>
      <c r="E1178" s="157" t="s">
        <v>19</v>
      </c>
      <c r="F1178" s="157" t="s">
        <v>373</v>
      </c>
      <c r="G1178" s="157" t="s">
        <v>374</v>
      </c>
      <c r="H1178" s="74" t="s">
        <v>349</v>
      </c>
      <c r="I1178" s="158">
        <v>77.45</v>
      </c>
      <c r="J1178" s="76"/>
      <c r="K1178" s="76">
        <v>38.909999999999997</v>
      </c>
      <c r="L1178" s="76"/>
      <c r="M1178" s="70">
        <v>40360</v>
      </c>
      <c r="N1178" s="89">
        <f>DATE(YEAR(M1178)+8,MONTH(M1178),DAY(M1178)-1)</f>
        <v>43281</v>
      </c>
      <c r="O1178" s="72" t="s">
        <v>19</v>
      </c>
      <c r="P1178" s="72" t="s">
        <v>373</v>
      </c>
      <c r="Q1178" s="72" t="s">
        <v>374</v>
      </c>
      <c r="R1178" s="72" t="s">
        <v>349</v>
      </c>
      <c r="S1178" s="72"/>
      <c r="T1178" s="72"/>
      <c r="U1178" s="72"/>
    </row>
    <row r="1179" spans="1:21" ht="18.75" customHeight="1" x14ac:dyDescent="0.2">
      <c r="A1179" s="102"/>
      <c r="B1179" s="102"/>
      <c r="C1179" s="102"/>
      <c r="D1179" s="66"/>
      <c r="E1179" s="66"/>
      <c r="F1179" s="66"/>
      <c r="G1179" s="66" t="s">
        <v>353</v>
      </c>
      <c r="H1179" s="82"/>
      <c r="I1179" s="84"/>
      <c r="J1179" s="103"/>
      <c r="K1179" s="66"/>
      <c r="L1179" s="66"/>
      <c r="M1179" s="66"/>
      <c r="N1179" s="66"/>
      <c r="O1179" s="66"/>
      <c r="P1179" s="66"/>
      <c r="Q1179" s="66"/>
      <c r="R1179" s="72"/>
      <c r="T1179" s="66"/>
      <c r="U1179" s="66"/>
    </row>
    <row r="1180" spans="1:21" ht="18.75" customHeight="1" x14ac:dyDescent="0.2">
      <c r="A1180" s="70">
        <v>40195</v>
      </c>
      <c r="B1180" s="70">
        <v>40209</v>
      </c>
      <c r="C1180" s="71">
        <v>33607</v>
      </c>
      <c r="D1180" s="72" t="s">
        <v>399</v>
      </c>
      <c r="E1180" s="72" t="s">
        <v>19</v>
      </c>
      <c r="F1180" s="72" t="s">
        <v>1105</v>
      </c>
      <c r="G1180" s="72" t="s">
        <v>383</v>
      </c>
      <c r="H1180" s="74" t="s">
        <v>349</v>
      </c>
      <c r="I1180" s="107">
        <v>71.52</v>
      </c>
      <c r="J1180" s="76"/>
      <c r="K1180" s="76">
        <v>48.19</v>
      </c>
      <c r="L1180" s="76"/>
      <c r="M1180" s="70">
        <v>40455</v>
      </c>
      <c r="N1180" s="146">
        <v>41820</v>
      </c>
      <c r="O1180" s="72" t="s">
        <v>19</v>
      </c>
      <c r="P1180" s="72" t="s">
        <v>1105</v>
      </c>
      <c r="Q1180" s="72" t="s">
        <v>383</v>
      </c>
      <c r="R1180" s="72" t="s">
        <v>349</v>
      </c>
      <c r="S1180" s="72" t="s">
        <v>1172</v>
      </c>
      <c r="T1180" s="72"/>
      <c r="U1180" s="72"/>
    </row>
    <row r="1181" spans="1:21" ht="18.75" customHeight="1" x14ac:dyDescent="0.2">
      <c r="A1181" s="79"/>
      <c r="B1181" s="79"/>
      <c r="C1181" s="80"/>
      <c r="D1181" s="66"/>
      <c r="E1181" s="66" t="s">
        <v>21</v>
      </c>
      <c r="F1181" s="66" t="s">
        <v>1365</v>
      </c>
      <c r="G1181" s="66" t="s">
        <v>591</v>
      </c>
      <c r="H1181" s="82" t="s">
        <v>349</v>
      </c>
      <c r="I1181" s="115">
        <v>28.48</v>
      </c>
      <c r="J1181" s="84"/>
      <c r="K1181" s="91"/>
      <c r="L1181" s="66"/>
      <c r="M1181" s="66"/>
      <c r="N1181" s="66"/>
      <c r="O1181" s="66"/>
      <c r="P1181" s="66"/>
      <c r="Q1181" s="66"/>
      <c r="R1181" s="72"/>
      <c r="T1181" s="66"/>
      <c r="U1181" s="66"/>
    </row>
    <row r="1182" spans="1:21" ht="18.75" customHeight="1" x14ac:dyDescent="0.2">
      <c r="A1182" s="79"/>
      <c r="B1182" s="79"/>
      <c r="C1182" s="80"/>
      <c r="D1182" s="66"/>
      <c r="E1182" s="86"/>
      <c r="F1182" s="66"/>
      <c r="G1182" s="66" t="s">
        <v>353</v>
      </c>
      <c r="H1182" s="82"/>
      <c r="I1182" s="87"/>
      <c r="J1182" s="84"/>
      <c r="K1182" s="91"/>
      <c r="L1182" s="66"/>
      <c r="M1182" s="66"/>
      <c r="N1182" s="66"/>
      <c r="O1182" s="66"/>
      <c r="P1182" s="66"/>
      <c r="Q1182" s="66"/>
      <c r="R1182" s="72"/>
      <c r="T1182" s="66"/>
      <c r="U1182" s="66"/>
    </row>
    <row r="1183" spans="1:21" ht="18.75" customHeight="1" x14ac:dyDescent="0.2">
      <c r="A1183" s="70">
        <v>40202</v>
      </c>
      <c r="B1183" s="70">
        <v>40216</v>
      </c>
      <c r="C1183" s="71">
        <v>33906</v>
      </c>
      <c r="D1183" s="72" t="s">
        <v>425</v>
      </c>
      <c r="E1183" s="72" t="s">
        <v>21</v>
      </c>
      <c r="F1183" s="72" t="s">
        <v>426</v>
      </c>
      <c r="G1183" s="72" t="s">
        <v>427</v>
      </c>
      <c r="H1183" s="74" t="s">
        <v>349</v>
      </c>
      <c r="I1183" s="107">
        <v>64.260000000000005</v>
      </c>
      <c r="J1183" s="76"/>
      <c r="K1183" s="76">
        <v>39.409999999999997</v>
      </c>
      <c r="L1183" s="76"/>
      <c r="M1183" s="70">
        <v>40401</v>
      </c>
      <c r="N1183" s="89">
        <f>DATE(YEAR(M1183)+8,MONTH(M1183),DAY(M1183)-1)</f>
        <v>43322</v>
      </c>
      <c r="O1183" s="72" t="s">
        <v>21</v>
      </c>
      <c r="P1183" s="72" t="s">
        <v>426</v>
      </c>
      <c r="Q1183" s="72" t="s">
        <v>427</v>
      </c>
      <c r="R1183" s="72" t="s">
        <v>349</v>
      </c>
      <c r="S1183" s="72"/>
      <c r="T1183" s="72"/>
      <c r="U1183" s="72"/>
    </row>
    <row r="1184" spans="1:21" ht="18.75" customHeight="1" x14ac:dyDescent="0.2">
      <c r="A1184" s="79"/>
      <c r="B1184" s="79"/>
      <c r="C1184" s="80"/>
      <c r="D1184" s="66"/>
      <c r="E1184" s="66" t="s">
        <v>19</v>
      </c>
      <c r="F1184" s="66" t="s">
        <v>1366</v>
      </c>
      <c r="G1184" s="66" t="s">
        <v>476</v>
      </c>
      <c r="H1184" s="82" t="s">
        <v>349</v>
      </c>
      <c r="I1184" s="115">
        <v>35.74</v>
      </c>
      <c r="J1184" s="84"/>
      <c r="K1184" s="91"/>
      <c r="L1184" s="66"/>
      <c r="M1184" s="66"/>
      <c r="N1184" s="66"/>
      <c r="O1184" s="66"/>
      <c r="P1184" s="66"/>
      <c r="Q1184" s="66"/>
      <c r="R1184" s="72"/>
      <c r="T1184" s="66"/>
      <c r="U1184" s="66"/>
    </row>
    <row r="1185" spans="1:21" ht="18.75" customHeight="1" x14ac:dyDescent="0.2">
      <c r="A1185" s="79"/>
      <c r="B1185" s="79"/>
      <c r="C1185" s="80"/>
      <c r="D1185" s="66"/>
      <c r="E1185" s="86"/>
      <c r="F1185" s="66"/>
      <c r="G1185" s="66" t="s">
        <v>353</v>
      </c>
      <c r="H1185" s="82"/>
      <c r="I1185" s="87"/>
      <c r="J1185" s="84"/>
      <c r="K1185" s="91"/>
      <c r="L1185" s="66"/>
      <c r="M1185" s="66"/>
      <c r="N1185" s="66"/>
      <c r="O1185" s="66"/>
      <c r="P1185" s="66"/>
      <c r="Q1185" s="66"/>
      <c r="R1185" s="72"/>
      <c r="T1185" s="66"/>
      <c r="U1185" s="66"/>
    </row>
    <row r="1186" spans="1:21" ht="18.75" customHeight="1" x14ac:dyDescent="0.2">
      <c r="A1186" s="70">
        <v>40230</v>
      </c>
      <c r="B1186" s="70">
        <v>40244</v>
      </c>
      <c r="C1186" s="71">
        <v>33907</v>
      </c>
      <c r="D1186" s="72" t="s">
        <v>431</v>
      </c>
      <c r="E1186" s="72" t="s">
        <v>21</v>
      </c>
      <c r="F1186" s="72" t="s">
        <v>432</v>
      </c>
      <c r="G1186" s="72" t="s">
        <v>358</v>
      </c>
      <c r="H1186" s="74" t="s">
        <v>349</v>
      </c>
      <c r="I1186" s="107">
        <v>66.900000000000006</v>
      </c>
      <c r="J1186" s="76"/>
      <c r="K1186" s="76">
        <v>38.700000000000003</v>
      </c>
      <c r="L1186" s="76"/>
      <c r="M1186" s="70">
        <v>40413</v>
      </c>
      <c r="N1186" s="146">
        <v>41820</v>
      </c>
      <c r="O1186" s="72" t="s">
        <v>21</v>
      </c>
      <c r="P1186" s="72" t="s">
        <v>432</v>
      </c>
      <c r="Q1186" s="72" t="s">
        <v>358</v>
      </c>
      <c r="R1186" s="72" t="s">
        <v>349</v>
      </c>
      <c r="S1186" s="72" t="s">
        <v>1283</v>
      </c>
      <c r="T1186" s="72"/>
      <c r="U1186" s="72"/>
    </row>
    <row r="1187" spans="1:21" ht="18.75" customHeight="1" x14ac:dyDescent="0.2">
      <c r="A1187" s="79"/>
      <c r="B1187" s="79"/>
      <c r="C1187" s="80"/>
      <c r="D1187" s="66"/>
      <c r="E1187" s="66" t="s">
        <v>19</v>
      </c>
      <c r="F1187" s="66" t="s">
        <v>1367</v>
      </c>
      <c r="G1187" s="66" t="s">
        <v>889</v>
      </c>
      <c r="H1187" s="82" t="s">
        <v>349</v>
      </c>
      <c r="I1187" s="115">
        <v>26.49</v>
      </c>
      <c r="J1187" s="84"/>
      <c r="K1187" s="91"/>
      <c r="L1187" s="66"/>
      <c r="M1187" s="66"/>
      <c r="N1187" s="66"/>
      <c r="O1187" s="66"/>
      <c r="P1187" s="66"/>
      <c r="Q1187" s="66"/>
      <c r="R1187" s="72"/>
      <c r="T1187" s="66"/>
      <c r="U1187" s="66"/>
    </row>
    <row r="1188" spans="1:21" ht="18.75" customHeight="1" x14ac:dyDescent="0.2">
      <c r="A1188" s="79"/>
      <c r="B1188" s="79"/>
      <c r="C1188" s="80"/>
      <c r="D1188" s="66"/>
      <c r="E1188" s="66" t="s">
        <v>38</v>
      </c>
      <c r="F1188" s="66" t="s">
        <v>1368</v>
      </c>
      <c r="G1188" s="66" t="s">
        <v>1369</v>
      </c>
      <c r="H1188" s="82" t="s">
        <v>419</v>
      </c>
      <c r="I1188" s="115">
        <v>6.61</v>
      </c>
      <c r="J1188" s="84"/>
      <c r="K1188" s="91"/>
      <c r="L1188" s="66"/>
      <c r="M1188" s="66"/>
      <c r="N1188" s="66"/>
      <c r="O1188" s="66"/>
      <c r="P1188" s="66"/>
      <c r="Q1188" s="66"/>
      <c r="R1188" s="72"/>
      <c r="T1188" s="66"/>
      <c r="U1188" s="66"/>
    </row>
    <row r="1189" spans="1:21" ht="18.75" customHeight="1" x14ac:dyDescent="0.2">
      <c r="A1189" s="79"/>
      <c r="B1189" s="79"/>
      <c r="C1189" s="80"/>
      <c r="D1189" s="66"/>
      <c r="E1189" s="86"/>
      <c r="F1189" s="66"/>
      <c r="G1189" s="66" t="s">
        <v>353</v>
      </c>
      <c r="H1189" s="82"/>
      <c r="I1189" s="87"/>
      <c r="J1189" s="84"/>
      <c r="K1189" s="91"/>
      <c r="L1189" s="66"/>
      <c r="M1189" s="66"/>
      <c r="N1189" s="66"/>
      <c r="O1189" s="66"/>
      <c r="P1189" s="66"/>
      <c r="Q1189" s="66"/>
      <c r="R1189" s="72"/>
      <c r="T1189" s="66"/>
      <c r="U1189" s="66"/>
    </row>
    <row r="1190" spans="1:21" ht="18.75" customHeight="1" x14ac:dyDescent="0.2">
      <c r="A1190" s="70">
        <v>40237</v>
      </c>
      <c r="B1190" s="70">
        <v>40251</v>
      </c>
      <c r="C1190" s="71">
        <v>23201</v>
      </c>
      <c r="D1190" s="72" t="s">
        <v>719</v>
      </c>
      <c r="E1190" s="72" t="s">
        <v>256</v>
      </c>
      <c r="F1190" s="72" t="s">
        <v>256</v>
      </c>
      <c r="G1190" s="72" t="s">
        <v>1188</v>
      </c>
      <c r="H1190" s="74" t="s">
        <v>349</v>
      </c>
      <c r="I1190" s="107">
        <v>36.26</v>
      </c>
      <c r="J1190" s="121">
        <v>58.86</v>
      </c>
      <c r="K1190" s="76">
        <v>62.29</v>
      </c>
      <c r="L1190" s="76">
        <v>60.76</v>
      </c>
      <c r="M1190" s="70">
        <v>40299</v>
      </c>
      <c r="N1190" s="89">
        <f>DATE(YEAR(M1190)+8,MONTH(M1190),DAY(M1190)-1)</f>
        <v>43220</v>
      </c>
      <c r="O1190" s="72"/>
      <c r="P1190" s="72"/>
      <c r="Q1190" s="72"/>
      <c r="R1190" s="72"/>
      <c r="S1190" s="72"/>
      <c r="T1190" s="72"/>
      <c r="U1190" s="72"/>
    </row>
    <row r="1191" spans="1:21" ht="18.75" customHeight="1" x14ac:dyDescent="0.2">
      <c r="A1191" s="79"/>
      <c r="B1191" s="79"/>
      <c r="C1191" s="80"/>
      <c r="D1191" s="66"/>
      <c r="E1191" s="66" t="s">
        <v>19</v>
      </c>
      <c r="F1191" s="66" t="s">
        <v>1370</v>
      </c>
      <c r="G1191" s="66" t="s">
        <v>358</v>
      </c>
      <c r="H1191" s="82" t="s">
        <v>349</v>
      </c>
      <c r="I1191" s="115">
        <v>24.34</v>
      </c>
      <c r="J1191" s="123">
        <v>41.14</v>
      </c>
      <c r="K1191" s="91"/>
      <c r="L1191" s="66"/>
      <c r="M1191" s="66"/>
      <c r="N1191" s="66"/>
      <c r="O1191" s="66"/>
      <c r="P1191" s="66"/>
      <c r="Q1191" s="66"/>
      <c r="R1191" s="72"/>
      <c r="T1191" s="66"/>
      <c r="U1191" s="66"/>
    </row>
    <row r="1192" spans="1:21" ht="18.75" customHeight="1" x14ac:dyDescent="0.2">
      <c r="A1192" s="79"/>
      <c r="B1192" s="79"/>
      <c r="C1192" s="80"/>
      <c r="D1192" s="66"/>
      <c r="E1192" s="66" t="s">
        <v>21</v>
      </c>
      <c r="F1192" s="66" t="s">
        <v>541</v>
      </c>
      <c r="G1192" s="66" t="s">
        <v>570</v>
      </c>
      <c r="H1192" s="82" t="s">
        <v>349</v>
      </c>
      <c r="I1192" s="115">
        <v>17.420000000000002</v>
      </c>
      <c r="J1192" s="84"/>
      <c r="K1192" s="91"/>
      <c r="L1192" s="66"/>
      <c r="M1192" s="66"/>
      <c r="N1192" s="66"/>
      <c r="O1192" s="66"/>
      <c r="P1192" s="66"/>
      <c r="Q1192" s="66"/>
      <c r="R1192" s="72"/>
      <c r="T1192" s="66"/>
      <c r="U1192" s="66"/>
    </row>
    <row r="1193" spans="1:21" ht="18.75" customHeight="1" x14ac:dyDescent="0.2">
      <c r="A1193" s="79"/>
      <c r="B1193" s="79"/>
      <c r="C1193" s="80"/>
      <c r="D1193" s="66"/>
      <c r="E1193" s="66" t="s">
        <v>55</v>
      </c>
      <c r="F1193" s="66" t="s">
        <v>1371</v>
      </c>
      <c r="G1193" s="66" t="s">
        <v>861</v>
      </c>
      <c r="H1193" s="82" t="s">
        <v>349</v>
      </c>
      <c r="I1193" s="115">
        <v>16.91</v>
      </c>
      <c r="J1193" s="84"/>
      <c r="K1193" s="91"/>
      <c r="L1193" s="66"/>
      <c r="M1193" s="66"/>
      <c r="N1193" s="66"/>
      <c r="O1193" s="66"/>
      <c r="P1193" s="66"/>
      <c r="Q1193" s="66"/>
      <c r="R1193" s="72"/>
      <c r="T1193" s="66"/>
      <c r="U1193" s="66"/>
    </row>
    <row r="1194" spans="1:21" ht="18.75" customHeight="1" x14ac:dyDescent="0.2">
      <c r="A1194" s="79"/>
      <c r="B1194" s="79"/>
      <c r="C1194" s="80"/>
      <c r="D1194" s="66"/>
      <c r="E1194" s="66" t="s">
        <v>1372</v>
      </c>
      <c r="F1194" s="66" t="s">
        <v>1372</v>
      </c>
      <c r="G1194" s="66" t="s">
        <v>376</v>
      </c>
      <c r="H1194" s="82" t="s">
        <v>349</v>
      </c>
      <c r="I1194" s="115">
        <v>5.07</v>
      </c>
      <c r="J1194" s="84"/>
      <c r="K1194" s="91"/>
      <c r="L1194" s="66"/>
      <c r="M1194" s="66"/>
      <c r="N1194" s="66"/>
      <c r="O1194" s="66"/>
      <c r="P1194" s="66"/>
      <c r="Q1194" s="66"/>
      <c r="R1194" s="72"/>
      <c r="T1194" s="66"/>
      <c r="U1194" s="66"/>
    </row>
    <row r="1195" spans="1:21" ht="18.75" customHeight="1" x14ac:dyDescent="0.2">
      <c r="A1195" s="79"/>
      <c r="B1195" s="79"/>
      <c r="C1195" s="80"/>
      <c r="D1195" s="66"/>
      <c r="E1195" s="86"/>
      <c r="F1195" s="66"/>
      <c r="G1195" s="66" t="s">
        <v>353</v>
      </c>
      <c r="H1195" s="82"/>
      <c r="I1195" s="87"/>
      <c r="J1195" s="84"/>
      <c r="K1195" s="91"/>
      <c r="L1195" s="66"/>
      <c r="M1195" s="66"/>
      <c r="N1195" s="66"/>
      <c r="O1195" s="66"/>
      <c r="P1195" s="66"/>
      <c r="Q1195" s="66"/>
      <c r="R1195" s="72"/>
      <c r="T1195" s="66"/>
      <c r="U1195" s="66"/>
    </row>
    <row r="1196" spans="1:21" ht="18.75" customHeight="1" x14ac:dyDescent="0.2">
      <c r="A1196" s="70">
        <v>40237</v>
      </c>
      <c r="B1196" s="70">
        <v>40251</v>
      </c>
      <c r="C1196" s="71">
        <v>33801</v>
      </c>
      <c r="D1196" s="72" t="s">
        <v>412</v>
      </c>
      <c r="E1196" s="72" t="s">
        <v>19</v>
      </c>
      <c r="F1196" s="72" t="s">
        <v>1373</v>
      </c>
      <c r="G1196" s="72" t="s">
        <v>392</v>
      </c>
      <c r="H1196" s="74" t="s">
        <v>349</v>
      </c>
      <c r="I1196" s="107">
        <v>48.61</v>
      </c>
      <c r="J1196" s="121">
        <v>53.73</v>
      </c>
      <c r="K1196" s="76">
        <v>46.89</v>
      </c>
      <c r="L1196" s="76">
        <v>46.9</v>
      </c>
      <c r="M1196" s="70">
        <v>40332</v>
      </c>
      <c r="N1196" s="89">
        <f>DATE(YEAR(M1196)+8,MONTH(M1196),DAY(M1196)-1)</f>
        <v>43253</v>
      </c>
      <c r="O1196" s="72" t="s">
        <v>21</v>
      </c>
      <c r="P1196" s="72" t="s">
        <v>1093</v>
      </c>
      <c r="Q1196" s="72" t="s">
        <v>355</v>
      </c>
      <c r="R1196" s="72" t="s">
        <v>349</v>
      </c>
      <c r="S1196" s="72"/>
      <c r="T1196" s="72"/>
      <c r="U1196" s="72"/>
    </row>
    <row r="1197" spans="1:21" ht="18.75" customHeight="1" x14ac:dyDescent="0.2">
      <c r="A1197" s="79"/>
      <c r="B1197" s="79"/>
      <c r="C1197" s="80"/>
      <c r="D1197" s="66"/>
      <c r="E1197" s="66" t="s">
        <v>21</v>
      </c>
      <c r="F1197" s="66" t="s">
        <v>1374</v>
      </c>
      <c r="G1197" s="66" t="s">
        <v>1375</v>
      </c>
      <c r="H1197" s="82" t="s">
        <v>349</v>
      </c>
      <c r="I1197" s="115">
        <v>38.729999999999997</v>
      </c>
      <c r="J1197" s="123">
        <v>46.27</v>
      </c>
      <c r="K1197" s="91"/>
      <c r="L1197" s="66"/>
      <c r="M1197" s="66"/>
      <c r="N1197" s="66"/>
      <c r="O1197" s="66"/>
      <c r="P1197" s="66"/>
      <c r="Q1197" s="66"/>
      <c r="R1197" s="72"/>
      <c r="T1197" s="66"/>
      <c r="U1197" s="66"/>
    </row>
    <row r="1198" spans="1:21" ht="18.75" customHeight="1" x14ac:dyDescent="0.2">
      <c r="A1198" s="79"/>
      <c r="B1198" s="79"/>
      <c r="C1198" s="80"/>
      <c r="D1198" s="66"/>
      <c r="E1198" s="66" t="s">
        <v>38</v>
      </c>
      <c r="F1198" s="66" t="s">
        <v>616</v>
      </c>
      <c r="G1198" s="66" t="s">
        <v>1376</v>
      </c>
      <c r="H1198" s="82" t="s">
        <v>349</v>
      </c>
      <c r="I1198" s="115">
        <v>12.66</v>
      </c>
      <c r="J1198" s="84"/>
      <c r="K1198" s="91"/>
      <c r="L1198" s="66"/>
      <c r="M1198" s="66"/>
      <c r="N1198" s="66"/>
      <c r="O1198" s="66"/>
      <c r="P1198" s="66"/>
      <c r="Q1198" s="66"/>
      <c r="R1198" s="72"/>
      <c r="T1198" s="66"/>
      <c r="U1198" s="66"/>
    </row>
    <row r="1199" spans="1:21" ht="18.75" customHeight="1" x14ac:dyDescent="0.2">
      <c r="A1199" s="79"/>
      <c r="B1199" s="79"/>
      <c r="C1199" s="80"/>
      <c r="D1199" s="66"/>
      <c r="E1199" s="86"/>
      <c r="F1199" s="66"/>
      <c r="G1199" s="66" t="s">
        <v>353</v>
      </c>
      <c r="H1199" s="82"/>
      <c r="I1199" s="87"/>
      <c r="J1199" s="84"/>
      <c r="K1199" s="91"/>
      <c r="L1199" s="66"/>
      <c r="M1199" s="66"/>
      <c r="N1199" s="66"/>
      <c r="O1199" s="66"/>
      <c r="P1199" s="66"/>
      <c r="Q1199" s="66"/>
      <c r="R1199" s="72"/>
      <c r="T1199" s="66"/>
      <c r="U1199" s="66"/>
    </row>
    <row r="1200" spans="1:21" ht="18.75" customHeight="1" x14ac:dyDescent="0.2">
      <c r="A1200" s="70">
        <v>40244</v>
      </c>
      <c r="B1200" s="70">
        <v>40258</v>
      </c>
      <c r="C1200" s="71">
        <v>33703</v>
      </c>
      <c r="D1200" s="72" t="s">
        <v>402</v>
      </c>
      <c r="E1200" s="72" t="s">
        <v>19</v>
      </c>
      <c r="F1200" s="72" t="s">
        <v>403</v>
      </c>
      <c r="G1200" s="72" t="s">
        <v>404</v>
      </c>
      <c r="H1200" s="74" t="s">
        <v>349</v>
      </c>
      <c r="I1200" s="107">
        <v>83.52</v>
      </c>
      <c r="J1200" s="76"/>
      <c r="K1200" s="76">
        <v>38.32</v>
      </c>
      <c r="L1200" s="76"/>
      <c r="M1200" s="70">
        <v>40401</v>
      </c>
      <c r="N1200" s="146">
        <v>41820</v>
      </c>
      <c r="O1200" s="72"/>
      <c r="P1200" s="72"/>
      <c r="Q1200" s="72"/>
      <c r="R1200" s="72"/>
      <c r="S1200" s="72" t="s">
        <v>1339</v>
      </c>
      <c r="T1200" s="72"/>
      <c r="U1200" s="72"/>
    </row>
    <row r="1201" spans="1:21" ht="18.75" customHeight="1" x14ac:dyDescent="0.2">
      <c r="A1201" s="79"/>
      <c r="B1201" s="79"/>
      <c r="C1201" s="80"/>
      <c r="D1201" s="66"/>
      <c r="E1201" s="66" t="s">
        <v>1377</v>
      </c>
      <c r="F1201" s="66" t="s">
        <v>1037</v>
      </c>
      <c r="G1201" s="66" t="s">
        <v>433</v>
      </c>
      <c r="H1201" s="82" t="s">
        <v>349</v>
      </c>
      <c r="I1201" s="115">
        <v>16.48</v>
      </c>
      <c r="J1201" s="84"/>
      <c r="K1201" s="91"/>
      <c r="L1201" s="66"/>
      <c r="M1201" s="66"/>
      <c r="N1201" s="66"/>
      <c r="O1201" s="66"/>
      <c r="P1201" s="66"/>
      <c r="Q1201" s="66"/>
      <c r="R1201" s="72"/>
      <c r="T1201" s="66"/>
      <c r="U1201" s="66"/>
    </row>
    <row r="1202" spans="1:21" ht="18.75" customHeight="1" x14ac:dyDescent="0.2">
      <c r="A1202" s="79"/>
      <c r="B1202" s="79"/>
      <c r="C1202" s="80"/>
      <c r="D1202" s="66"/>
      <c r="E1202" s="86"/>
      <c r="F1202" s="66"/>
      <c r="G1202" s="66" t="s">
        <v>353</v>
      </c>
      <c r="H1202" s="82"/>
      <c r="I1202" s="87"/>
      <c r="J1202" s="84"/>
      <c r="K1202" s="91"/>
      <c r="L1202" s="66"/>
      <c r="M1202" s="66"/>
      <c r="N1202" s="66"/>
      <c r="O1202" s="66"/>
      <c r="P1202" s="66"/>
      <c r="Q1202" s="66"/>
      <c r="R1202" s="72"/>
      <c r="T1202" s="66"/>
      <c r="U1202" s="66"/>
    </row>
    <row r="1203" spans="1:21" ht="18.75" customHeight="1" x14ac:dyDescent="0.2">
      <c r="A1203" s="70">
        <v>40244</v>
      </c>
      <c r="B1203" s="70">
        <v>40258</v>
      </c>
      <c r="C1203" s="71">
        <v>33707</v>
      </c>
      <c r="D1203" s="72" t="s">
        <v>408</v>
      </c>
      <c r="E1203" s="72" t="s">
        <v>1098</v>
      </c>
      <c r="F1203" s="72" t="s">
        <v>1098</v>
      </c>
      <c r="G1203" s="72" t="s">
        <v>615</v>
      </c>
      <c r="H1203" s="74" t="s">
        <v>349</v>
      </c>
      <c r="I1203" s="107">
        <v>92.81</v>
      </c>
      <c r="J1203" s="76"/>
      <c r="K1203" s="76">
        <v>37.21</v>
      </c>
      <c r="L1203" s="76"/>
      <c r="M1203" s="70">
        <v>40360</v>
      </c>
      <c r="N1203" s="89">
        <v>43281</v>
      </c>
      <c r="O1203" s="72" t="s">
        <v>1098</v>
      </c>
      <c r="P1203" s="72" t="s">
        <v>1098</v>
      </c>
      <c r="Q1203" s="72" t="s">
        <v>615</v>
      </c>
      <c r="R1203" s="72" t="s">
        <v>349</v>
      </c>
      <c r="S1203" s="111"/>
      <c r="T1203" s="72"/>
      <c r="U1203" s="72"/>
    </row>
    <row r="1204" spans="1:21" ht="18.75" customHeight="1" x14ac:dyDescent="0.2">
      <c r="A1204" s="79"/>
      <c r="B1204" s="79"/>
      <c r="C1204" s="80"/>
      <c r="D1204" s="66"/>
      <c r="E1204" s="86"/>
      <c r="F1204" s="66"/>
      <c r="G1204" s="66" t="s">
        <v>353</v>
      </c>
      <c r="H1204" s="82"/>
      <c r="I1204" s="87"/>
      <c r="J1204" s="84"/>
      <c r="K1204" s="91"/>
      <c r="L1204" s="66"/>
      <c r="M1204" s="66"/>
      <c r="N1204" s="66"/>
      <c r="O1204" s="66"/>
      <c r="P1204" s="66"/>
      <c r="Q1204" s="66"/>
      <c r="R1204" s="72"/>
      <c r="T1204" s="66"/>
      <c r="U1204" s="66"/>
    </row>
    <row r="1205" spans="1:21" ht="18.75" customHeight="1" x14ac:dyDescent="0.2">
      <c r="A1205" s="70">
        <v>40244</v>
      </c>
      <c r="B1205" s="70">
        <v>40258</v>
      </c>
      <c r="C1205" s="71">
        <v>33902</v>
      </c>
      <c r="D1205" s="72" t="s">
        <v>421</v>
      </c>
      <c r="E1205" s="72" t="s">
        <v>19</v>
      </c>
      <c r="F1205" s="72" t="s">
        <v>1378</v>
      </c>
      <c r="G1205" s="72" t="s">
        <v>927</v>
      </c>
      <c r="H1205" s="74" t="s">
        <v>349</v>
      </c>
      <c r="I1205" s="107">
        <v>54.17</v>
      </c>
      <c r="J1205" s="76"/>
      <c r="K1205" s="76">
        <v>47.75</v>
      </c>
      <c r="L1205" s="76"/>
      <c r="M1205" s="70">
        <v>40454</v>
      </c>
      <c r="N1205" s="89">
        <v>43375</v>
      </c>
      <c r="O1205" s="72" t="s">
        <v>118</v>
      </c>
      <c r="P1205" s="72" t="s">
        <v>118</v>
      </c>
      <c r="Q1205" s="72" t="s">
        <v>792</v>
      </c>
      <c r="R1205" s="72" t="s">
        <v>349</v>
      </c>
      <c r="S1205" s="111"/>
      <c r="T1205" s="72"/>
      <c r="U1205" s="72"/>
    </row>
    <row r="1206" spans="1:21" ht="18.75" customHeight="1" x14ac:dyDescent="0.2">
      <c r="A1206" s="79"/>
      <c r="B1206" s="79"/>
      <c r="C1206" s="80"/>
      <c r="D1206" s="66"/>
      <c r="E1206" s="66" t="s">
        <v>21</v>
      </c>
      <c r="F1206" s="66" t="s">
        <v>1326</v>
      </c>
      <c r="G1206" s="66" t="s">
        <v>389</v>
      </c>
      <c r="H1206" s="82" t="s">
        <v>349</v>
      </c>
      <c r="I1206" s="115">
        <v>29.02</v>
      </c>
      <c r="J1206" s="84"/>
      <c r="K1206" s="91"/>
      <c r="L1206" s="66"/>
      <c r="M1206" s="66"/>
      <c r="N1206" s="66"/>
      <c r="O1206" s="66"/>
      <c r="P1206" s="66"/>
      <c r="Q1206" s="66"/>
      <c r="R1206" s="72"/>
      <c r="T1206" s="66"/>
      <c r="U1206" s="66"/>
    </row>
    <row r="1207" spans="1:21" ht="18.75" customHeight="1" x14ac:dyDescent="0.2">
      <c r="A1207" s="79"/>
      <c r="B1207" s="79"/>
      <c r="C1207" s="80"/>
      <c r="D1207" s="66"/>
      <c r="E1207" s="66" t="s">
        <v>38</v>
      </c>
      <c r="F1207" s="66" t="s">
        <v>1379</v>
      </c>
      <c r="G1207" s="66" t="s">
        <v>958</v>
      </c>
      <c r="H1207" s="82" t="s">
        <v>349</v>
      </c>
      <c r="I1207" s="115">
        <v>8.99</v>
      </c>
      <c r="J1207" s="84"/>
      <c r="K1207" s="91"/>
      <c r="L1207" s="66"/>
      <c r="M1207" s="66"/>
      <c r="N1207" s="66"/>
      <c r="O1207" s="66"/>
      <c r="P1207" s="66"/>
      <c r="Q1207" s="66"/>
      <c r="R1207" s="72"/>
      <c r="T1207" s="66"/>
      <c r="U1207" s="66"/>
    </row>
    <row r="1208" spans="1:21" ht="18.75" customHeight="1" x14ac:dyDescent="0.2">
      <c r="A1208" s="79"/>
      <c r="B1208" s="79"/>
      <c r="C1208" s="80"/>
      <c r="D1208" s="66"/>
      <c r="E1208" s="66" t="s">
        <v>118</v>
      </c>
      <c r="F1208" s="66" t="s">
        <v>118</v>
      </c>
      <c r="G1208" s="66" t="s">
        <v>792</v>
      </c>
      <c r="H1208" s="82" t="s">
        <v>349</v>
      </c>
      <c r="I1208" s="115">
        <v>6.05</v>
      </c>
      <c r="J1208" s="84"/>
      <c r="K1208" s="91"/>
      <c r="L1208" s="66"/>
      <c r="M1208" s="66"/>
      <c r="N1208" s="66"/>
      <c r="O1208" s="66"/>
      <c r="P1208" s="66"/>
      <c r="Q1208" s="66"/>
      <c r="R1208" s="72"/>
      <c r="T1208" s="66"/>
      <c r="U1208" s="66"/>
    </row>
    <row r="1209" spans="1:21" ht="18.75" customHeight="1" x14ac:dyDescent="0.2">
      <c r="A1209" s="79"/>
      <c r="B1209" s="79"/>
      <c r="C1209" s="80"/>
      <c r="D1209" s="66"/>
      <c r="E1209" s="66" t="s">
        <v>1380</v>
      </c>
      <c r="F1209" s="66" t="s">
        <v>1380</v>
      </c>
      <c r="G1209" s="66" t="s">
        <v>516</v>
      </c>
      <c r="H1209" s="82" t="s">
        <v>349</v>
      </c>
      <c r="I1209" s="115">
        <v>1.77</v>
      </c>
      <c r="J1209" s="84"/>
      <c r="K1209" s="91"/>
      <c r="L1209" s="66"/>
      <c r="M1209" s="66"/>
      <c r="N1209" s="66"/>
      <c r="O1209" s="66"/>
      <c r="P1209" s="66"/>
      <c r="Q1209" s="66"/>
      <c r="R1209" s="72"/>
      <c r="T1209" s="66"/>
      <c r="U1209" s="66"/>
    </row>
    <row r="1210" spans="1:21" ht="18.75" customHeight="1" x14ac:dyDescent="0.2">
      <c r="A1210" s="79"/>
      <c r="B1210" s="79"/>
      <c r="C1210" s="80"/>
      <c r="D1210" s="66"/>
      <c r="E1210" s="86"/>
      <c r="F1210" s="66"/>
      <c r="G1210" s="66" t="s">
        <v>353</v>
      </c>
      <c r="H1210" s="82"/>
      <c r="I1210" s="87"/>
      <c r="J1210" s="84"/>
      <c r="K1210" s="91"/>
      <c r="L1210" s="66"/>
      <c r="M1210" s="66"/>
      <c r="N1210" s="66"/>
      <c r="O1210" s="66"/>
      <c r="P1210" s="66"/>
      <c r="Q1210" s="66"/>
      <c r="R1210" s="72"/>
      <c r="T1210" s="66"/>
      <c r="U1210" s="66"/>
    </row>
    <row r="1211" spans="1:21" ht="18.75" customHeight="1" x14ac:dyDescent="0.2">
      <c r="A1211" s="70">
        <v>40300</v>
      </c>
      <c r="B1211" s="70">
        <v>40314</v>
      </c>
      <c r="C1211" s="71">
        <v>33908</v>
      </c>
      <c r="D1211" s="72" t="s">
        <v>434</v>
      </c>
      <c r="E1211" s="72" t="s">
        <v>592</v>
      </c>
      <c r="F1211" s="72" t="s">
        <v>592</v>
      </c>
      <c r="G1211" s="72" t="s">
        <v>360</v>
      </c>
      <c r="H1211" s="74" t="s">
        <v>349</v>
      </c>
      <c r="I1211" s="107">
        <v>41.71</v>
      </c>
      <c r="J1211" s="121">
        <v>50.98</v>
      </c>
      <c r="K1211" s="76">
        <v>49.71</v>
      </c>
      <c r="L1211" s="76">
        <v>48.72</v>
      </c>
      <c r="M1211" s="70">
        <v>40407</v>
      </c>
      <c r="N1211" s="89">
        <f>DATE(YEAR(M1211)+8,MONTH(M1211),DAY(M1211)-1)</f>
        <v>43328</v>
      </c>
      <c r="O1211" s="72" t="s">
        <v>21</v>
      </c>
      <c r="P1211" s="72" t="s">
        <v>435</v>
      </c>
      <c r="Q1211" s="72" t="s">
        <v>436</v>
      </c>
      <c r="R1211" s="72" t="s">
        <v>349</v>
      </c>
      <c r="S1211" s="72"/>
      <c r="T1211" s="72"/>
      <c r="U1211" s="72"/>
    </row>
    <row r="1212" spans="1:21" ht="18.75" customHeight="1" x14ac:dyDescent="0.2">
      <c r="A1212" s="79"/>
      <c r="B1212" s="79"/>
      <c r="C1212" s="80"/>
      <c r="D1212" s="66"/>
      <c r="E1212" s="66" t="s">
        <v>19</v>
      </c>
      <c r="F1212" s="66" t="s">
        <v>1381</v>
      </c>
      <c r="G1212" s="66" t="s">
        <v>935</v>
      </c>
      <c r="H1212" s="82" t="s">
        <v>349</v>
      </c>
      <c r="I1212" s="115">
        <v>32.840000000000003</v>
      </c>
      <c r="J1212" s="123">
        <v>49.02</v>
      </c>
      <c r="K1212" s="91"/>
      <c r="L1212" s="66"/>
      <c r="M1212" s="66"/>
      <c r="N1212" s="66"/>
      <c r="O1212" s="66"/>
      <c r="P1212" s="66"/>
      <c r="Q1212" s="66"/>
      <c r="R1212" s="72"/>
      <c r="T1212" s="66"/>
      <c r="U1212" s="66"/>
    </row>
    <row r="1213" spans="1:21" ht="18.75" customHeight="1" x14ac:dyDescent="0.2">
      <c r="A1213" s="79"/>
      <c r="B1213" s="79"/>
      <c r="C1213" s="80"/>
      <c r="D1213" s="66"/>
      <c r="E1213" s="66" t="s">
        <v>1382</v>
      </c>
      <c r="F1213" s="66" t="s">
        <v>1382</v>
      </c>
      <c r="G1213" s="66" t="s">
        <v>1022</v>
      </c>
      <c r="H1213" s="82" t="s">
        <v>349</v>
      </c>
      <c r="I1213" s="115">
        <v>25.45</v>
      </c>
      <c r="J1213" s="84"/>
      <c r="K1213" s="91"/>
      <c r="L1213" s="66"/>
      <c r="M1213" s="66"/>
      <c r="N1213" s="66"/>
      <c r="O1213" s="66"/>
      <c r="P1213" s="66"/>
      <c r="Q1213" s="66"/>
      <c r="R1213" s="72"/>
      <c r="T1213" s="66"/>
      <c r="U1213" s="66"/>
    </row>
    <row r="1214" spans="1:21" ht="18.75" customHeight="1" x14ac:dyDescent="0.2">
      <c r="A1214" s="79"/>
      <c r="B1214" s="79"/>
      <c r="C1214" s="80"/>
      <c r="D1214" s="66"/>
      <c r="E1214" s="86"/>
      <c r="F1214" s="66"/>
      <c r="G1214" s="66" t="s">
        <v>353</v>
      </c>
      <c r="H1214" s="82"/>
      <c r="I1214" s="87"/>
      <c r="J1214" s="84"/>
      <c r="K1214" s="91"/>
      <c r="L1214" s="66"/>
      <c r="M1214" s="66"/>
      <c r="N1214" s="66"/>
      <c r="O1214" s="66"/>
      <c r="P1214" s="66"/>
      <c r="Q1214" s="66"/>
      <c r="R1214" s="72"/>
      <c r="T1214" s="66"/>
      <c r="U1214" s="66"/>
    </row>
    <row r="1215" spans="1:21" ht="18.75" customHeight="1" x14ac:dyDescent="0.2">
      <c r="A1215" s="70">
        <v>40328</v>
      </c>
      <c r="B1215" s="70">
        <v>40342</v>
      </c>
      <c r="C1215" s="71">
        <v>13203</v>
      </c>
      <c r="D1215" s="72" t="s">
        <v>346</v>
      </c>
      <c r="E1215" s="72" t="s">
        <v>347</v>
      </c>
      <c r="F1215" s="72" t="s">
        <v>347</v>
      </c>
      <c r="G1215" s="72" t="s">
        <v>348</v>
      </c>
      <c r="H1215" s="74" t="s">
        <v>349</v>
      </c>
      <c r="I1215" s="107">
        <v>91.54</v>
      </c>
      <c r="J1215" s="76"/>
      <c r="K1215" s="76">
        <v>22.89</v>
      </c>
      <c r="L1215" s="76"/>
      <c r="M1215" s="70">
        <v>40575</v>
      </c>
      <c r="N1215" s="146">
        <v>41820</v>
      </c>
      <c r="O1215" s="72" t="s">
        <v>347</v>
      </c>
      <c r="P1215" s="72" t="s">
        <v>347</v>
      </c>
      <c r="Q1215" s="72" t="s">
        <v>348</v>
      </c>
      <c r="R1215" s="72" t="s">
        <v>349</v>
      </c>
      <c r="S1215" s="72" t="s">
        <v>1383</v>
      </c>
      <c r="T1215" s="72"/>
      <c r="U1215" s="72"/>
    </row>
    <row r="1216" spans="1:21" ht="18.75" customHeight="1" x14ac:dyDescent="0.2">
      <c r="A1216" s="79"/>
      <c r="B1216" s="79"/>
      <c r="C1216" s="80"/>
      <c r="D1216" s="66"/>
      <c r="E1216" s="86"/>
      <c r="F1216" s="66"/>
      <c r="G1216" s="66" t="s">
        <v>353</v>
      </c>
      <c r="H1216" s="82"/>
      <c r="I1216" s="87"/>
      <c r="J1216" s="84"/>
      <c r="K1216" s="91"/>
      <c r="L1216" s="66"/>
      <c r="M1216" s="66"/>
      <c r="N1216" s="66"/>
      <c r="O1216" s="66"/>
      <c r="P1216" s="66"/>
      <c r="Q1216" s="66"/>
      <c r="R1216" s="72"/>
      <c r="T1216" s="66"/>
      <c r="U1216" s="66"/>
    </row>
    <row r="1217" spans="1:21" ht="18.75" customHeight="1" x14ac:dyDescent="0.2">
      <c r="A1217" s="70">
        <v>40335</v>
      </c>
      <c r="B1217" s="70">
        <v>40349</v>
      </c>
      <c r="C1217" s="71">
        <v>13701</v>
      </c>
      <c r="D1217" s="72" t="s">
        <v>445</v>
      </c>
      <c r="E1217" s="72" t="s">
        <v>19</v>
      </c>
      <c r="F1217" s="72" t="s">
        <v>1110</v>
      </c>
      <c r="G1217" s="72" t="s">
        <v>358</v>
      </c>
      <c r="H1217" s="74" t="s">
        <v>349</v>
      </c>
      <c r="I1217" s="107">
        <v>92.66</v>
      </c>
      <c r="J1217" s="76"/>
      <c r="K1217" s="76">
        <v>26.47</v>
      </c>
      <c r="L1217" s="76"/>
      <c r="M1217" s="70">
        <v>40603</v>
      </c>
      <c r="N1217" s="89">
        <f>DATE(YEAR(M1217)+8,MONTH(M1217),DAY(M1217)-1)</f>
        <v>43524</v>
      </c>
      <c r="O1217" s="72" t="s">
        <v>19</v>
      </c>
      <c r="P1217" s="72" t="s">
        <v>1110</v>
      </c>
      <c r="Q1217" s="72" t="s">
        <v>358</v>
      </c>
      <c r="R1217" s="72" t="s">
        <v>349</v>
      </c>
      <c r="S1217" s="72"/>
      <c r="T1217" s="72"/>
      <c r="U1217" s="72"/>
    </row>
    <row r="1218" spans="1:21" ht="18.75" customHeight="1" x14ac:dyDescent="0.2">
      <c r="A1218" s="79"/>
      <c r="B1218" s="79"/>
      <c r="C1218" s="80"/>
      <c r="D1218" s="66"/>
      <c r="E1218" s="86"/>
      <c r="F1218" s="66"/>
      <c r="G1218" s="66" t="s">
        <v>353</v>
      </c>
      <c r="H1218" s="82"/>
      <c r="I1218" s="87"/>
      <c r="J1218" s="84"/>
      <c r="K1218" s="91"/>
      <c r="L1218" s="66"/>
      <c r="M1218" s="66"/>
      <c r="N1218" s="66"/>
      <c r="O1218" s="66"/>
      <c r="P1218" s="66"/>
      <c r="Q1218" s="66"/>
      <c r="R1218" s="72"/>
      <c r="T1218" s="66"/>
      <c r="U1218" s="66"/>
    </row>
    <row r="1219" spans="1:21" ht="18.75" customHeight="1" x14ac:dyDescent="0.2">
      <c r="A1219" s="70">
        <v>40342</v>
      </c>
      <c r="B1219" s="70">
        <v>40356</v>
      </c>
      <c r="C1219" s="71">
        <v>23102</v>
      </c>
      <c r="D1219" s="72" t="s">
        <v>362</v>
      </c>
      <c r="E1219" s="72" t="s">
        <v>363</v>
      </c>
      <c r="F1219" s="72" t="s">
        <v>363</v>
      </c>
      <c r="G1219" s="72" t="s">
        <v>587</v>
      </c>
      <c r="H1219" s="74" t="s">
        <v>349</v>
      </c>
      <c r="I1219" s="107">
        <v>89.41</v>
      </c>
      <c r="J1219" s="76"/>
      <c r="K1219" s="76">
        <v>34.450000000000003</v>
      </c>
      <c r="L1219" s="76"/>
      <c r="M1219" s="70">
        <v>40603</v>
      </c>
      <c r="N1219" s="146">
        <v>41820</v>
      </c>
      <c r="O1219" s="72" t="s">
        <v>363</v>
      </c>
      <c r="P1219" s="72" t="s">
        <v>363</v>
      </c>
      <c r="Q1219" s="72" t="s">
        <v>364</v>
      </c>
      <c r="R1219" s="72" t="s">
        <v>349</v>
      </c>
      <c r="S1219" s="106" t="s">
        <v>1316</v>
      </c>
      <c r="T1219" s="72"/>
      <c r="U1219" s="72"/>
    </row>
    <row r="1220" spans="1:21" ht="18.75" customHeight="1" x14ac:dyDescent="0.2">
      <c r="A1220" s="79"/>
      <c r="B1220" s="79"/>
      <c r="C1220" s="80"/>
      <c r="D1220" s="66"/>
      <c r="E1220" s="86"/>
      <c r="F1220" s="66"/>
      <c r="G1220" s="66" t="s">
        <v>353</v>
      </c>
      <c r="H1220" s="82"/>
      <c r="I1220" s="87"/>
      <c r="J1220" s="84"/>
      <c r="K1220" s="91"/>
      <c r="L1220" s="66"/>
      <c r="M1220" s="66"/>
      <c r="N1220" s="66"/>
      <c r="O1220" s="66"/>
      <c r="P1220" s="66"/>
      <c r="Q1220" s="66"/>
      <c r="R1220" s="72"/>
      <c r="T1220" s="66"/>
      <c r="U1220" s="66"/>
    </row>
    <row r="1221" spans="1:21" ht="18.75" customHeight="1" x14ac:dyDescent="0.2">
      <c r="A1221" s="70">
        <v>40342</v>
      </c>
      <c r="B1221" s="70">
        <v>40356</v>
      </c>
      <c r="C1221" s="71">
        <v>23507</v>
      </c>
      <c r="D1221" s="72" t="s">
        <v>597</v>
      </c>
      <c r="E1221" s="72" t="s">
        <v>19</v>
      </c>
      <c r="F1221" s="72" t="s">
        <v>957</v>
      </c>
      <c r="G1221" s="72" t="s">
        <v>348</v>
      </c>
      <c r="H1221" s="74" t="s">
        <v>349</v>
      </c>
      <c r="I1221" s="107">
        <v>88.62</v>
      </c>
      <c r="J1221" s="76"/>
      <c r="K1221" s="76">
        <v>25.84</v>
      </c>
      <c r="L1221" s="76"/>
      <c r="M1221" s="70">
        <v>40603</v>
      </c>
      <c r="N1221" s="89">
        <f>DATE(YEAR(M1221)+8,MONTH(M1221),DAY(M1221)-1)</f>
        <v>43524</v>
      </c>
      <c r="O1221" s="95" t="s">
        <v>19</v>
      </c>
      <c r="P1221" s="95" t="s">
        <v>957</v>
      </c>
      <c r="Q1221" s="95" t="s">
        <v>348</v>
      </c>
      <c r="R1221" s="72" t="s">
        <v>349</v>
      </c>
      <c r="S1221" s="72"/>
      <c r="T1221" s="72"/>
      <c r="U1221" s="72"/>
    </row>
    <row r="1222" spans="1:21" ht="18.75" customHeight="1" x14ac:dyDescent="0.2">
      <c r="A1222" s="79"/>
      <c r="B1222" s="79"/>
      <c r="C1222" s="80"/>
      <c r="D1222" s="66"/>
      <c r="E1222" s="86"/>
      <c r="F1222" s="66"/>
      <c r="G1222" s="66" t="s">
        <v>353</v>
      </c>
      <c r="H1222" s="82"/>
      <c r="I1222" s="87"/>
      <c r="J1222" s="84"/>
      <c r="K1222" s="91"/>
      <c r="L1222" s="66"/>
      <c r="M1222" s="66"/>
      <c r="N1222" s="66"/>
      <c r="O1222" s="66"/>
      <c r="P1222" s="66"/>
      <c r="Q1222" s="66"/>
      <c r="R1222" s="72"/>
      <c r="T1222" s="66"/>
      <c r="U1222" s="66"/>
    </row>
    <row r="1223" spans="1:21" ht="18.75" customHeight="1" x14ac:dyDescent="0.2">
      <c r="A1223" s="70">
        <v>40342</v>
      </c>
      <c r="B1223" s="70">
        <v>40356</v>
      </c>
      <c r="C1223" s="71">
        <v>33203</v>
      </c>
      <c r="D1223" s="72" t="s">
        <v>542</v>
      </c>
      <c r="E1223" s="72" t="s">
        <v>21</v>
      </c>
      <c r="F1223" s="72" t="s">
        <v>1384</v>
      </c>
      <c r="G1223" s="72" t="s">
        <v>792</v>
      </c>
      <c r="H1223" s="74" t="s">
        <v>349</v>
      </c>
      <c r="I1223" s="107">
        <v>56.4</v>
      </c>
      <c r="J1223" s="76"/>
      <c r="K1223" s="76">
        <v>41.09</v>
      </c>
      <c r="L1223" s="76"/>
      <c r="M1223" s="70">
        <v>40360</v>
      </c>
      <c r="N1223" s="89">
        <f>DATE(YEAR(M1223)+8,MONTH(M1223),DAY(M1223)-1)</f>
        <v>43281</v>
      </c>
      <c r="O1223" s="72"/>
      <c r="P1223" s="72"/>
      <c r="Q1223" s="72"/>
      <c r="R1223" s="72"/>
      <c r="S1223" s="72"/>
      <c r="T1223" s="72"/>
      <c r="U1223" s="72"/>
    </row>
    <row r="1224" spans="1:21" ht="18.75" customHeight="1" x14ac:dyDescent="0.2">
      <c r="A1224" s="79"/>
      <c r="B1224" s="79"/>
      <c r="C1224" s="80"/>
      <c r="D1224" s="66"/>
      <c r="E1224" s="66" t="s">
        <v>1385</v>
      </c>
      <c r="F1224" s="66" t="s">
        <v>1385</v>
      </c>
      <c r="G1224" s="66" t="s">
        <v>407</v>
      </c>
      <c r="H1224" s="82" t="s">
        <v>349</v>
      </c>
      <c r="I1224" s="115">
        <v>43.6</v>
      </c>
      <c r="J1224" s="84"/>
      <c r="K1224" s="91"/>
      <c r="L1224" s="66"/>
      <c r="M1224" s="66"/>
      <c r="N1224" s="66"/>
      <c r="O1224" s="66"/>
      <c r="P1224" s="66"/>
      <c r="Q1224" s="66"/>
      <c r="R1224" s="72"/>
      <c r="T1224" s="66"/>
      <c r="U1224" s="66"/>
    </row>
    <row r="1225" spans="1:21" ht="18.75" customHeight="1" x14ac:dyDescent="0.2">
      <c r="A1225" s="79"/>
      <c r="B1225" s="79"/>
      <c r="C1225" s="80"/>
      <c r="D1225" s="66"/>
      <c r="E1225" s="86"/>
      <c r="F1225" s="66"/>
      <c r="G1225" s="66" t="s">
        <v>353</v>
      </c>
      <c r="H1225" s="82"/>
      <c r="I1225" s="87"/>
      <c r="J1225" s="84"/>
      <c r="K1225" s="91"/>
      <c r="L1225" s="66"/>
      <c r="M1225" s="66"/>
      <c r="N1225" s="66"/>
      <c r="O1225" s="66"/>
      <c r="P1225" s="66"/>
      <c r="Q1225" s="66"/>
      <c r="R1225" s="72"/>
      <c r="T1225" s="66"/>
      <c r="U1225" s="66"/>
    </row>
    <row r="1226" spans="1:21" ht="18.75" customHeight="1" x14ac:dyDescent="0.2">
      <c r="A1226" s="70">
        <v>40405</v>
      </c>
      <c r="B1226" s="70">
        <v>40419</v>
      </c>
      <c r="C1226" s="71">
        <v>13305</v>
      </c>
      <c r="D1226" s="72" t="s">
        <v>356</v>
      </c>
      <c r="E1226" s="72" t="s">
        <v>347</v>
      </c>
      <c r="F1226" s="72" t="s">
        <v>347</v>
      </c>
      <c r="G1226" s="72" t="s">
        <v>361</v>
      </c>
      <c r="H1226" s="74" t="s">
        <v>349</v>
      </c>
      <c r="I1226" s="107">
        <v>53.32</v>
      </c>
      <c r="J1226" s="76"/>
      <c r="K1226" s="76">
        <v>54.72</v>
      </c>
      <c r="L1226" s="76"/>
      <c r="M1226" s="70">
        <v>40617</v>
      </c>
      <c r="N1226" s="68">
        <v>41608</v>
      </c>
      <c r="O1226" s="72" t="s">
        <v>347</v>
      </c>
      <c r="P1226" s="72" t="s">
        <v>347</v>
      </c>
      <c r="Q1226" s="72" t="s">
        <v>361</v>
      </c>
      <c r="R1226" s="72" t="s">
        <v>349</v>
      </c>
      <c r="T1226" s="72"/>
      <c r="U1226" s="72"/>
    </row>
    <row r="1227" spans="1:21" ht="18.75" customHeight="1" x14ac:dyDescent="0.2">
      <c r="A1227" s="79"/>
      <c r="B1227" s="79"/>
      <c r="C1227" s="80"/>
      <c r="D1227" s="66"/>
      <c r="E1227" s="66" t="s">
        <v>21</v>
      </c>
      <c r="F1227" s="66" t="s">
        <v>1386</v>
      </c>
      <c r="G1227" s="66" t="s">
        <v>565</v>
      </c>
      <c r="H1227" s="82" t="s">
        <v>349</v>
      </c>
      <c r="I1227" s="115">
        <v>46.68</v>
      </c>
      <c r="J1227" s="84"/>
      <c r="K1227" s="91"/>
      <c r="L1227" s="66"/>
      <c r="M1227" s="66"/>
      <c r="N1227" s="66"/>
      <c r="O1227" s="66"/>
      <c r="P1227" s="66"/>
      <c r="Q1227" s="66"/>
      <c r="R1227" s="72"/>
      <c r="T1227" s="66"/>
      <c r="U1227" s="66"/>
    </row>
    <row r="1228" spans="1:21" ht="18.75" customHeight="1" x14ac:dyDescent="0.2">
      <c r="A1228" s="79"/>
      <c r="B1228" s="79"/>
      <c r="C1228" s="80"/>
      <c r="D1228" s="66"/>
      <c r="E1228" s="86"/>
      <c r="F1228" s="66"/>
      <c r="G1228" s="66" t="s">
        <v>353</v>
      </c>
      <c r="H1228" s="82"/>
      <c r="I1228" s="87"/>
      <c r="J1228" s="84"/>
      <c r="K1228" s="91"/>
      <c r="L1228" s="66"/>
      <c r="M1228" s="66"/>
      <c r="N1228" s="66"/>
      <c r="O1228" s="66"/>
      <c r="P1228" s="66"/>
      <c r="Q1228" s="66"/>
      <c r="R1228" s="72"/>
      <c r="T1228" s="66"/>
      <c r="U1228" s="66"/>
    </row>
    <row r="1229" spans="1:21" ht="18.75" customHeight="1" x14ac:dyDescent="0.2">
      <c r="A1229" s="70">
        <v>40489</v>
      </c>
      <c r="B1229" s="70">
        <v>40503</v>
      </c>
      <c r="C1229" s="71">
        <v>13502</v>
      </c>
      <c r="D1229" s="72" t="s">
        <v>482</v>
      </c>
      <c r="E1229" s="72" t="s">
        <v>580</v>
      </c>
      <c r="F1229" s="72" t="s">
        <v>580</v>
      </c>
      <c r="G1229" s="72" t="s">
        <v>1257</v>
      </c>
      <c r="H1229" s="74" t="s">
        <v>349</v>
      </c>
      <c r="I1229" s="107">
        <v>42.15</v>
      </c>
      <c r="J1229" s="121">
        <v>62.62</v>
      </c>
      <c r="K1229" s="76">
        <v>48.5</v>
      </c>
      <c r="L1229" s="76">
        <v>44.4</v>
      </c>
      <c r="M1229" s="70">
        <v>40560</v>
      </c>
      <c r="N1229" s="146">
        <v>41820</v>
      </c>
      <c r="O1229" s="95" t="s">
        <v>19</v>
      </c>
      <c r="P1229" s="95" t="s">
        <v>484</v>
      </c>
      <c r="Q1229" s="95" t="s">
        <v>485</v>
      </c>
      <c r="R1229" s="72" t="s">
        <v>349</v>
      </c>
      <c r="S1229" s="106" t="s">
        <v>1192</v>
      </c>
      <c r="T1229" s="72"/>
      <c r="U1229" s="72"/>
    </row>
    <row r="1230" spans="1:21" ht="18.75" customHeight="1" x14ac:dyDescent="0.2">
      <c r="A1230" s="79"/>
      <c r="B1230" s="79"/>
      <c r="C1230" s="80"/>
      <c r="D1230" s="66"/>
      <c r="E1230" s="66" t="s">
        <v>19</v>
      </c>
      <c r="F1230" s="66" t="s">
        <v>1387</v>
      </c>
      <c r="G1230" s="66" t="s">
        <v>476</v>
      </c>
      <c r="H1230" s="82" t="s">
        <v>349</v>
      </c>
      <c r="I1230" s="115">
        <v>28.32</v>
      </c>
      <c r="J1230" s="123">
        <v>37.380000000000003</v>
      </c>
      <c r="K1230" s="91"/>
      <c r="L1230" s="66"/>
      <c r="M1230" s="66"/>
      <c r="N1230" s="66"/>
      <c r="O1230" s="66"/>
      <c r="P1230" s="66"/>
      <c r="Q1230" s="66"/>
      <c r="R1230" s="72"/>
      <c r="T1230" s="66"/>
      <c r="U1230" s="66"/>
    </row>
    <row r="1231" spans="1:21" ht="18.75" customHeight="1" x14ac:dyDescent="0.2">
      <c r="A1231" s="79"/>
      <c r="B1231" s="79"/>
      <c r="C1231" s="80"/>
      <c r="D1231" s="66"/>
      <c r="E1231" s="66" t="s">
        <v>1388</v>
      </c>
      <c r="F1231" s="66" t="s">
        <v>1389</v>
      </c>
      <c r="G1231" s="66" t="s">
        <v>512</v>
      </c>
      <c r="H1231" s="82" t="s">
        <v>349</v>
      </c>
      <c r="I1231" s="115">
        <v>16.09</v>
      </c>
      <c r="J1231" s="84"/>
      <c r="K1231" s="91"/>
      <c r="L1231" s="66"/>
      <c r="M1231" s="66"/>
      <c r="N1231" s="66"/>
      <c r="O1231" s="66"/>
      <c r="P1231" s="66"/>
      <c r="Q1231" s="66"/>
      <c r="R1231" s="72"/>
      <c r="T1231" s="66"/>
      <c r="U1231" s="66"/>
    </row>
    <row r="1232" spans="1:21" ht="18.75" customHeight="1" x14ac:dyDescent="0.2">
      <c r="A1232" s="79"/>
      <c r="B1232" s="79"/>
      <c r="C1232" s="80"/>
      <c r="D1232" s="66"/>
      <c r="E1232" s="66" t="s">
        <v>21</v>
      </c>
      <c r="F1232" s="66" t="s">
        <v>1302</v>
      </c>
      <c r="G1232" s="66" t="s">
        <v>1188</v>
      </c>
      <c r="H1232" s="82" t="s">
        <v>349</v>
      </c>
      <c r="I1232" s="115">
        <v>13.45</v>
      </c>
      <c r="J1232" s="84"/>
      <c r="K1232" s="91"/>
      <c r="L1232" s="66"/>
      <c r="M1232" s="66"/>
      <c r="N1232" s="66"/>
      <c r="O1232" s="66"/>
      <c r="P1232" s="66"/>
      <c r="Q1232" s="66"/>
      <c r="R1232" s="72"/>
      <c r="T1232" s="66"/>
      <c r="U1232" s="66"/>
    </row>
    <row r="1233" spans="1:21" ht="18.75" customHeight="1" x14ac:dyDescent="0.2">
      <c r="A1233" s="79"/>
      <c r="B1233" s="79"/>
      <c r="C1233" s="80"/>
      <c r="D1233" s="66"/>
      <c r="E1233" s="86"/>
      <c r="F1233" s="66"/>
      <c r="G1233" s="66" t="s">
        <v>353</v>
      </c>
      <c r="H1233" s="82"/>
      <c r="I1233" s="87"/>
      <c r="J1233" s="84"/>
      <c r="K1233" s="91"/>
      <c r="L1233" s="66"/>
      <c r="M1233" s="66"/>
      <c r="N1233" s="66"/>
      <c r="O1233" s="66"/>
      <c r="P1233" s="66"/>
      <c r="Q1233" s="66"/>
      <c r="R1233" s="72"/>
      <c r="T1233" s="66"/>
      <c r="U1233" s="66"/>
    </row>
    <row r="1234" spans="1:21" ht="18.75" customHeight="1" x14ac:dyDescent="0.2">
      <c r="A1234" s="70" t="s">
        <v>1390</v>
      </c>
      <c r="B1234" s="164" t="s">
        <v>1391</v>
      </c>
      <c r="C1234" s="71">
        <v>13102</v>
      </c>
      <c r="D1234" s="72" t="s">
        <v>462</v>
      </c>
      <c r="E1234" s="72" t="s">
        <v>19</v>
      </c>
      <c r="F1234" s="72" t="s">
        <v>463</v>
      </c>
      <c r="G1234" s="72" t="s">
        <v>464</v>
      </c>
      <c r="H1234" s="74" t="s">
        <v>349</v>
      </c>
      <c r="I1234" s="107">
        <v>83.45</v>
      </c>
      <c r="J1234" s="76"/>
      <c r="K1234" s="76">
        <v>64.239999999999995</v>
      </c>
      <c r="L1234" s="76"/>
      <c r="M1234" s="70">
        <v>40725</v>
      </c>
      <c r="N1234" s="89">
        <f>DATE(YEAR(M1234)+8,MONTH(M1234),DAY(M1234)-1)</f>
        <v>43646</v>
      </c>
      <c r="O1234" s="95" t="s">
        <v>19</v>
      </c>
      <c r="P1234" s="95" t="s">
        <v>463</v>
      </c>
      <c r="Q1234" s="95" t="s">
        <v>464</v>
      </c>
      <c r="R1234" s="72" t="s">
        <v>349</v>
      </c>
      <c r="S1234" s="72"/>
      <c r="T1234" s="72"/>
      <c r="U1234" s="72"/>
    </row>
    <row r="1235" spans="1:21" ht="18.75" customHeight="1" x14ac:dyDescent="0.2">
      <c r="A1235" s="79"/>
      <c r="B1235" s="165"/>
      <c r="C1235" s="80"/>
      <c r="D1235" s="66"/>
      <c r="E1235" s="86"/>
      <c r="F1235" s="66"/>
      <c r="G1235" s="66" t="s">
        <v>353</v>
      </c>
      <c r="H1235" s="82"/>
      <c r="I1235" s="87"/>
      <c r="J1235" s="84"/>
      <c r="K1235" s="91"/>
      <c r="L1235" s="66"/>
      <c r="M1235" s="66"/>
      <c r="N1235" s="66"/>
      <c r="O1235" s="66"/>
      <c r="P1235" s="66"/>
      <c r="Q1235" s="66"/>
      <c r="R1235" s="72"/>
      <c r="T1235" s="66"/>
      <c r="U1235" s="66"/>
    </row>
    <row r="1236" spans="1:21" ht="18.75" customHeight="1" x14ac:dyDescent="0.2">
      <c r="A1236" s="70" t="s">
        <v>1390</v>
      </c>
      <c r="B1236" s="164" t="s">
        <v>1391</v>
      </c>
      <c r="C1236" s="71">
        <v>13504</v>
      </c>
      <c r="D1236" s="72" t="s">
        <v>491</v>
      </c>
      <c r="E1236" s="72" t="s">
        <v>1392</v>
      </c>
      <c r="F1236" s="72" t="s">
        <v>1392</v>
      </c>
      <c r="G1236" s="72" t="s">
        <v>360</v>
      </c>
      <c r="H1236" s="74" t="s">
        <v>349</v>
      </c>
      <c r="I1236" s="107">
        <v>87</v>
      </c>
      <c r="J1236" s="76"/>
      <c r="K1236" s="76">
        <v>69.56</v>
      </c>
      <c r="L1236" s="76"/>
      <c r="M1236" s="70">
        <v>40560</v>
      </c>
      <c r="N1236" s="146">
        <v>41820</v>
      </c>
      <c r="O1236" s="72" t="s">
        <v>580</v>
      </c>
      <c r="P1236" s="72" t="s">
        <v>580</v>
      </c>
      <c r="Q1236" s="72" t="s">
        <v>1257</v>
      </c>
      <c r="R1236" s="72" t="s">
        <v>349</v>
      </c>
      <c r="S1236" s="106" t="s">
        <v>1192</v>
      </c>
      <c r="T1236" s="72"/>
      <c r="U1236" s="72"/>
    </row>
    <row r="1237" spans="1:21" ht="18.75" customHeight="1" x14ac:dyDescent="0.2">
      <c r="A1237" s="79"/>
      <c r="B1237" s="165"/>
      <c r="C1237" s="80"/>
      <c r="D1237" s="66"/>
      <c r="E1237" s="86"/>
      <c r="F1237" s="66"/>
      <c r="G1237" s="66" t="s">
        <v>353</v>
      </c>
      <c r="H1237" s="82"/>
      <c r="I1237" s="87"/>
      <c r="J1237" s="84"/>
      <c r="K1237" s="91"/>
      <c r="L1237" s="66"/>
      <c r="M1237" s="66"/>
      <c r="N1237" s="66"/>
      <c r="O1237" s="66"/>
      <c r="P1237" s="66"/>
      <c r="Q1237" s="66"/>
      <c r="R1237" s="72"/>
      <c r="T1237" s="66"/>
      <c r="U1237" s="66"/>
    </row>
    <row r="1238" spans="1:21" ht="18.75" customHeight="1" x14ac:dyDescent="0.2">
      <c r="A1238" s="70" t="s">
        <v>1390</v>
      </c>
      <c r="B1238" s="164" t="s">
        <v>1391</v>
      </c>
      <c r="C1238" s="71">
        <v>14005</v>
      </c>
      <c r="D1238" s="72" t="s">
        <v>452</v>
      </c>
      <c r="E1238" s="72" t="s">
        <v>19</v>
      </c>
      <c r="F1238" s="72" t="s">
        <v>1393</v>
      </c>
      <c r="G1238" s="72" t="s">
        <v>871</v>
      </c>
      <c r="H1238" s="74" t="s">
        <v>349</v>
      </c>
      <c r="I1238" s="107">
        <v>61.64</v>
      </c>
      <c r="J1238" s="76"/>
      <c r="K1238" s="76">
        <v>67.989999999999995</v>
      </c>
      <c r="L1238" s="76"/>
      <c r="M1238" s="70">
        <v>40670</v>
      </c>
      <c r="N1238" s="89">
        <f>DATE(YEAR(M1238)+8,MONTH(M1238),DAY(M1238)-1)</f>
        <v>43591</v>
      </c>
      <c r="O1238" s="72" t="s">
        <v>19</v>
      </c>
      <c r="P1238" s="72" t="s">
        <v>453</v>
      </c>
      <c r="Q1238" s="72" t="s">
        <v>376</v>
      </c>
      <c r="R1238" s="72" t="s">
        <v>349</v>
      </c>
      <c r="S1238" s="72"/>
      <c r="T1238" s="72"/>
      <c r="U1238" s="72"/>
    </row>
    <row r="1239" spans="1:21" ht="18.75" customHeight="1" x14ac:dyDescent="0.2">
      <c r="A1239" s="79"/>
      <c r="B1239" s="165"/>
      <c r="C1239" s="80"/>
      <c r="D1239" s="66"/>
      <c r="E1239" s="66" t="s">
        <v>1394</v>
      </c>
      <c r="F1239" s="66" t="s">
        <v>1395</v>
      </c>
      <c r="G1239" s="66" t="s">
        <v>464</v>
      </c>
      <c r="H1239" s="82" t="s">
        <v>349</v>
      </c>
      <c r="I1239" s="115">
        <v>38.36</v>
      </c>
      <c r="J1239" s="84"/>
      <c r="K1239" s="91"/>
      <c r="L1239" s="66"/>
      <c r="M1239" s="66"/>
      <c r="N1239" s="66"/>
      <c r="O1239" s="66"/>
      <c r="P1239" s="66"/>
      <c r="Q1239" s="66"/>
      <c r="R1239" s="72"/>
      <c r="T1239" s="66"/>
      <c r="U1239" s="66"/>
    </row>
    <row r="1240" spans="1:21" ht="18.75" customHeight="1" x14ac:dyDescent="0.2">
      <c r="A1240" s="79"/>
      <c r="B1240" s="165"/>
      <c r="C1240" s="80"/>
      <c r="D1240" s="66"/>
      <c r="E1240" s="86"/>
      <c r="F1240" s="66"/>
      <c r="G1240" s="66" t="s">
        <v>353</v>
      </c>
      <c r="H1240" s="82"/>
      <c r="I1240" s="87"/>
      <c r="J1240" s="84"/>
      <c r="K1240" s="91"/>
      <c r="L1240" s="66"/>
      <c r="M1240" s="66"/>
      <c r="N1240" s="66"/>
      <c r="O1240" s="66"/>
      <c r="P1240" s="66"/>
      <c r="Q1240" s="66"/>
      <c r="R1240" s="72"/>
      <c r="T1240" s="66"/>
      <c r="U1240" s="66"/>
    </row>
    <row r="1241" spans="1:21" ht="18.75" customHeight="1" x14ac:dyDescent="0.2">
      <c r="A1241" s="70" t="s">
        <v>1390</v>
      </c>
      <c r="B1241" s="164" t="s">
        <v>1391</v>
      </c>
      <c r="C1241" s="71">
        <v>33103</v>
      </c>
      <c r="D1241" s="72" t="s">
        <v>1013</v>
      </c>
      <c r="E1241" s="72" t="s">
        <v>21</v>
      </c>
      <c r="F1241" s="72" t="s">
        <v>1124</v>
      </c>
      <c r="G1241" s="72" t="s">
        <v>427</v>
      </c>
      <c r="H1241" s="74" t="s">
        <v>349</v>
      </c>
      <c r="I1241" s="107">
        <v>86.27</v>
      </c>
      <c r="J1241" s="76"/>
      <c r="K1241" s="76">
        <v>67.34</v>
      </c>
      <c r="L1241" s="76"/>
      <c r="M1241" s="70">
        <v>40787</v>
      </c>
      <c r="N1241" s="89">
        <f>DATE(YEAR(M1241)+8,MONTH(M1241),DAY(M1241)-1)</f>
        <v>43708</v>
      </c>
      <c r="O1241" s="95" t="s">
        <v>21</v>
      </c>
      <c r="P1241" s="95" t="s">
        <v>1124</v>
      </c>
      <c r="Q1241" s="95" t="s">
        <v>427</v>
      </c>
      <c r="R1241" s="72" t="s">
        <v>349</v>
      </c>
      <c r="S1241" s="72"/>
      <c r="T1241" s="72"/>
      <c r="U1241" s="72"/>
    </row>
    <row r="1242" spans="1:21" ht="18.75" customHeight="1" x14ac:dyDescent="0.2">
      <c r="A1242" s="79"/>
      <c r="B1242" s="165"/>
      <c r="C1242" s="80"/>
      <c r="D1242" s="66"/>
      <c r="E1242" s="86"/>
      <c r="F1242" s="66"/>
      <c r="G1242" s="66" t="s">
        <v>353</v>
      </c>
      <c r="H1242" s="82"/>
      <c r="I1242" s="87"/>
      <c r="J1242" s="84"/>
      <c r="K1242" s="91"/>
      <c r="L1242" s="66"/>
      <c r="M1242" s="66"/>
      <c r="N1242" s="66"/>
      <c r="O1242" s="66"/>
      <c r="P1242" s="66"/>
      <c r="Q1242" s="66"/>
      <c r="R1242" s="72"/>
      <c r="T1242" s="66"/>
      <c r="U1242" s="66"/>
    </row>
    <row r="1243" spans="1:21" ht="18.75" customHeight="1" x14ac:dyDescent="0.2">
      <c r="A1243" s="70" t="s">
        <v>1390</v>
      </c>
      <c r="B1243" s="164" t="s">
        <v>1391</v>
      </c>
      <c r="C1243" s="71">
        <v>33106</v>
      </c>
      <c r="D1243" s="72" t="s">
        <v>458</v>
      </c>
      <c r="E1243" s="72" t="s">
        <v>19</v>
      </c>
      <c r="F1243" s="72" t="s">
        <v>1116</v>
      </c>
      <c r="G1243" s="72" t="s">
        <v>1117</v>
      </c>
      <c r="H1243" s="74" t="s">
        <v>349</v>
      </c>
      <c r="I1243" s="107">
        <v>67.39</v>
      </c>
      <c r="J1243" s="76"/>
      <c r="K1243" s="76">
        <v>68.09</v>
      </c>
      <c r="L1243" s="76"/>
      <c r="M1243" s="70">
        <v>40725</v>
      </c>
      <c r="N1243" s="89">
        <f>DATE(YEAR(M1243)+8,MONTH(M1243),DAY(M1243)-1)</f>
        <v>43646</v>
      </c>
      <c r="O1243" s="95" t="s">
        <v>19</v>
      </c>
      <c r="P1243" s="95" t="s">
        <v>1116</v>
      </c>
      <c r="Q1243" s="95" t="s">
        <v>1117</v>
      </c>
      <c r="R1243" s="72" t="s">
        <v>349</v>
      </c>
      <c r="S1243" s="72"/>
      <c r="T1243" s="72"/>
      <c r="U1243" s="72"/>
    </row>
    <row r="1244" spans="1:21" ht="18.75" customHeight="1" x14ac:dyDescent="0.2">
      <c r="A1244" s="79"/>
      <c r="B1244" s="165"/>
      <c r="C1244" s="80"/>
      <c r="D1244" s="66"/>
      <c r="E1244" s="66" t="s">
        <v>21</v>
      </c>
      <c r="F1244" s="66" t="s">
        <v>1396</v>
      </c>
      <c r="G1244" s="66" t="s">
        <v>815</v>
      </c>
      <c r="H1244" s="82" t="s">
        <v>349</v>
      </c>
      <c r="I1244" s="115">
        <v>32.61</v>
      </c>
      <c r="J1244" s="84"/>
      <c r="K1244" s="91"/>
      <c r="L1244" s="66"/>
      <c r="M1244" s="66"/>
      <c r="N1244" s="66"/>
      <c r="O1244" s="66"/>
      <c r="P1244" s="66"/>
      <c r="Q1244" s="66"/>
      <c r="R1244" s="72"/>
      <c r="T1244" s="66"/>
      <c r="U1244" s="66"/>
    </row>
    <row r="1245" spans="1:21" ht="18.75" customHeight="1" x14ac:dyDescent="0.2">
      <c r="A1245" s="79"/>
      <c r="B1245" s="165"/>
      <c r="C1245" s="80"/>
      <c r="D1245" s="66"/>
      <c r="E1245" s="86"/>
      <c r="F1245" s="66"/>
      <c r="G1245" s="66" t="s">
        <v>353</v>
      </c>
      <c r="H1245" s="82"/>
      <c r="I1245" s="87"/>
      <c r="J1245" s="84"/>
      <c r="K1245" s="91"/>
      <c r="L1245" s="66"/>
      <c r="M1245" s="66"/>
      <c r="N1245" s="66"/>
      <c r="O1245" s="66"/>
      <c r="P1245" s="66"/>
      <c r="Q1245" s="66"/>
      <c r="R1245" s="72"/>
      <c r="T1245" s="66"/>
      <c r="U1245" s="66"/>
    </row>
    <row r="1246" spans="1:21" ht="18.75" customHeight="1" x14ac:dyDescent="0.2">
      <c r="A1246" s="70" t="s">
        <v>1390</v>
      </c>
      <c r="B1246" s="164" t="s">
        <v>1391</v>
      </c>
      <c r="C1246" s="71">
        <v>33302</v>
      </c>
      <c r="D1246" s="72" t="s">
        <v>548</v>
      </c>
      <c r="E1246" s="72" t="s">
        <v>1397</v>
      </c>
      <c r="F1246" s="72" t="s">
        <v>693</v>
      </c>
      <c r="G1246" s="72" t="s">
        <v>444</v>
      </c>
      <c r="H1246" s="74" t="s">
        <v>349</v>
      </c>
      <c r="I1246" s="107">
        <v>77.19</v>
      </c>
      <c r="J1246" s="76"/>
      <c r="K1246" s="76">
        <v>59.5</v>
      </c>
      <c r="L1246" s="76"/>
      <c r="M1246" s="70">
        <v>40639</v>
      </c>
      <c r="N1246" s="89">
        <f>DATE(YEAR(M1246)+8,MONTH(M1246),DAY(M1246)-1)</f>
        <v>43560</v>
      </c>
      <c r="O1246" s="95" t="s">
        <v>21</v>
      </c>
      <c r="P1246" s="95" t="s">
        <v>1398</v>
      </c>
      <c r="Q1246" s="95" t="s">
        <v>550</v>
      </c>
      <c r="R1246" s="72" t="s">
        <v>349</v>
      </c>
      <c r="S1246" s="72"/>
      <c r="T1246" s="72"/>
      <c r="U1246" s="72"/>
    </row>
    <row r="1247" spans="1:21" ht="18.75" customHeight="1" x14ac:dyDescent="0.2">
      <c r="A1247" s="79"/>
      <c r="B1247" s="165"/>
      <c r="C1247" s="80"/>
      <c r="D1247" s="66"/>
      <c r="E1247" s="86"/>
      <c r="F1247" s="66"/>
      <c r="G1247" s="66" t="s">
        <v>353</v>
      </c>
      <c r="H1247" s="82"/>
      <c r="I1247" s="87"/>
      <c r="J1247" s="84"/>
      <c r="K1247" s="91"/>
      <c r="L1247" s="66"/>
      <c r="M1247" s="66"/>
      <c r="N1247" s="66"/>
      <c r="O1247" s="66"/>
      <c r="P1247" s="66"/>
      <c r="Q1247" s="66"/>
      <c r="R1247" s="72"/>
      <c r="T1247" s="66"/>
      <c r="U1247" s="66"/>
    </row>
    <row r="1248" spans="1:21" ht="18.75" customHeight="1" x14ac:dyDescent="0.2">
      <c r="A1248" s="70" t="s">
        <v>1390</v>
      </c>
      <c r="B1248" s="164" t="s">
        <v>1391</v>
      </c>
      <c r="C1248" s="71">
        <v>33601</v>
      </c>
      <c r="D1248" s="72" t="s">
        <v>552</v>
      </c>
      <c r="E1248" s="72" t="s">
        <v>580</v>
      </c>
      <c r="F1248" s="72" t="s">
        <v>580</v>
      </c>
      <c r="G1248" s="72" t="s">
        <v>358</v>
      </c>
      <c r="H1248" s="74" t="s">
        <v>349</v>
      </c>
      <c r="I1248" s="107">
        <v>79.12</v>
      </c>
      <c r="J1248" s="76"/>
      <c r="K1248" s="76">
        <v>61.32</v>
      </c>
      <c r="L1248" s="76"/>
      <c r="M1248" s="70">
        <v>40695</v>
      </c>
      <c r="N1248" s="89">
        <v>41820</v>
      </c>
      <c r="O1248" s="72" t="s">
        <v>580</v>
      </c>
      <c r="P1248" s="72" t="s">
        <v>580</v>
      </c>
      <c r="Q1248" s="72" t="s">
        <v>358</v>
      </c>
      <c r="R1248" s="72" t="s">
        <v>349</v>
      </c>
      <c r="S1248" s="111"/>
      <c r="T1248" s="72"/>
      <c r="U1248" s="72"/>
    </row>
    <row r="1249" spans="1:21" ht="18.75" customHeight="1" x14ac:dyDescent="0.2">
      <c r="A1249" s="79"/>
      <c r="B1249" s="165"/>
      <c r="C1249" s="80"/>
      <c r="D1249" s="66"/>
      <c r="E1249" s="86"/>
      <c r="F1249" s="66"/>
      <c r="G1249" s="66" t="s">
        <v>353</v>
      </c>
      <c r="H1249" s="82"/>
      <c r="I1249" s="87"/>
      <c r="J1249" s="84"/>
      <c r="K1249" s="91"/>
      <c r="L1249" s="66"/>
      <c r="M1249" s="66"/>
      <c r="N1249" s="66"/>
      <c r="O1249" s="66"/>
      <c r="P1249" s="66"/>
      <c r="Q1249" s="66"/>
      <c r="R1249" s="72"/>
      <c r="T1249" s="66"/>
      <c r="U1249" s="66"/>
    </row>
    <row r="1250" spans="1:21" ht="18.75" customHeight="1" x14ac:dyDescent="0.2">
      <c r="A1250" s="70" t="s">
        <v>1390</v>
      </c>
      <c r="B1250" s="164" t="s">
        <v>1391</v>
      </c>
      <c r="C1250" s="71">
        <v>33705</v>
      </c>
      <c r="D1250" s="72" t="s">
        <v>630</v>
      </c>
      <c r="E1250" s="72" t="s">
        <v>21</v>
      </c>
      <c r="F1250" s="72" t="s">
        <v>1399</v>
      </c>
      <c r="G1250" s="72" t="s">
        <v>1400</v>
      </c>
      <c r="H1250" s="74" t="s">
        <v>349</v>
      </c>
      <c r="I1250" s="107">
        <v>50.24</v>
      </c>
      <c r="J1250" s="76"/>
      <c r="K1250" s="76">
        <v>72.47</v>
      </c>
      <c r="L1250" s="76"/>
      <c r="M1250" s="70">
        <v>40817</v>
      </c>
      <c r="N1250" s="89">
        <f>DATE(YEAR(M1250)+8,MONTH(M1250),DAY(M1250)-1)</f>
        <v>43738</v>
      </c>
      <c r="O1250" s="138" t="s">
        <v>21</v>
      </c>
      <c r="P1250" s="138" t="s">
        <v>631</v>
      </c>
      <c r="Q1250" s="138" t="s">
        <v>358</v>
      </c>
      <c r="R1250" s="72" t="s">
        <v>349</v>
      </c>
      <c r="S1250" s="72"/>
      <c r="T1250" s="72"/>
      <c r="U1250" s="72"/>
    </row>
    <row r="1251" spans="1:21" ht="18.75" customHeight="1" x14ac:dyDescent="0.2">
      <c r="A1251" s="79"/>
      <c r="B1251" s="165"/>
      <c r="C1251" s="80"/>
      <c r="D1251" s="66"/>
      <c r="E1251" s="66" t="s">
        <v>19</v>
      </c>
      <c r="F1251" s="66" t="s">
        <v>409</v>
      </c>
      <c r="G1251" s="66" t="s">
        <v>565</v>
      </c>
      <c r="H1251" s="82" t="s">
        <v>349</v>
      </c>
      <c r="I1251" s="115">
        <v>38.93</v>
      </c>
      <c r="J1251" s="84"/>
      <c r="K1251" s="91"/>
      <c r="L1251" s="66"/>
      <c r="M1251" s="66"/>
      <c r="N1251" s="66"/>
      <c r="O1251" s="66"/>
      <c r="P1251" s="66"/>
      <c r="Q1251" s="66"/>
      <c r="R1251" s="72"/>
      <c r="T1251" s="66"/>
      <c r="U1251" s="66"/>
    </row>
    <row r="1252" spans="1:21" ht="18.75" customHeight="1" x14ac:dyDescent="0.2">
      <c r="A1252" s="79"/>
      <c r="B1252" s="165"/>
      <c r="C1252" s="80"/>
      <c r="D1252" s="66"/>
      <c r="E1252" s="66" t="s">
        <v>34</v>
      </c>
      <c r="F1252" s="66" t="s">
        <v>1401</v>
      </c>
      <c r="G1252" s="66" t="s">
        <v>371</v>
      </c>
      <c r="H1252" s="82" t="s">
        <v>349</v>
      </c>
      <c r="I1252" s="115">
        <v>10.84</v>
      </c>
      <c r="J1252" s="84"/>
      <c r="K1252" s="91"/>
      <c r="L1252" s="66"/>
      <c r="M1252" s="66"/>
      <c r="N1252" s="66"/>
      <c r="O1252" s="66"/>
      <c r="P1252" s="66"/>
      <c r="Q1252" s="66"/>
      <c r="R1252" s="72"/>
      <c r="T1252" s="66"/>
      <c r="U1252" s="66"/>
    </row>
    <row r="1253" spans="1:21" ht="18.75" customHeight="1" x14ac:dyDescent="0.2">
      <c r="A1253" s="79"/>
      <c r="B1253" s="165"/>
      <c r="C1253" s="80"/>
      <c r="D1253" s="66"/>
      <c r="E1253" s="86"/>
      <c r="F1253" s="66"/>
      <c r="G1253" s="66" t="s">
        <v>353</v>
      </c>
      <c r="H1253" s="82"/>
      <c r="I1253" s="87"/>
      <c r="J1253" s="84"/>
      <c r="K1253" s="91"/>
      <c r="L1253" s="66"/>
      <c r="M1253" s="66"/>
      <c r="N1253" s="66"/>
      <c r="O1253" s="66"/>
      <c r="P1253" s="66"/>
      <c r="Q1253" s="66"/>
      <c r="R1253" s="72"/>
      <c r="T1253" s="66"/>
      <c r="U1253" s="66"/>
    </row>
    <row r="1254" spans="1:21" ht="18.75" customHeight="1" x14ac:dyDescent="0.2">
      <c r="A1254" s="70">
        <v>40699</v>
      </c>
      <c r="B1254" s="70">
        <v>40713</v>
      </c>
      <c r="C1254" s="71">
        <v>33405</v>
      </c>
      <c r="D1254" s="72" t="s">
        <v>475</v>
      </c>
      <c r="E1254" s="72" t="s">
        <v>21</v>
      </c>
      <c r="F1254" s="72" t="s">
        <v>1402</v>
      </c>
      <c r="G1254" s="72" t="s">
        <v>776</v>
      </c>
      <c r="H1254" s="74" t="s">
        <v>349</v>
      </c>
      <c r="I1254" s="107">
        <v>48.52</v>
      </c>
      <c r="J1254" s="121">
        <v>52.5</v>
      </c>
      <c r="K1254" s="76">
        <v>44.2</v>
      </c>
      <c r="L1254" s="76">
        <v>43.1</v>
      </c>
      <c r="M1254" s="70">
        <v>40820</v>
      </c>
      <c r="N1254" s="89">
        <f>DATE(YEAR(M1254)+8,MONTH(M1254),DAY(M1254)-1)</f>
        <v>43741</v>
      </c>
      <c r="O1254" s="95" t="s">
        <v>313</v>
      </c>
      <c r="P1254" s="95" t="s">
        <v>476</v>
      </c>
      <c r="Q1254" s="95" t="s">
        <v>477</v>
      </c>
      <c r="R1254" s="72" t="s">
        <v>349</v>
      </c>
      <c r="S1254" s="72"/>
      <c r="T1254" s="72"/>
      <c r="U1254" s="72"/>
    </row>
    <row r="1255" spans="1:21" ht="18.75" customHeight="1" x14ac:dyDescent="0.2">
      <c r="A1255" s="79"/>
      <c r="B1255" s="79"/>
      <c r="C1255" s="80"/>
      <c r="D1255" s="66"/>
      <c r="E1255" s="66" t="s">
        <v>313</v>
      </c>
      <c r="F1255" s="66" t="s">
        <v>783</v>
      </c>
      <c r="G1255" s="66" t="s">
        <v>476</v>
      </c>
      <c r="H1255" s="82" t="s">
        <v>349</v>
      </c>
      <c r="I1255" s="115">
        <v>40.56</v>
      </c>
      <c r="J1255" s="123">
        <v>47.5</v>
      </c>
      <c r="K1255" s="91"/>
      <c r="L1255" s="66"/>
      <c r="M1255" s="66"/>
      <c r="N1255" s="66"/>
      <c r="O1255" s="66"/>
      <c r="P1255" s="66"/>
      <c r="Q1255" s="66"/>
      <c r="R1255" s="72"/>
      <c r="T1255" s="66"/>
      <c r="U1255" s="66"/>
    </row>
    <row r="1256" spans="1:21" ht="18.75" customHeight="1" x14ac:dyDescent="0.2">
      <c r="A1256" s="79"/>
      <c r="B1256" s="79"/>
      <c r="C1256" s="80"/>
      <c r="D1256" s="66"/>
      <c r="E1256" s="66" t="s">
        <v>1403</v>
      </c>
      <c r="F1256" s="66" t="s">
        <v>1403</v>
      </c>
      <c r="G1256" s="66" t="s">
        <v>383</v>
      </c>
      <c r="H1256" s="82" t="s">
        <v>349</v>
      </c>
      <c r="I1256" s="115">
        <v>10.93</v>
      </c>
      <c r="J1256" s="84"/>
      <c r="K1256" s="91"/>
      <c r="L1256" s="66"/>
      <c r="M1256" s="66"/>
      <c r="N1256" s="66"/>
      <c r="O1256" s="66"/>
      <c r="P1256" s="66"/>
      <c r="Q1256" s="66"/>
      <c r="R1256" s="72"/>
      <c r="T1256" s="66"/>
      <c r="U1256" s="66"/>
    </row>
    <row r="1257" spans="1:21" ht="18.75" customHeight="1" x14ac:dyDescent="0.2">
      <c r="A1257" s="79"/>
      <c r="B1257" s="79"/>
      <c r="C1257" s="80"/>
      <c r="D1257" s="66"/>
      <c r="E1257" s="86"/>
      <c r="F1257" s="66"/>
      <c r="G1257" s="66" t="s">
        <v>353</v>
      </c>
      <c r="H1257" s="82"/>
      <c r="I1257" s="87"/>
      <c r="J1257" s="84"/>
      <c r="K1257" s="91"/>
      <c r="L1257" s="66"/>
      <c r="M1257" s="66"/>
      <c r="N1257" s="66"/>
      <c r="O1257" s="66"/>
      <c r="P1257" s="66"/>
      <c r="Q1257" s="66"/>
      <c r="R1257" s="72"/>
      <c r="T1257" s="66"/>
      <c r="U1257" s="66"/>
    </row>
    <row r="1258" spans="1:21" ht="18.75" customHeight="1" x14ac:dyDescent="0.2">
      <c r="A1258" s="70">
        <v>40713</v>
      </c>
      <c r="B1258" s="70">
        <v>40727</v>
      </c>
      <c r="C1258" s="71">
        <v>23504</v>
      </c>
      <c r="D1258" s="72" t="s">
        <v>508</v>
      </c>
      <c r="E1258" s="72" t="s">
        <v>1404</v>
      </c>
      <c r="F1258" s="72" t="s">
        <v>509</v>
      </c>
      <c r="G1258" s="72" t="s">
        <v>440</v>
      </c>
      <c r="H1258" s="74" t="s">
        <v>349</v>
      </c>
      <c r="I1258" s="107">
        <v>66.53</v>
      </c>
      <c r="J1258" s="76"/>
      <c r="K1258" s="76">
        <v>41.2</v>
      </c>
      <c r="L1258" s="76"/>
      <c r="M1258" s="70">
        <v>40969</v>
      </c>
      <c r="N1258" s="89">
        <f>DATE(YEAR(M1258)+8,MONTH(M1258),DAY(M1258)-1)</f>
        <v>43890</v>
      </c>
      <c r="O1258" s="95" t="s">
        <v>55</v>
      </c>
      <c r="P1258" s="95" t="s">
        <v>509</v>
      </c>
      <c r="Q1258" s="95" t="s">
        <v>440</v>
      </c>
      <c r="R1258" s="72" t="s">
        <v>349</v>
      </c>
      <c r="S1258" s="72"/>
      <c r="T1258" s="72"/>
      <c r="U1258" s="72"/>
    </row>
    <row r="1259" spans="1:21" ht="18.75" customHeight="1" x14ac:dyDescent="0.2">
      <c r="A1259" s="79"/>
      <c r="B1259" s="79"/>
      <c r="C1259" s="80"/>
      <c r="D1259" s="66"/>
      <c r="E1259" s="66" t="s">
        <v>34</v>
      </c>
      <c r="F1259" s="66" t="s">
        <v>1405</v>
      </c>
      <c r="G1259" s="66" t="s">
        <v>1406</v>
      </c>
      <c r="H1259" s="82" t="s">
        <v>419</v>
      </c>
      <c r="I1259" s="115">
        <v>19.38</v>
      </c>
      <c r="J1259" s="84"/>
      <c r="K1259" s="91"/>
      <c r="L1259" s="66"/>
      <c r="M1259" s="66"/>
      <c r="N1259" s="66"/>
      <c r="O1259" s="66"/>
      <c r="P1259" s="66"/>
      <c r="Q1259" s="66"/>
      <c r="R1259" s="72"/>
      <c r="T1259" s="66"/>
      <c r="U1259" s="66"/>
    </row>
    <row r="1260" spans="1:21" ht="18.75" customHeight="1" x14ac:dyDescent="0.2">
      <c r="A1260" s="79"/>
      <c r="B1260" s="79"/>
      <c r="C1260" s="80"/>
      <c r="D1260" s="66"/>
      <c r="E1260" s="66" t="s">
        <v>19</v>
      </c>
      <c r="F1260" s="66" t="s">
        <v>1407</v>
      </c>
      <c r="G1260" s="66" t="s">
        <v>1287</v>
      </c>
      <c r="H1260" s="82" t="s">
        <v>349</v>
      </c>
      <c r="I1260" s="115">
        <v>14.09</v>
      </c>
      <c r="J1260" s="84"/>
      <c r="K1260" s="91"/>
      <c r="L1260" s="66"/>
      <c r="M1260" s="66"/>
      <c r="N1260" s="66"/>
      <c r="O1260" s="66"/>
      <c r="P1260" s="66"/>
      <c r="Q1260" s="66"/>
      <c r="R1260" s="72"/>
      <c r="T1260" s="66"/>
      <c r="U1260" s="66"/>
    </row>
    <row r="1261" spans="1:21" ht="18.75" customHeight="1" x14ac:dyDescent="0.2">
      <c r="A1261" s="79"/>
      <c r="B1261" s="79"/>
      <c r="C1261" s="80"/>
      <c r="D1261" s="66"/>
      <c r="E1261" s="86"/>
      <c r="F1261" s="66"/>
      <c r="G1261" s="66" t="s">
        <v>353</v>
      </c>
      <c r="H1261" s="82"/>
      <c r="I1261" s="87"/>
      <c r="J1261" s="84"/>
      <c r="K1261" s="91"/>
      <c r="L1261" s="66"/>
      <c r="M1261" s="66"/>
      <c r="N1261" s="66"/>
      <c r="O1261" s="66"/>
      <c r="P1261" s="66"/>
      <c r="Q1261" s="66"/>
      <c r="R1261" s="72"/>
      <c r="T1261" s="66"/>
      <c r="U1261" s="66"/>
    </row>
    <row r="1262" spans="1:21" ht="18.75" customHeight="1" x14ac:dyDescent="0.2">
      <c r="A1262" s="70">
        <v>40776</v>
      </c>
      <c r="B1262" s="70">
        <v>40790</v>
      </c>
      <c r="C1262" s="71">
        <v>23303</v>
      </c>
      <c r="D1262" s="72" t="s">
        <v>472</v>
      </c>
      <c r="E1262" s="72" t="s">
        <v>1119</v>
      </c>
      <c r="F1262" s="72" t="s">
        <v>1119</v>
      </c>
      <c r="G1262" s="72" t="s">
        <v>1120</v>
      </c>
      <c r="H1262" s="74" t="s">
        <v>419</v>
      </c>
      <c r="I1262" s="107">
        <v>82.79</v>
      </c>
      <c r="J1262" s="76"/>
      <c r="K1262" s="76">
        <v>50.7</v>
      </c>
      <c r="L1262" s="76"/>
      <c r="M1262" s="70">
        <v>40909</v>
      </c>
      <c r="N1262" s="89">
        <v>43100</v>
      </c>
      <c r="O1262" s="95" t="s">
        <v>1119</v>
      </c>
      <c r="P1262" s="95" t="s">
        <v>1119</v>
      </c>
      <c r="Q1262" s="95" t="s">
        <v>1120</v>
      </c>
      <c r="R1262" s="72" t="s">
        <v>419</v>
      </c>
      <c r="S1262" s="111"/>
      <c r="T1262" s="72"/>
      <c r="U1262" s="72"/>
    </row>
    <row r="1263" spans="1:21" ht="18.75" customHeight="1" x14ac:dyDescent="0.2">
      <c r="A1263" s="79"/>
      <c r="B1263" s="79"/>
      <c r="C1263" s="80"/>
      <c r="D1263" s="66"/>
      <c r="E1263" s="66" t="s">
        <v>19</v>
      </c>
      <c r="F1263" s="66" t="s">
        <v>1408</v>
      </c>
      <c r="G1263" s="66" t="s">
        <v>577</v>
      </c>
      <c r="H1263" s="82" t="s">
        <v>419</v>
      </c>
      <c r="I1263" s="115">
        <v>17.21</v>
      </c>
      <c r="J1263" s="84"/>
      <c r="K1263" s="91"/>
      <c r="L1263" s="66"/>
      <c r="M1263" s="66"/>
      <c r="N1263" s="66"/>
      <c r="O1263" s="66"/>
      <c r="P1263" s="66"/>
      <c r="Q1263" s="66"/>
      <c r="R1263" s="72"/>
      <c r="T1263" s="66"/>
      <c r="U1263" s="66"/>
    </row>
    <row r="1264" spans="1:21" ht="18.75" customHeight="1" x14ac:dyDescent="0.2">
      <c r="A1264" s="79"/>
      <c r="B1264" s="79"/>
      <c r="C1264" s="80"/>
      <c r="D1264" s="66"/>
      <c r="E1264" s="86"/>
      <c r="F1264" s="66"/>
      <c r="G1264" s="66" t="s">
        <v>353</v>
      </c>
      <c r="H1264" s="82"/>
      <c r="I1264" s="87"/>
      <c r="J1264" s="84"/>
      <c r="K1264" s="91"/>
      <c r="L1264" s="66"/>
      <c r="M1264" s="66"/>
      <c r="N1264" s="66"/>
      <c r="O1264" s="66"/>
      <c r="P1264" s="66"/>
      <c r="Q1264" s="66"/>
      <c r="R1264" s="72"/>
      <c r="T1264" s="66"/>
      <c r="U1264" s="66"/>
    </row>
    <row r="1265" spans="1:21" ht="18.75" customHeight="1" x14ac:dyDescent="0.2">
      <c r="A1265" s="70">
        <v>40811</v>
      </c>
      <c r="B1265" s="70">
        <v>40825</v>
      </c>
      <c r="C1265" s="71">
        <v>23506</v>
      </c>
      <c r="D1265" s="72" t="s">
        <v>503</v>
      </c>
      <c r="E1265" s="72" t="s">
        <v>19</v>
      </c>
      <c r="F1265" s="72" t="s">
        <v>1232</v>
      </c>
      <c r="G1265" s="72" t="s">
        <v>1233</v>
      </c>
      <c r="H1265" s="74" t="s">
        <v>419</v>
      </c>
      <c r="I1265" s="107">
        <v>50.87</v>
      </c>
      <c r="J1265" s="76"/>
      <c r="K1265" s="76">
        <v>45.79</v>
      </c>
      <c r="L1265" s="76"/>
      <c r="M1265" s="70">
        <v>40918</v>
      </c>
      <c r="N1265" s="89">
        <f>DATE(YEAR(M1265)+8,MONTH(M1265),DAY(M1265)-1)</f>
        <v>43839</v>
      </c>
      <c r="O1265" s="95" t="s">
        <v>19</v>
      </c>
      <c r="P1265" s="95" t="s">
        <v>504</v>
      </c>
      <c r="Q1265" s="95" t="s">
        <v>505</v>
      </c>
      <c r="R1265" s="72" t="s">
        <v>349</v>
      </c>
      <c r="S1265" s="72" t="s">
        <v>1234</v>
      </c>
      <c r="T1265" s="72"/>
      <c r="U1265" s="72"/>
    </row>
    <row r="1266" spans="1:21" ht="18.75" customHeight="1" x14ac:dyDescent="0.2">
      <c r="A1266" s="79"/>
      <c r="B1266" s="79"/>
      <c r="C1266" s="80"/>
      <c r="D1266" s="66"/>
      <c r="E1266" s="66" t="s">
        <v>55</v>
      </c>
      <c r="F1266" s="66" t="s">
        <v>1409</v>
      </c>
      <c r="G1266" s="66" t="s">
        <v>1410</v>
      </c>
      <c r="H1266" s="82" t="s">
        <v>419</v>
      </c>
      <c r="I1266" s="115">
        <v>27.51</v>
      </c>
      <c r="J1266" s="84"/>
      <c r="K1266" s="91"/>
      <c r="L1266" s="66"/>
      <c r="M1266" s="66"/>
      <c r="N1266" s="66"/>
      <c r="O1266" s="66"/>
      <c r="P1266" s="66"/>
      <c r="Q1266" s="66"/>
      <c r="R1266" s="72"/>
      <c r="T1266" s="66"/>
      <c r="U1266" s="66"/>
    </row>
    <row r="1267" spans="1:21" ht="18.75" customHeight="1" x14ac:dyDescent="0.2">
      <c r="A1267" s="79"/>
      <c r="B1267" s="79"/>
      <c r="C1267" s="80"/>
      <c r="D1267" s="66"/>
      <c r="E1267" s="66" t="s">
        <v>21</v>
      </c>
      <c r="F1267" s="66" t="s">
        <v>1411</v>
      </c>
      <c r="G1267" s="66" t="s">
        <v>1412</v>
      </c>
      <c r="H1267" s="82" t="s">
        <v>349</v>
      </c>
      <c r="I1267" s="115">
        <v>21.61</v>
      </c>
      <c r="J1267" s="84"/>
      <c r="K1267" s="91"/>
      <c r="L1267" s="66"/>
      <c r="M1267" s="66"/>
      <c r="N1267" s="66"/>
      <c r="O1267" s="66"/>
      <c r="P1267" s="66"/>
      <c r="Q1267" s="66"/>
      <c r="R1267" s="72"/>
      <c r="T1267" s="66"/>
      <c r="U1267" s="66"/>
    </row>
    <row r="1268" spans="1:21" ht="18.75" customHeight="1" x14ac:dyDescent="0.2">
      <c r="A1268" s="79"/>
      <c r="B1268" s="79"/>
      <c r="C1268" s="80"/>
      <c r="D1268" s="66"/>
      <c r="E1268" s="86"/>
      <c r="F1268" s="66"/>
      <c r="G1268" s="66" t="s">
        <v>353</v>
      </c>
      <c r="H1268" s="82"/>
      <c r="I1268" s="87"/>
      <c r="J1268" s="84"/>
      <c r="K1268" s="91"/>
      <c r="L1268" s="66"/>
      <c r="M1268" s="66"/>
      <c r="N1268" s="66"/>
      <c r="O1268" s="66"/>
      <c r="P1268" s="66"/>
      <c r="Q1268" s="66"/>
      <c r="R1268" s="72"/>
    </row>
    <row r="1269" spans="1:21" ht="18.75" customHeight="1" x14ac:dyDescent="0.2">
      <c r="A1269" s="70">
        <v>40839</v>
      </c>
      <c r="B1269" s="70">
        <v>40853</v>
      </c>
      <c r="C1269" s="71">
        <v>13208</v>
      </c>
      <c r="D1269" s="72" t="s">
        <v>528</v>
      </c>
      <c r="E1269" s="72" t="s">
        <v>19</v>
      </c>
      <c r="F1269" s="72" t="s">
        <v>529</v>
      </c>
      <c r="G1269" s="72" t="s">
        <v>383</v>
      </c>
      <c r="H1269" s="74" t="s">
        <v>349</v>
      </c>
      <c r="I1269" s="107">
        <v>80.94</v>
      </c>
      <c r="J1269" s="76"/>
      <c r="K1269" s="76">
        <v>23.99</v>
      </c>
      <c r="L1269" s="76"/>
      <c r="M1269" s="70">
        <v>41091</v>
      </c>
      <c r="N1269" s="89">
        <f>DATE(YEAR(M1269)+8,MONTH(M1269),DAY(M1269)-1)</f>
        <v>44012</v>
      </c>
      <c r="O1269" s="95" t="s">
        <v>19</v>
      </c>
      <c r="P1269" s="95" t="s">
        <v>529</v>
      </c>
      <c r="Q1269" s="95" t="s">
        <v>383</v>
      </c>
      <c r="R1269" s="72" t="s">
        <v>349</v>
      </c>
      <c r="S1269" s="72"/>
      <c r="T1269" s="72"/>
      <c r="U1269" s="72"/>
    </row>
    <row r="1270" spans="1:21" ht="18.75" customHeight="1" x14ac:dyDescent="0.2">
      <c r="A1270" s="79"/>
      <c r="B1270" s="79"/>
      <c r="C1270" s="80"/>
      <c r="D1270" s="66"/>
      <c r="E1270" s="86"/>
      <c r="F1270" s="66"/>
      <c r="G1270" s="66" t="s">
        <v>353</v>
      </c>
      <c r="H1270" s="82"/>
      <c r="I1270" s="87"/>
      <c r="J1270" s="84"/>
      <c r="K1270" s="91"/>
      <c r="L1270" s="66"/>
      <c r="M1270" s="66"/>
      <c r="N1270" s="66"/>
      <c r="O1270" s="66"/>
      <c r="P1270" s="66"/>
      <c r="Q1270" s="66"/>
      <c r="R1270" s="72"/>
      <c r="T1270" s="66"/>
      <c r="U1270" s="66"/>
    </row>
    <row r="1271" spans="1:21" ht="18.75" customHeight="1" x14ac:dyDescent="0.2">
      <c r="A1271" s="70">
        <v>40846</v>
      </c>
      <c r="B1271" s="70">
        <v>40860</v>
      </c>
      <c r="C1271" s="71">
        <v>13807</v>
      </c>
      <c r="D1271" s="72" t="s">
        <v>507</v>
      </c>
      <c r="E1271" s="166" t="s">
        <v>1413</v>
      </c>
      <c r="F1271" s="72" t="s">
        <v>1414</v>
      </c>
      <c r="G1271" s="72" t="s">
        <v>495</v>
      </c>
      <c r="H1271" s="74" t="s">
        <v>349</v>
      </c>
      <c r="I1271" s="107">
        <v>58.15</v>
      </c>
      <c r="J1271" s="76"/>
      <c r="K1271" s="76">
        <v>39.4</v>
      </c>
      <c r="L1271" s="76"/>
      <c r="M1271" s="70">
        <v>41000</v>
      </c>
      <c r="N1271" s="89">
        <f>DATE(YEAR(M1271)+8,MONTH(M1271),DAY(M1271)-1)</f>
        <v>43921</v>
      </c>
      <c r="O1271" s="95" t="s">
        <v>19</v>
      </c>
      <c r="P1271" s="95" t="s">
        <v>803</v>
      </c>
      <c r="Q1271" s="95" t="s">
        <v>368</v>
      </c>
      <c r="R1271" s="72" t="s">
        <v>349</v>
      </c>
      <c r="T1271" s="72"/>
      <c r="U1271" s="76"/>
    </row>
    <row r="1272" spans="1:21" ht="18.75" customHeight="1" x14ac:dyDescent="0.2">
      <c r="A1272" s="79"/>
      <c r="B1272" s="79"/>
      <c r="C1272" s="80"/>
      <c r="D1272" s="66"/>
      <c r="E1272" s="66" t="s">
        <v>55</v>
      </c>
      <c r="F1272" s="66" t="s">
        <v>1415</v>
      </c>
      <c r="G1272" s="66" t="s">
        <v>695</v>
      </c>
      <c r="H1272" s="82" t="s">
        <v>349</v>
      </c>
      <c r="I1272" s="115">
        <v>41.85</v>
      </c>
      <c r="J1272" s="84"/>
      <c r="K1272" s="91"/>
      <c r="L1272" s="66"/>
      <c r="M1272" s="66"/>
      <c r="N1272" s="66"/>
      <c r="O1272" s="66"/>
      <c r="P1272" s="66"/>
      <c r="Q1272" s="66"/>
      <c r="R1272" s="72"/>
      <c r="T1272" s="66"/>
      <c r="U1272" s="66"/>
    </row>
    <row r="1273" spans="1:21" ht="18.75" customHeight="1" x14ac:dyDescent="0.2">
      <c r="A1273" s="79"/>
      <c r="B1273" s="79"/>
      <c r="C1273" s="80"/>
      <c r="D1273" s="66"/>
      <c r="E1273" s="167"/>
      <c r="F1273" s="66"/>
      <c r="G1273" s="66" t="s">
        <v>353</v>
      </c>
      <c r="H1273" s="82"/>
      <c r="I1273" s="87"/>
      <c r="J1273" s="84"/>
      <c r="K1273" s="91"/>
      <c r="L1273" s="66"/>
      <c r="M1273" s="66"/>
      <c r="N1273" s="66"/>
      <c r="O1273" s="66"/>
      <c r="P1273" s="66"/>
      <c r="Q1273" s="66"/>
      <c r="R1273" s="72"/>
      <c r="T1273" s="66"/>
      <c r="U1273" s="66"/>
    </row>
    <row r="1274" spans="1:21" ht="18.75" customHeight="1" x14ac:dyDescent="0.2">
      <c r="A1274" s="70">
        <v>40846</v>
      </c>
      <c r="B1274" s="70">
        <v>40860</v>
      </c>
      <c r="C1274" s="71">
        <v>23204</v>
      </c>
      <c r="D1274" s="72" t="s">
        <v>517</v>
      </c>
      <c r="E1274" s="72" t="s">
        <v>19</v>
      </c>
      <c r="F1274" s="72" t="s">
        <v>936</v>
      </c>
      <c r="G1274" s="72" t="s">
        <v>570</v>
      </c>
      <c r="H1274" s="74" t="s">
        <v>349</v>
      </c>
      <c r="I1274" s="107">
        <v>54.45</v>
      </c>
      <c r="J1274" s="76"/>
      <c r="K1274" s="76">
        <v>52.38</v>
      </c>
      <c r="L1274" s="76"/>
      <c r="M1274" s="70">
        <v>41030</v>
      </c>
      <c r="N1274" s="146">
        <v>41820</v>
      </c>
      <c r="O1274" s="95" t="s">
        <v>21</v>
      </c>
      <c r="P1274" s="95" t="s">
        <v>518</v>
      </c>
      <c r="Q1274" s="95" t="s">
        <v>444</v>
      </c>
      <c r="R1274" s="72" t="s">
        <v>349</v>
      </c>
      <c r="S1274" s="72" t="s">
        <v>1318</v>
      </c>
      <c r="U1274" s="72"/>
    </row>
    <row r="1275" spans="1:21" ht="18.75" customHeight="1" x14ac:dyDescent="0.2">
      <c r="A1275" s="79"/>
      <c r="B1275" s="79"/>
      <c r="C1275" s="80"/>
      <c r="D1275" s="66"/>
      <c r="E1275" s="66" t="s">
        <v>518</v>
      </c>
      <c r="F1275" s="66" t="s">
        <v>518</v>
      </c>
      <c r="G1275" s="66" t="s">
        <v>444</v>
      </c>
      <c r="H1275" s="82" t="s">
        <v>349</v>
      </c>
      <c r="I1275" s="115">
        <v>45.55</v>
      </c>
      <c r="J1275" s="84"/>
      <c r="K1275" s="91"/>
      <c r="L1275" s="66"/>
      <c r="M1275" s="66"/>
      <c r="N1275" s="168"/>
      <c r="O1275" s="66"/>
      <c r="P1275" s="66"/>
      <c r="Q1275" s="66"/>
      <c r="R1275" s="72"/>
      <c r="T1275" s="66"/>
      <c r="U1275" s="66"/>
    </row>
    <row r="1276" spans="1:21" ht="18.75" customHeight="1" x14ac:dyDescent="0.2">
      <c r="A1276" s="79"/>
      <c r="B1276" s="79"/>
      <c r="C1276" s="80"/>
      <c r="D1276" s="66"/>
      <c r="E1276" s="86"/>
      <c r="F1276" s="66"/>
      <c r="G1276" s="66" t="s">
        <v>353</v>
      </c>
      <c r="H1276" s="82"/>
      <c r="I1276" s="87"/>
      <c r="J1276" s="84"/>
      <c r="K1276" s="91"/>
      <c r="L1276" s="66"/>
      <c r="M1276" s="66"/>
      <c r="N1276" s="66"/>
      <c r="O1276" s="66"/>
      <c r="P1276" s="66"/>
      <c r="Q1276" s="66"/>
      <c r="R1276" s="72"/>
      <c r="T1276" s="66"/>
      <c r="U1276" s="66"/>
    </row>
    <row r="1277" spans="1:21" ht="18.75" customHeight="1" x14ac:dyDescent="0.2">
      <c r="A1277" s="70">
        <v>40853</v>
      </c>
      <c r="B1277" s="70">
        <v>40867</v>
      </c>
      <c r="C1277" s="71">
        <v>13803</v>
      </c>
      <c r="D1277" s="72" t="s">
        <v>536</v>
      </c>
      <c r="E1277" s="72" t="s">
        <v>21</v>
      </c>
      <c r="F1277" s="72" t="s">
        <v>1416</v>
      </c>
      <c r="G1277" s="72" t="s">
        <v>861</v>
      </c>
      <c r="H1277" s="74" t="s">
        <v>349</v>
      </c>
      <c r="I1277" s="107">
        <v>68.510000000000005</v>
      </c>
      <c r="J1277" s="76"/>
      <c r="K1277" s="76">
        <v>50.93</v>
      </c>
      <c r="L1277" s="76"/>
      <c r="M1277" s="70">
        <v>41122</v>
      </c>
      <c r="N1277" s="89">
        <f>DATE(YEAR(M1277)+8,MONTH(M1277),DAY(M1277)-1)</f>
        <v>44043</v>
      </c>
      <c r="O1277" s="73" t="s">
        <v>21</v>
      </c>
      <c r="P1277" s="73" t="s">
        <v>537</v>
      </c>
      <c r="Q1277" s="73" t="s">
        <v>444</v>
      </c>
      <c r="R1277" s="72" t="s">
        <v>349</v>
      </c>
      <c r="S1277" s="72"/>
      <c r="T1277" s="72"/>
      <c r="U1277" s="72"/>
    </row>
    <row r="1278" spans="1:21" ht="18.75" customHeight="1" x14ac:dyDescent="0.2">
      <c r="A1278" s="79"/>
      <c r="B1278" s="79"/>
      <c r="C1278" s="80"/>
      <c r="D1278" s="66"/>
      <c r="E1278" s="66" t="s">
        <v>19</v>
      </c>
      <c r="F1278" s="66" t="s">
        <v>1417</v>
      </c>
      <c r="G1278" s="66" t="s">
        <v>476</v>
      </c>
      <c r="H1278" s="82" t="s">
        <v>349</v>
      </c>
      <c r="I1278" s="115">
        <v>31.49</v>
      </c>
      <c r="J1278" s="84"/>
      <c r="K1278" s="91"/>
      <c r="L1278" s="66"/>
      <c r="M1278" s="66"/>
      <c r="N1278" s="66"/>
      <c r="O1278" s="66"/>
      <c r="P1278" s="66"/>
      <c r="Q1278" s="66"/>
      <c r="R1278" s="72"/>
      <c r="T1278" s="66"/>
      <c r="U1278" s="66"/>
    </row>
    <row r="1279" spans="1:21" ht="18.75" customHeight="1" x14ac:dyDescent="0.2">
      <c r="A1279" s="79"/>
      <c r="B1279" s="79"/>
      <c r="C1279" s="80"/>
      <c r="D1279" s="66"/>
      <c r="E1279" s="86"/>
      <c r="F1279" s="66"/>
      <c r="G1279" s="66" t="s">
        <v>353</v>
      </c>
      <c r="H1279" s="82"/>
      <c r="I1279" s="87"/>
      <c r="J1279" s="84"/>
      <c r="K1279" s="91"/>
      <c r="L1279" s="66"/>
      <c r="M1279" s="66"/>
      <c r="N1279" s="66"/>
      <c r="O1279" s="66"/>
      <c r="P1279" s="66"/>
      <c r="Q1279" s="66"/>
      <c r="R1279" s="72"/>
      <c r="T1279" s="66"/>
      <c r="U1279" s="66"/>
    </row>
    <row r="1280" spans="1:21" ht="18.75" customHeight="1" x14ac:dyDescent="0.2">
      <c r="A1280" s="70">
        <v>40853</v>
      </c>
      <c r="B1280" s="70">
        <v>40867</v>
      </c>
      <c r="C1280" s="71">
        <v>13805</v>
      </c>
      <c r="D1280" s="72" t="s">
        <v>539</v>
      </c>
      <c r="E1280" s="72" t="s">
        <v>21</v>
      </c>
      <c r="F1280" s="72" t="s">
        <v>1418</v>
      </c>
      <c r="G1280" s="72" t="s">
        <v>695</v>
      </c>
      <c r="H1280" s="74" t="s">
        <v>349</v>
      </c>
      <c r="I1280" s="107">
        <v>68.709999999999994</v>
      </c>
      <c r="J1280" s="76"/>
      <c r="K1280" s="76">
        <v>46.89</v>
      </c>
      <c r="L1280" s="76"/>
      <c r="M1280" s="70">
        <v>41090</v>
      </c>
      <c r="N1280" s="89">
        <f>DATE(YEAR(M1280)+8,MONTH(M1280),DAY(M1280)-1)</f>
        <v>44011</v>
      </c>
      <c r="O1280" s="95" t="s">
        <v>21</v>
      </c>
      <c r="P1280" s="95" t="s">
        <v>540</v>
      </c>
      <c r="Q1280" s="95" t="s">
        <v>348</v>
      </c>
      <c r="R1280" s="72" t="s">
        <v>349</v>
      </c>
      <c r="S1280" s="72"/>
      <c r="T1280" s="72"/>
      <c r="U1280" s="72"/>
    </row>
    <row r="1281" spans="1:21" ht="18.75" customHeight="1" x14ac:dyDescent="0.2">
      <c r="A1281" s="79"/>
      <c r="B1281" s="79"/>
      <c r="C1281" s="80"/>
      <c r="D1281" s="66"/>
      <c r="E1281" s="66" t="s">
        <v>710</v>
      </c>
      <c r="F1281" s="66" t="s">
        <v>710</v>
      </c>
      <c r="G1281" s="66" t="s">
        <v>702</v>
      </c>
      <c r="H1281" s="82" t="s">
        <v>349</v>
      </c>
      <c r="I1281" s="115">
        <v>20.52</v>
      </c>
      <c r="J1281" s="84"/>
      <c r="K1281" s="91"/>
      <c r="L1281" s="66"/>
      <c r="M1281" s="66"/>
      <c r="N1281" s="66"/>
      <c r="O1281" s="66"/>
      <c r="P1281" s="66"/>
      <c r="Q1281" s="66"/>
      <c r="R1281" s="72"/>
      <c r="T1281" s="66"/>
      <c r="U1281" s="66"/>
    </row>
    <row r="1282" spans="1:21" ht="18.75" customHeight="1" x14ac:dyDescent="0.2">
      <c r="A1282" s="79"/>
      <c r="B1282" s="79"/>
      <c r="C1282" s="80"/>
      <c r="D1282" s="66"/>
      <c r="E1282" s="66" t="s">
        <v>19</v>
      </c>
      <c r="F1282" s="66" t="s">
        <v>1419</v>
      </c>
      <c r="G1282" s="66" t="s">
        <v>666</v>
      </c>
      <c r="H1282" s="82" t="s">
        <v>349</v>
      </c>
      <c r="I1282" s="115">
        <v>10.77</v>
      </c>
      <c r="J1282" s="84"/>
      <c r="K1282" s="91"/>
      <c r="L1282" s="66"/>
      <c r="M1282" s="66"/>
      <c r="N1282" s="66"/>
      <c r="O1282" s="66"/>
      <c r="P1282" s="66"/>
      <c r="Q1282" s="66"/>
      <c r="R1282" s="72"/>
      <c r="T1282" s="66"/>
      <c r="U1282" s="66"/>
    </row>
    <row r="1283" spans="1:21" ht="18.75" customHeight="1" x14ac:dyDescent="0.2">
      <c r="A1283" s="79"/>
      <c r="B1283" s="79"/>
      <c r="C1283" s="80"/>
      <c r="D1283" s="66"/>
      <c r="E1283" s="86"/>
      <c r="F1283" s="66"/>
      <c r="G1283" s="66" t="s">
        <v>353</v>
      </c>
      <c r="H1283" s="82"/>
      <c r="I1283" s="87"/>
      <c r="J1283" s="84"/>
      <c r="K1283" s="91"/>
      <c r="L1283" s="66"/>
      <c r="M1283" s="66"/>
      <c r="N1283" s="66"/>
      <c r="O1283" s="66"/>
      <c r="P1283" s="66"/>
      <c r="Q1283" s="66"/>
      <c r="R1283" s="72"/>
      <c r="T1283" s="66"/>
      <c r="U1283" s="66"/>
    </row>
    <row r="1284" spans="1:21" ht="18.75" customHeight="1" x14ac:dyDescent="0.2">
      <c r="A1284" s="70">
        <v>40930</v>
      </c>
      <c r="B1284" s="70">
        <v>40944</v>
      </c>
      <c r="C1284" s="71">
        <v>34007</v>
      </c>
      <c r="D1284" s="72" t="s">
        <v>521</v>
      </c>
      <c r="E1284" s="72" t="s">
        <v>915</v>
      </c>
      <c r="F1284" s="72" t="s">
        <v>915</v>
      </c>
      <c r="G1284" s="72" t="s">
        <v>505</v>
      </c>
      <c r="H1284" s="74" t="s">
        <v>349</v>
      </c>
      <c r="I1284" s="107">
        <v>61.3</v>
      </c>
      <c r="J1284" s="76"/>
      <c r="K1284" s="76">
        <v>57.03</v>
      </c>
      <c r="L1284" s="76"/>
      <c r="M1284" s="70">
        <v>41070</v>
      </c>
      <c r="N1284" s="146">
        <v>41799</v>
      </c>
      <c r="O1284" s="95" t="s">
        <v>55</v>
      </c>
      <c r="P1284" s="95" t="s">
        <v>915</v>
      </c>
      <c r="Q1284" s="95" t="s">
        <v>505</v>
      </c>
      <c r="R1284" s="72" t="s">
        <v>349</v>
      </c>
      <c r="S1284" s="134" t="s">
        <v>1420</v>
      </c>
      <c r="T1284" s="72"/>
      <c r="U1284" s="72"/>
    </row>
    <row r="1285" spans="1:21" ht="18.75" customHeight="1" x14ac:dyDescent="0.2">
      <c r="A1285" s="79"/>
      <c r="B1285" s="79"/>
      <c r="C1285" s="80"/>
      <c r="D1285" s="66"/>
      <c r="E1285" s="66" t="s">
        <v>1421</v>
      </c>
      <c r="F1285" s="66" t="s">
        <v>1421</v>
      </c>
      <c r="G1285" s="66" t="s">
        <v>389</v>
      </c>
      <c r="H1285" s="82" t="s">
        <v>349</v>
      </c>
      <c r="I1285" s="115">
        <v>25.66</v>
      </c>
      <c r="J1285" s="84"/>
      <c r="K1285" s="91"/>
      <c r="L1285" s="66"/>
      <c r="M1285" s="66"/>
      <c r="N1285" s="66"/>
      <c r="O1285" s="66"/>
      <c r="P1285" s="66"/>
      <c r="Q1285" s="66"/>
      <c r="R1285" s="72"/>
    </row>
    <row r="1286" spans="1:21" ht="18.75" customHeight="1" x14ac:dyDescent="0.2">
      <c r="A1286" s="79"/>
      <c r="B1286" s="79"/>
      <c r="C1286" s="80"/>
      <c r="D1286" s="66"/>
      <c r="E1286" s="66" t="s">
        <v>21</v>
      </c>
      <c r="F1286" s="66" t="s">
        <v>1422</v>
      </c>
      <c r="G1286" s="66" t="s">
        <v>723</v>
      </c>
      <c r="H1286" s="82" t="s">
        <v>349</v>
      </c>
      <c r="I1286" s="115">
        <v>13.04</v>
      </c>
      <c r="J1286" s="84"/>
      <c r="K1286" s="91"/>
      <c r="L1286" s="66"/>
      <c r="M1286" s="66"/>
      <c r="N1286" s="66"/>
      <c r="O1286" s="66"/>
      <c r="P1286" s="66"/>
      <c r="Q1286" s="66"/>
      <c r="R1286" s="72"/>
      <c r="T1286" s="66"/>
      <c r="U1286" s="66"/>
    </row>
    <row r="1287" spans="1:21" ht="18.75" customHeight="1" x14ac:dyDescent="0.2">
      <c r="A1287" s="79"/>
      <c r="B1287" s="79"/>
      <c r="C1287" s="80"/>
      <c r="D1287" s="66"/>
      <c r="E1287" s="86"/>
      <c r="F1287" s="66"/>
      <c r="G1287" s="66" t="s">
        <v>353</v>
      </c>
      <c r="H1287" s="82"/>
      <c r="I1287" s="87"/>
      <c r="J1287" s="84"/>
      <c r="K1287" s="91"/>
      <c r="L1287" s="66"/>
      <c r="M1287" s="66"/>
      <c r="N1287" s="66"/>
      <c r="O1287" s="66"/>
      <c r="P1287" s="66"/>
      <c r="Q1287" s="66"/>
      <c r="R1287" s="72"/>
      <c r="T1287" s="66"/>
      <c r="U1287" s="66"/>
    </row>
    <row r="1288" spans="1:21" ht="18.75" customHeight="1" x14ac:dyDescent="0.2">
      <c r="A1288" s="70">
        <v>40979</v>
      </c>
      <c r="B1288" s="70">
        <v>40993</v>
      </c>
      <c r="C1288" s="71">
        <v>13103</v>
      </c>
      <c r="D1288" s="72" t="s">
        <v>524</v>
      </c>
      <c r="E1288" s="72" t="s">
        <v>19</v>
      </c>
      <c r="F1288" s="72" t="s">
        <v>1137</v>
      </c>
      <c r="G1288" s="72" t="s">
        <v>444</v>
      </c>
      <c r="H1288" s="74" t="s">
        <v>349</v>
      </c>
      <c r="I1288" s="107">
        <v>92.85</v>
      </c>
      <c r="J1288" s="76"/>
      <c r="K1288" s="76">
        <v>29.87</v>
      </c>
      <c r="L1288" s="76"/>
      <c r="M1288" s="70">
        <v>41189</v>
      </c>
      <c r="N1288" s="89">
        <f>DATE(YEAR(M1288)+8,MONTH(M1288),DAY(M1288)-1)</f>
        <v>44110</v>
      </c>
      <c r="O1288" s="72"/>
      <c r="P1288" s="72"/>
      <c r="Q1288" s="72"/>
      <c r="R1288" s="72"/>
      <c r="S1288" s="145"/>
      <c r="T1288" s="72"/>
      <c r="U1288" s="76"/>
    </row>
    <row r="1289" spans="1:21" ht="18.75" customHeight="1" x14ac:dyDescent="0.2">
      <c r="A1289" s="79"/>
      <c r="B1289" s="79"/>
      <c r="C1289" s="80"/>
      <c r="D1289" s="66"/>
      <c r="E1289" s="86"/>
      <c r="F1289" s="66"/>
      <c r="G1289" s="66" t="s">
        <v>353</v>
      </c>
      <c r="H1289" s="82"/>
      <c r="I1289" s="87"/>
      <c r="J1289" s="84"/>
      <c r="K1289" s="91"/>
      <c r="L1289" s="66"/>
      <c r="M1289" s="66"/>
      <c r="N1289" s="66"/>
      <c r="O1289" s="66"/>
      <c r="P1289" s="66"/>
      <c r="Q1289" s="66"/>
      <c r="R1289" s="72"/>
      <c r="T1289" s="66"/>
      <c r="U1289" s="66"/>
    </row>
    <row r="1290" spans="1:21" ht="18.75" customHeight="1" x14ac:dyDescent="0.2">
      <c r="A1290" s="70">
        <v>40979</v>
      </c>
      <c r="B1290" s="70">
        <v>40993</v>
      </c>
      <c r="C1290" s="71">
        <v>23101</v>
      </c>
      <c r="D1290" s="72" t="s">
        <v>813</v>
      </c>
      <c r="E1290" s="72" t="s">
        <v>19</v>
      </c>
      <c r="F1290" s="72" t="s">
        <v>814</v>
      </c>
      <c r="G1290" s="72" t="s">
        <v>815</v>
      </c>
      <c r="H1290" s="74" t="s">
        <v>349</v>
      </c>
      <c r="I1290" s="107">
        <v>82.46</v>
      </c>
      <c r="J1290" s="76"/>
      <c r="K1290" s="76">
        <v>39.700000000000003</v>
      </c>
      <c r="L1290" s="76"/>
      <c r="M1290" s="70">
        <v>41010</v>
      </c>
      <c r="N1290" s="89">
        <v>43861</v>
      </c>
      <c r="O1290" s="72" t="s">
        <v>19</v>
      </c>
      <c r="P1290" s="72" t="s">
        <v>814</v>
      </c>
      <c r="Q1290" s="72" t="s">
        <v>815</v>
      </c>
      <c r="R1290" s="72" t="s">
        <v>349</v>
      </c>
      <c r="S1290" s="72" t="s">
        <v>1234</v>
      </c>
      <c r="T1290" s="72"/>
      <c r="U1290" s="72"/>
    </row>
    <row r="1291" spans="1:21" ht="18.75" customHeight="1" x14ac:dyDescent="0.2">
      <c r="A1291" s="79"/>
      <c r="B1291" s="79"/>
      <c r="C1291" s="80"/>
      <c r="D1291" s="66"/>
      <c r="E1291" s="66" t="s">
        <v>1423</v>
      </c>
      <c r="F1291" s="66" t="s">
        <v>347</v>
      </c>
      <c r="G1291" s="66" t="s">
        <v>629</v>
      </c>
      <c r="H1291" s="82" t="s">
        <v>349</v>
      </c>
      <c r="I1291" s="115">
        <v>17.54</v>
      </c>
      <c r="J1291" s="84"/>
      <c r="K1291" s="91"/>
      <c r="L1291" s="66"/>
      <c r="M1291" s="66"/>
      <c r="N1291" s="66"/>
      <c r="O1291" s="66"/>
      <c r="P1291" s="66"/>
      <c r="Q1291" s="66"/>
      <c r="R1291" s="72"/>
      <c r="T1291" s="66"/>
      <c r="U1291" s="66"/>
    </row>
    <row r="1292" spans="1:21" ht="18.75" customHeight="1" x14ac:dyDescent="0.2">
      <c r="A1292" s="79"/>
      <c r="B1292" s="79"/>
      <c r="C1292" s="80"/>
      <c r="D1292" s="66"/>
      <c r="E1292" s="86"/>
      <c r="F1292" s="66"/>
      <c r="G1292" s="66" t="s">
        <v>353</v>
      </c>
      <c r="H1292" s="82"/>
      <c r="I1292" s="87"/>
      <c r="J1292" s="84"/>
      <c r="K1292" s="91"/>
      <c r="L1292" s="66"/>
      <c r="M1292" s="66"/>
      <c r="N1292" s="66"/>
      <c r="O1292" s="66"/>
      <c r="P1292" s="66"/>
      <c r="Q1292" s="66"/>
      <c r="R1292" s="72"/>
      <c r="T1292" s="66"/>
      <c r="U1292" s="66"/>
    </row>
    <row r="1293" spans="1:21" ht="18.75" customHeight="1" x14ac:dyDescent="0.2">
      <c r="A1293" s="70">
        <v>40979</v>
      </c>
      <c r="B1293" s="70">
        <v>40993</v>
      </c>
      <c r="C1293" s="71">
        <v>33101</v>
      </c>
      <c r="D1293" s="72" t="s">
        <v>384</v>
      </c>
      <c r="E1293" s="72" t="s">
        <v>1243</v>
      </c>
      <c r="F1293" s="72" t="s">
        <v>1150</v>
      </c>
      <c r="G1293" s="72" t="s">
        <v>1151</v>
      </c>
      <c r="H1293" s="74" t="s">
        <v>349</v>
      </c>
      <c r="I1293" s="107">
        <v>68.209999999999994</v>
      </c>
      <c r="J1293" s="76"/>
      <c r="K1293" s="76">
        <v>46.19</v>
      </c>
      <c r="L1293" s="76"/>
      <c r="M1293" s="70">
        <v>41244</v>
      </c>
      <c r="N1293" s="89">
        <f>DATE(YEAR(M1293)+8,MONTH(M1293),DAY(M1293)-1)</f>
        <v>44165</v>
      </c>
      <c r="O1293" s="95" t="s">
        <v>313</v>
      </c>
      <c r="P1293" s="95" t="s">
        <v>1150</v>
      </c>
      <c r="Q1293" s="95" t="s">
        <v>1151</v>
      </c>
      <c r="R1293" s="72" t="s">
        <v>349</v>
      </c>
      <c r="S1293" s="72"/>
      <c r="T1293" s="72"/>
      <c r="U1293" s="72"/>
    </row>
    <row r="1294" spans="1:21" ht="18.75" customHeight="1" x14ac:dyDescent="0.2">
      <c r="A1294" s="79"/>
      <c r="B1294" s="79"/>
      <c r="C1294" s="80"/>
      <c r="D1294" s="66"/>
      <c r="E1294" s="66" t="s">
        <v>21</v>
      </c>
      <c r="F1294" s="66" t="s">
        <v>1204</v>
      </c>
      <c r="G1294" s="66" t="s">
        <v>1213</v>
      </c>
      <c r="H1294" s="82" t="s">
        <v>419</v>
      </c>
      <c r="I1294" s="115">
        <v>31.79</v>
      </c>
      <c r="J1294" s="84"/>
      <c r="K1294" s="91"/>
      <c r="L1294" s="66"/>
      <c r="M1294" s="66"/>
      <c r="N1294" s="66"/>
      <c r="O1294" s="66"/>
      <c r="P1294" s="66"/>
      <c r="Q1294" s="66"/>
      <c r="R1294" s="72"/>
      <c r="T1294" s="66"/>
      <c r="U1294" s="66"/>
    </row>
    <row r="1295" spans="1:21" ht="18.75" customHeight="1" x14ac:dyDescent="0.2">
      <c r="A1295" s="79"/>
      <c r="B1295" s="79"/>
      <c r="C1295" s="80"/>
      <c r="D1295" s="66"/>
      <c r="E1295" s="86"/>
      <c r="F1295" s="66"/>
      <c r="G1295" s="66" t="s">
        <v>353</v>
      </c>
      <c r="H1295" s="82"/>
      <c r="I1295" s="87"/>
      <c r="J1295" s="84"/>
      <c r="K1295" s="91"/>
      <c r="L1295" s="66"/>
      <c r="M1295" s="66"/>
      <c r="N1295" s="66"/>
      <c r="O1295" s="66"/>
      <c r="P1295" s="66"/>
      <c r="Q1295" s="66"/>
      <c r="R1295" s="72"/>
      <c r="T1295" s="66"/>
      <c r="U1295" s="66"/>
    </row>
    <row r="1296" spans="1:21" ht="18.75" customHeight="1" x14ac:dyDescent="0.2">
      <c r="A1296" s="70">
        <v>40993</v>
      </c>
      <c r="B1296" s="70">
        <v>41014</v>
      </c>
      <c r="C1296" s="71">
        <v>34008</v>
      </c>
      <c r="D1296" s="72" t="s">
        <v>953</v>
      </c>
      <c r="E1296" s="72" t="s">
        <v>21</v>
      </c>
      <c r="F1296" s="72" t="s">
        <v>1424</v>
      </c>
      <c r="G1296" s="72" t="s">
        <v>477</v>
      </c>
      <c r="H1296" s="74" t="s">
        <v>349</v>
      </c>
      <c r="I1296" s="107">
        <v>66.989999999999995</v>
      </c>
      <c r="J1296" s="76"/>
      <c r="K1296" s="76">
        <v>54.4</v>
      </c>
      <c r="L1296" s="76"/>
      <c r="M1296" s="70">
        <v>41061</v>
      </c>
      <c r="N1296" s="89">
        <f>DATE(YEAR(M1296)+8,MONTH(M1296),DAY(M1296)-1)</f>
        <v>43982</v>
      </c>
      <c r="O1296" s="74" t="s">
        <v>21</v>
      </c>
      <c r="P1296" s="74" t="s">
        <v>954</v>
      </c>
      <c r="Q1296" s="74" t="s">
        <v>407</v>
      </c>
      <c r="R1296" s="72" t="s">
        <v>349</v>
      </c>
      <c r="S1296" s="72"/>
      <c r="T1296" s="72"/>
      <c r="U1296" s="72"/>
    </row>
    <row r="1297" spans="1:21" ht="18.75" customHeight="1" x14ac:dyDescent="0.2">
      <c r="A1297" s="79"/>
      <c r="B1297" s="79"/>
      <c r="C1297" s="80"/>
      <c r="D1297" s="66"/>
      <c r="E1297" s="66" t="s">
        <v>19</v>
      </c>
      <c r="F1297" s="66" t="s">
        <v>1425</v>
      </c>
      <c r="G1297" s="66" t="s">
        <v>1082</v>
      </c>
      <c r="H1297" s="82" t="s">
        <v>349</v>
      </c>
      <c r="I1297" s="115">
        <v>33.01</v>
      </c>
      <c r="J1297" s="84"/>
      <c r="K1297" s="91"/>
      <c r="L1297" s="66"/>
      <c r="M1297" s="66"/>
      <c r="N1297" s="66"/>
      <c r="O1297" s="66"/>
      <c r="P1297" s="66"/>
      <c r="Q1297" s="66"/>
      <c r="R1297" s="72"/>
      <c r="T1297" s="66"/>
      <c r="U1297" s="66"/>
    </row>
    <row r="1298" spans="1:21" ht="18.75" customHeight="1" x14ac:dyDescent="0.2">
      <c r="A1298" s="79"/>
      <c r="B1298" s="79"/>
      <c r="C1298" s="80"/>
      <c r="D1298" s="66"/>
      <c r="E1298" s="86"/>
      <c r="F1298" s="66"/>
      <c r="G1298" s="66" t="s">
        <v>353</v>
      </c>
      <c r="H1298" s="82"/>
      <c r="I1298" s="87"/>
      <c r="J1298" s="84"/>
      <c r="K1298" s="91"/>
      <c r="L1298" s="66"/>
      <c r="M1298" s="66"/>
      <c r="N1298" s="66"/>
      <c r="O1298" s="66"/>
      <c r="P1298" s="66"/>
      <c r="Q1298" s="66"/>
      <c r="R1298" s="72"/>
      <c r="T1298" s="66"/>
      <c r="U1298" s="66"/>
    </row>
    <row r="1299" spans="1:21" ht="18.75" customHeight="1" x14ac:dyDescent="0.2">
      <c r="A1299" s="70">
        <v>41021</v>
      </c>
      <c r="B1299" s="70">
        <v>41035</v>
      </c>
      <c r="C1299" s="71">
        <v>13806</v>
      </c>
      <c r="D1299" s="72" t="s">
        <v>656</v>
      </c>
      <c r="E1299" s="72" t="s">
        <v>21</v>
      </c>
      <c r="F1299" s="72" t="s">
        <v>1426</v>
      </c>
      <c r="G1299" s="72" t="s">
        <v>585</v>
      </c>
      <c r="H1299" s="74" t="s">
        <v>349</v>
      </c>
      <c r="I1299" s="107">
        <v>74.92</v>
      </c>
      <c r="J1299" s="76"/>
      <c r="K1299" s="76">
        <v>33.79</v>
      </c>
      <c r="L1299" s="76"/>
      <c r="M1299" s="70">
        <v>41275</v>
      </c>
      <c r="N1299" s="89">
        <f>DATE(YEAR(M1299)+8,MONTH(M1299),DAY(M1299)-1)</f>
        <v>44196</v>
      </c>
      <c r="O1299" s="73" t="s">
        <v>21</v>
      </c>
      <c r="P1299" s="73" t="s">
        <v>657</v>
      </c>
      <c r="Q1299" s="73" t="s">
        <v>570</v>
      </c>
      <c r="R1299" s="72" t="s">
        <v>349</v>
      </c>
      <c r="S1299" s="72"/>
      <c r="T1299" s="72"/>
      <c r="U1299" s="72"/>
    </row>
    <row r="1300" spans="1:21" ht="18.75" customHeight="1" x14ac:dyDescent="0.2">
      <c r="A1300" s="79"/>
      <c r="B1300" s="79"/>
      <c r="C1300" s="80"/>
      <c r="D1300" s="66"/>
      <c r="E1300" s="66" t="s">
        <v>34</v>
      </c>
      <c r="F1300" s="66" t="s">
        <v>1427</v>
      </c>
      <c r="G1300" s="66" t="s">
        <v>476</v>
      </c>
      <c r="H1300" s="82" t="s">
        <v>349</v>
      </c>
      <c r="I1300" s="115">
        <v>25.08</v>
      </c>
      <c r="J1300" s="84"/>
      <c r="K1300" s="91"/>
      <c r="L1300" s="66"/>
      <c r="M1300" s="66"/>
      <c r="N1300" s="66"/>
      <c r="O1300" s="66"/>
      <c r="P1300" s="66"/>
      <c r="Q1300" s="66"/>
      <c r="R1300" s="72"/>
      <c r="T1300" s="66"/>
      <c r="U1300" s="66"/>
    </row>
    <row r="1301" spans="1:21" ht="18.75" customHeight="1" x14ac:dyDescent="0.2">
      <c r="A1301" s="79"/>
      <c r="B1301" s="79"/>
      <c r="C1301" s="80"/>
      <c r="D1301" s="66"/>
      <c r="E1301" s="86"/>
      <c r="F1301" s="66"/>
      <c r="G1301" s="66" t="s">
        <v>353</v>
      </c>
      <c r="H1301" s="82"/>
      <c r="I1301" s="87"/>
      <c r="J1301" s="84"/>
      <c r="K1301" s="91"/>
      <c r="L1301" s="66"/>
      <c r="M1301" s="66"/>
      <c r="N1301" s="66"/>
      <c r="O1301" s="66"/>
      <c r="P1301" s="66"/>
      <c r="Q1301" s="66"/>
      <c r="R1301" s="72"/>
      <c r="T1301" s="66"/>
      <c r="U1301" s="66"/>
    </row>
    <row r="1302" spans="1:21" ht="18.75" customHeight="1" x14ac:dyDescent="0.2">
      <c r="A1302" s="70">
        <v>41021</v>
      </c>
      <c r="B1302" s="70">
        <v>41035</v>
      </c>
      <c r="C1302" s="71">
        <v>33201</v>
      </c>
      <c r="D1302" s="72" t="s">
        <v>390</v>
      </c>
      <c r="E1302" s="72" t="s">
        <v>19</v>
      </c>
      <c r="F1302" s="72" t="s">
        <v>541</v>
      </c>
      <c r="G1302" s="72" t="s">
        <v>593</v>
      </c>
      <c r="H1302" s="74" t="s">
        <v>349</v>
      </c>
      <c r="I1302" s="107">
        <v>84.41</v>
      </c>
      <c r="J1302" s="76"/>
      <c r="K1302" s="76">
        <v>35.35</v>
      </c>
      <c r="L1302" s="76"/>
      <c r="M1302" s="70">
        <v>41030</v>
      </c>
      <c r="N1302" s="89">
        <f>DATE(YEAR(M1302)+4,MONTH(M1302),DAY(M1302)-1)</f>
        <v>42490</v>
      </c>
      <c r="O1302" s="73" t="s">
        <v>55</v>
      </c>
      <c r="P1302" s="73" t="s">
        <v>640</v>
      </c>
      <c r="Q1302" s="73" t="s">
        <v>641</v>
      </c>
      <c r="R1302" s="72" t="s">
        <v>419</v>
      </c>
      <c r="S1302" s="72"/>
      <c r="T1302" s="72"/>
      <c r="U1302" s="72"/>
    </row>
    <row r="1303" spans="1:21" ht="18.75" customHeight="1" x14ac:dyDescent="0.2">
      <c r="A1303" s="79"/>
      <c r="B1303" s="79"/>
      <c r="C1303" s="80"/>
      <c r="D1303" s="66"/>
      <c r="E1303" s="86"/>
      <c r="F1303" s="66"/>
      <c r="G1303" s="66" t="s">
        <v>353</v>
      </c>
      <c r="H1303" s="82"/>
      <c r="I1303" s="87"/>
      <c r="J1303" s="84"/>
      <c r="K1303" s="91"/>
      <c r="L1303" s="66"/>
      <c r="M1303" s="66"/>
      <c r="N1303" s="66"/>
      <c r="O1303" s="66"/>
      <c r="P1303" s="66"/>
      <c r="Q1303" s="66"/>
      <c r="R1303" s="72"/>
      <c r="T1303" s="66"/>
      <c r="U1303" s="66"/>
    </row>
    <row r="1304" spans="1:21" ht="18.75" customHeight="1" x14ac:dyDescent="0.2">
      <c r="A1304" s="70">
        <v>41021</v>
      </c>
      <c r="B1304" s="70">
        <v>41035</v>
      </c>
      <c r="C1304" s="71">
        <v>33205</v>
      </c>
      <c r="D1304" s="72" t="s">
        <v>1428</v>
      </c>
      <c r="E1304" s="72" t="s">
        <v>1429</v>
      </c>
      <c r="F1304" s="72" t="s">
        <v>1429</v>
      </c>
      <c r="G1304" s="72" t="s">
        <v>360</v>
      </c>
      <c r="H1304" s="74" t="s">
        <v>349</v>
      </c>
      <c r="I1304" s="107">
        <v>62.14</v>
      </c>
      <c r="J1304" s="76"/>
      <c r="K1304" s="76">
        <v>47.72</v>
      </c>
      <c r="L1304" s="76"/>
      <c r="M1304" s="70">
        <v>41275</v>
      </c>
      <c r="N1304" s="89">
        <f>DATE(YEAR(M1304)+8,MONTH(M1304),DAY(M1304)-1)</f>
        <v>44196</v>
      </c>
      <c r="O1304" s="95" t="s">
        <v>19</v>
      </c>
      <c r="P1304" s="95" t="s">
        <v>555</v>
      </c>
      <c r="Q1304" s="95" t="s">
        <v>556</v>
      </c>
      <c r="R1304" s="72" t="s">
        <v>349</v>
      </c>
      <c r="S1304" s="72"/>
      <c r="T1304" s="72"/>
      <c r="U1304" s="72"/>
    </row>
    <row r="1305" spans="1:21" ht="18.75" customHeight="1" x14ac:dyDescent="0.2">
      <c r="A1305" s="79"/>
      <c r="B1305" s="79"/>
      <c r="C1305" s="80"/>
      <c r="D1305" s="66"/>
      <c r="E1305" s="66" t="s">
        <v>19</v>
      </c>
      <c r="F1305" s="66" t="s">
        <v>1430</v>
      </c>
      <c r="G1305" s="66" t="s">
        <v>1431</v>
      </c>
      <c r="H1305" s="82" t="s">
        <v>349</v>
      </c>
      <c r="I1305" s="115">
        <v>23.19</v>
      </c>
      <c r="J1305" s="84"/>
      <c r="K1305" s="91"/>
      <c r="L1305" s="66"/>
      <c r="M1305" s="66"/>
      <c r="N1305" s="66"/>
      <c r="O1305" s="66"/>
      <c r="P1305" s="66"/>
      <c r="Q1305" s="66"/>
      <c r="R1305" s="72"/>
      <c r="T1305" s="66"/>
      <c r="U1305" s="66"/>
    </row>
    <row r="1306" spans="1:21" ht="18.75" customHeight="1" x14ac:dyDescent="0.2">
      <c r="A1306" s="79"/>
      <c r="B1306" s="79"/>
      <c r="C1306" s="80"/>
      <c r="D1306" s="66"/>
      <c r="E1306" s="66" t="s">
        <v>55</v>
      </c>
      <c r="F1306" s="66" t="s">
        <v>1038</v>
      </c>
      <c r="G1306" s="66" t="s">
        <v>1432</v>
      </c>
      <c r="H1306" s="82" t="s">
        <v>349</v>
      </c>
      <c r="I1306" s="115">
        <v>14.67</v>
      </c>
      <c r="J1306" s="84"/>
      <c r="K1306" s="91"/>
      <c r="L1306" s="66"/>
      <c r="M1306" s="66"/>
      <c r="N1306" s="66"/>
      <c r="O1306" s="66"/>
      <c r="P1306" s="66"/>
      <c r="Q1306" s="66"/>
      <c r="R1306" s="72"/>
      <c r="T1306" s="66"/>
      <c r="U1306" s="66"/>
    </row>
    <row r="1307" spans="1:21" ht="18.75" customHeight="1" x14ac:dyDescent="0.2">
      <c r="A1307" s="79"/>
      <c r="B1307" s="79"/>
      <c r="C1307" s="80"/>
      <c r="D1307" s="66"/>
      <c r="E1307" s="86"/>
      <c r="F1307" s="66"/>
      <c r="G1307" s="66" t="s">
        <v>353</v>
      </c>
      <c r="H1307" s="82"/>
      <c r="I1307" s="87"/>
      <c r="J1307" s="84"/>
      <c r="K1307" s="91"/>
      <c r="L1307" s="66"/>
      <c r="M1307" s="66"/>
      <c r="N1307" s="66"/>
      <c r="O1307" s="66"/>
      <c r="P1307" s="66"/>
      <c r="Q1307" s="66"/>
      <c r="R1307" s="72"/>
      <c r="T1307" s="66"/>
      <c r="U1307" s="66"/>
    </row>
    <row r="1308" spans="1:21" ht="18.75" customHeight="1" x14ac:dyDescent="0.2">
      <c r="A1308" s="70">
        <v>41021</v>
      </c>
      <c r="B1308" s="70">
        <v>41035</v>
      </c>
      <c r="C1308" s="71">
        <v>33502</v>
      </c>
      <c r="D1308" s="72" t="s">
        <v>1036</v>
      </c>
      <c r="E1308" s="72" t="s">
        <v>19</v>
      </c>
      <c r="F1308" s="72" t="s">
        <v>1038</v>
      </c>
      <c r="G1308" s="72" t="s">
        <v>477</v>
      </c>
      <c r="H1308" s="74" t="s">
        <v>349</v>
      </c>
      <c r="I1308" s="107">
        <v>55.59</v>
      </c>
      <c r="J1308" s="76"/>
      <c r="K1308" s="76">
        <v>51.26</v>
      </c>
      <c r="L1308" s="76"/>
      <c r="M1308" s="70">
        <v>41160</v>
      </c>
      <c r="N1308" s="146">
        <v>41820</v>
      </c>
      <c r="O1308" s="95" t="s">
        <v>19</v>
      </c>
      <c r="P1308" s="95" t="s">
        <v>1038</v>
      </c>
      <c r="Q1308" s="95" t="s">
        <v>477</v>
      </c>
      <c r="R1308" s="72" t="s">
        <v>349</v>
      </c>
      <c r="S1308" s="72" t="s">
        <v>1195</v>
      </c>
      <c r="T1308" s="72"/>
      <c r="U1308" s="72"/>
    </row>
    <row r="1309" spans="1:21" ht="18.75" customHeight="1" x14ac:dyDescent="0.2">
      <c r="A1309" s="79"/>
      <c r="B1309" s="79"/>
      <c r="C1309" s="80"/>
      <c r="D1309" s="66"/>
      <c r="E1309" s="66" t="s">
        <v>21</v>
      </c>
      <c r="F1309" s="66" t="s">
        <v>1182</v>
      </c>
      <c r="G1309" s="66" t="s">
        <v>355</v>
      </c>
      <c r="H1309" s="82" t="s">
        <v>349</v>
      </c>
      <c r="I1309" s="115">
        <v>36.729999999999997</v>
      </c>
      <c r="J1309" s="84"/>
      <c r="K1309" s="91"/>
      <c r="L1309" s="66"/>
      <c r="M1309" s="66"/>
      <c r="N1309" s="66"/>
      <c r="O1309" s="66"/>
      <c r="P1309" s="66"/>
      <c r="Q1309" s="66"/>
      <c r="R1309" s="72"/>
      <c r="T1309" s="66"/>
      <c r="U1309" s="66"/>
    </row>
    <row r="1310" spans="1:21" ht="18.75" customHeight="1" x14ac:dyDescent="0.2">
      <c r="A1310" s="79"/>
      <c r="B1310" s="79"/>
      <c r="C1310" s="80"/>
      <c r="D1310" s="66"/>
      <c r="E1310" s="66" t="s">
        <v>38</v>
      </c>
      <c r="F1310" s="66" t="s">
        <v>1433</v>
      </c>
      <c r="G1310" s="66" t="s">
        <v>1434</v>
      </c>
      <c r="H1310" s="82" t="s">
        <v>419</v>
      </c>
      <c r="I1310" s="115">
        <v>7.68</v>
      </c>
      <c r="J1310" s="84"/>
      <c r="K1310" s="91"/>
      <c r="L1310" s="66"/>
      <c r="M1310" s="66"/>
      <c r="N1310" s="66"/>
      <c r="O1310" s="66"/>
      <c r="P1310" s="66"/>
      <c r="Q1310" s="66"/>
      <c r="R1310" s="72"/>
      <c r="T1310" s="66"/>
      <c r="U1310" s="66"/>
    </row>
    <row r="1311" spans="1:21" ht="18.75" customHeight="1" x14ac:dyDescent="0.2">
      <c r="A1311" s="79"/>
      <c r="B1311" s="79"/>
      <c r="C1311" s="80"/>
      <c r="D1311" s="66"/>
      <c r="E1311" s="86"/>
      <c r="F1311" s="66"/>
      <c r="G1311" s="66" t="s">
        <v>353</v>
      </c>
      <c r="H1311" s="82"/>
      <c r="I1311" s="87"/>
      <c r="J1311" s="84"/>
      <c r="K1311" s="91"/>
      <c r="L1311" s="66"/>
      <c r="M1311" s="66"/>
      <c r="N1311" s="66"/>
      <c r="O1311" s="66"/>
      <c r="P1311" s="66"/>
      <c r="Q1311" s="66"/>
      <c r="R1311" s="72"/>
      <c r="T1311" s="66"/>
      <c r="U1311" s="66"/>
    </row>
    <row r="1312" spans="1:21" ht="18.75" customHeight="1" x14ac:dyDescent="0.2">
      <c r="A1312" s="70">
        <v>41021</v>
      </c>
      <c r="B1312" s="70">
        <v>41035</v>
      </c>
      <c r="C1312" s="71">
        <v>33505</v>
      </c>
      <c r="D1312" s="72" t="s">
        <v>582</v>
      </c>
      <c r="E1312" s="72" t="s">
        <v>19</v>
      </c>
      <c r="F1312" s="72" t="s">
        <v>1435</v>
      </c>
      <c r="G1312" s="72" t="s">
        <v>389</v>
      </c>
      <c r="H1312" s="74" t="s">
        <v>349</v>
      </c>
      <c r="I1312" s="107">
        <v>60.8</v>
      </c>
      <c r="J1312" s="76"/>
      <c r="K1312" s="76">
        <v>37.96</v>
      </c>
      <c r="L1312" s="76"/>
      <c r="M1312" s="70">
        <v>41283</v>
      </c>
      <c r="N1312" s="89">
        <f>DATE(YEAR(M1312)+8,MONTH(M1312),DAY(M1312)-1)</f>
        <v>44204</v>
      </c>
      <c r="O1312" s="73" t="s">
        <v>19</v>
      </c>
      <c r="P1312" s="73" t="s">
        <v>583</v>
      </c>
      <c r="Q1312" s="73" t="s">
        <v>358</v>
      </c>
      <c r="R1312" s="72" t="s">
        <v>349</v>
      </c>
      <c r="S1312" s="72"/>
      <c r="T1312" s="72"/>
      <c r="U1312" s="72"/>
    </row>
    <row r="1313" spans="1:21" ht="18.75" customHeight="1" x14ac:dyDescent="0.2">
      <c r="A1313" s="79"/>
      <c r="B1313" s="79"/>
      <c r="C1313" s="80"/>
      <c r="D1313" s="66"/>
      <c r="E1313" s="66" t="s">
        <v>1436</v>
      </c>
      <c r="F1313" s="66" t="s">
        <v>1437</v>
      </c>
      <c r="G1313" s="66" t="s">
        <v>348</v>
      </c>
      <c r="H1313" s="82" t="s">
        <v>349</v>
      </c>
      <c r="I1313" s="115">
        <v>39.200000000000003</v>
      </c>
      <c r="J1313" s="84"/>
      <c r="K1313" s="91"/>
      <c r="L1313" s="66"/>
      <c r="M1313" s="66"/>
      <c r="N1313" s="66"/>
      <c r="O1313" s="66"/>
      <c r="P1313" s="66"/>
      <c r="Q1313" s="66"/>
      <c r="R1313" s="72"/>
      <c r="T1313" s="66"/>
      <c r="U1313" s="66"/>
    </row>
    <row r="1314" spans="1:21" ht="18.75" customHeight="1" x14ac:dyDescent="0.2">
      <c r="A1314" s="79"/>
      <c r="B1314" s="79"/>
      <c r="C1314" s="80"/>
      <c r="D1314" s="66"/>
      <c r="E1314" s="86"/>
      <c r="F1314" s="66"/>
      <c r="G1314" s="66" t="s">
        <v>353</v>
      </c>
      <c r="H1314" s="82"/>
      <c r="I1314" s="87"/>
      <c r="J1314" s="84"/>
      <c r="K1314" s="91"/>
      <c r="L1314" s="66"/>
      <c r="M1314" s="66"/>
      <c r="N1314" s="66"/>
      <c r="O1314" s="66"/>
      <c r="P1314" s="66"/>
      <c r="Q1314" s="66"/>
      <c r="R1314" s="72"/>
      <c r="T1314" s="66"/>
      <c r="U1314" s="66"/>
    </row>
    <row r="1315" spans="1:21" ht="18.75" customHeight="1" x14ac:dyDescent="0.2">
      <c r="A1315" s="70">
        <v>41035</v>
      </c>
      <c r="B1315" s="70">
        <v>41049</v>
      </c>
      <c r="C1315" s="71">
        <v>14007</v>
      </c>
      <c r="D1315" s="72" t="s">
        <v>625</v>
      </c>
      <c r="E1315" s="72" t="s">
        <v>21</v>
      </c>
      <c r="F1315" s="72" t="s">
        <v>1438</v>
      </c>
      <c r="G1315" s="72" t="s">
        <v>383</v>
      </c>
      <c r="H1315" s="74" t="s">
        <v>349</v>
      </c>
      <c r="I1315" s="107">
        <v>43.43</v>
      </c>
      <c r="J1315" s="121">
        <v>65.98</v>
      </c>
      <c r="K1315" s="76">
        <v>42.74</v>
      </c>
      <c r="L1315" s="76">
        <v>39.61</v>
      </c>
      <c r="M1315" s="70">
        <v>41143</v>
      </c>
      <c r="N1315" s="89">
        <f>DATE(YEAR(M1315)+8,MONTH(M1315),DAY(M1315)-1)</f>
        <v>44064</v>
      </c>
      <c r="O1315" s="138" t="s">
        <v>626</v>
      </c>
      <c r="P1315" s="138" t="s">
        <v>626</v>
      </c>
      <c r="Q1315" s="138" t="s">
        <v>360</v>
      </c>
      <c r="R1315" s="72" t="s">
        <v>349</v>
      </c>
      <c r="S1315" s="111"/>
      <c r="T1315" s="72"/>
      <c r="U1315" s="72"/>
    </row>
    <row r="1316" spans="1:21" ht="18.75" customHeight="1" x14ac:dyDescent="0.2">
      <c r="A1316" s="79"/>
      <c r="B1316" s="79"/>
      <c r="C1316" s="80"/>
      <c r="D1316" s="66"/>
      <c r="E1316" s="66" t="s">
        <v>19</v>
      </c>
      <c r="F1316" s="66" t="s">
        <v>1439</v>
      </c>
      <c r="G1316" s="66" t="s">
        <v>1440</v>
      </c>
      <c r="H1316" s="82" t="s">
        <v>349</v>
      </c>
      <c r="I1316" s="115">
        <v>36.96</v>
      </c>
      <c r="J1316" s="123">
        <v>34.020000000000003</v>
      </c>
      <c r="K1316" s="91"/>
      <c r="L1316" s="66"/>
      <c r="M1316" s="66"/>
      <c r="N1316" s="66"/>
      <c r="O1316" s="66"/>
      <c r="P1316" s="66"/>
      <c r="Q1316" s="66"/>
      <c r="R1316" s="72"/>
      <c r="T1316" s="66"/>
      <c r="U1316" s="66"/>
    </row>
    <row r="1317" spans="1:21" ht="18.75" customHeight="1" x14ac:dyDescent="0.2">
      <c r="A1317" s="79"/>
      <c r="B1317" s="79"/>
      <c r="C1317" s="80"/>
      <c r="D1317" s="66"/>
      <c r="E1317" s="66" t="s">
        <v>1441</v>
      </c>
      <c r="F1317" s="66" t="s">
        <v>1441</v>
      </c>
      <c r="G1317" s="66" t="s">
        <v>476</v>
      </c>
      <c r="H1317" s="82" t="s">
        <v>349</v>
      </c>
      <c r="I1317" s="115">
        <v>19.61</v>
      </c>
      <c r="J1317" s="84"/>
      <c r="K1317" s="91"/>
      <c r="L1317" s="66"/>
      <c r="M1317" s="66"/>
      <c r="N1317" s="66"/>
      <c r="O1317" s="66"/>
      <c r="P1317" s="66"/>
      <c r="Q1317" s="66"/>
      <c r="R1317" s="72"/>
      <c r="T1317" s="66"/>
      <c r="U1317" s="66"/>
    </row>
    <row r="1318" spans="1:21" ht="18.75" customHeight="1" x14ac:dyDescent="0.2">
      <c r="A1318" s="79"/>
      <c r="B1318" s="79"/>
      <c r="C1318" s="80"/>
      <c r="D1318" s="66"/>
      <c r="E1318" s="86"/>
      <c r="F1318" s="66"/>
      <c r="G1318" s="66" t="s">
        <v>353</v>
      </c>
      <c r="H1318" s="82"/>
      <c r="I1318" s="87"/>
      <c r="J1318" s="84"/>
      <c r="K1318" s="91"/>
      <c r="L1318" s="66"/>
      <c r="M1318" s="66"/>
      <c r="N1318" s="66"/>
      <c r="O1318" s="66"/>
      <c r="P1318" s="66"/>
      <c r="Q1318" s="66"/>
      <c r="R1318" s="72"/>
      <c r="T1318" s="66"/>
      <c r="U1318" s="66"/>
    </row>
    <row r="1319" spans="1:21" ht="18.75" customHeight="1" x14ac:dyDescent="0.2">
      <c r="A1319" s="70">
        <v>41063</v>
      </c>
      <c r="B1319" s="70">
        <v>41077</v>
      </c>
      <c r="C1319" s="71">
        <v>14002</v>
      </c>
      <c r="D1319" s="72" t="s">
        <v>572</v>
      </c>
      <c r="E1319" s="72" t="s">
        <v>507</v>
      </c>
      <c r="F1319" s="72" t="s">
        <v>507</v>
      </c>
      <c r="G1319" s="72" t="s">
        <v>389</v>
      </c>
      <c r="H1319" s="74" t="s">
        <v>349</v>
      </c>
      <c r="I1319" s="107">
        <v>90.89</v>
      </c>
      <c r="J1319" s="76"/>
      <c r="K1319" s="76">
        <v>34.619999999999997</v>
      </c>
      <c r="L1319" s="76"/>
      <c r="M1319" s="70">
        <v>41334</v>
      </c>
      <c r="N1319" s="89">
        <f>DATE(YEAR(M1319)+8,MONTH(M1319),DAY(M1319)-1)</f>
        <v>44255</v>
      </c>
      <c r="O1319" s="95" t="s">
        <v>507</v>
      </c>
      <c r="P1319" s="95" t="s">
        <v>507</v>
      </c>
      <c r="Q1319" s="95" t="s">
        <v>389</v>
      </c>
      <c r="R1319" s="72" t="s">
        <v>349</v>
      </c>
      <c r="S1319" s="111"/>
      <c r="T1319" s="72"/>
      <c r="U1319" s="72"/>
    </row>
    <row r="1320" spans="1:21" ht="18.75" customHeight="1" x14ac:dyDescent="0.2">
      <c r="A1320" s="79"/>
      <c r="B1320" s="79"/>
      <c r="C1320" s="80"/>
      <c r="D1320" s="66"/>
      <c r="E1320" s="86"/>
      <c r="F1320" s="66"/>
      <c r="G1320" s="66" t="s">
        <v>353</v>
      </c>
      <c r="H1320" s="82"/>
      <c r="I1320" s="87"/>
      <c r="J1320" s="84"/>
      <c r="K1320" s="91"/>
      <c r="L1320" s="66"/>
      <c r="M1320" s="66"/>
      <c r="N1320" s="66"/>
      <c r="O1320" s="66"/>
      <c r="P1320" s="66"/>
      <c r="Q1320" s="66"/>
      <c r="R1320" s="72"/>
      <c r="T1320" s="66"/>
      <c r="U1320" s="66"/>
    </row>
    <row r="1321" spans="1:21" ht="18.75" customHeight="1" x14ac:dyDescent="0.2">
      <c r="A1321" s="70">
        <v>41063</v>
      </c>
      <c r="B1321" s="70">
        <v>41077</v>
      </c>
      <c r="C1321" s="71">
        <v>14109</v>
      </c>
      <c r="D1321" s="72" t="s">
        <v>1442</v>
      </c>
      <c r="E1321" s="72" t="s">
        <v>19</v>
      </c>
      <c r="F1321" s="72" t="s">
        <v>551</v>
      </c>
      <c r="G1321" s="72" t="s">
        <v>368</v>
      </c>
      <c r="H1321" s="74" t="s">
        <v>349</v>
      </c>
      <c r="I1321" s="107">
        <v>47.49</v>
      </c>
      <c r="J1321" s="121">
        <v>52.5</v>
      </c>
      <c r="K1321" s="76">
        <v>53.91</v>
      </c>
      <c r="L1321" s="76">
        <v>52.4</v>
      </c>
      <c r="M1321" s="70">
        <v>41091</v>
      </c>
      <c r="N1321" s="78">
        <f>DATE(YEAR(M1321)+8,MONTH(M1321),DAY(M1321)-1)</f>
        <v>44012</v>
      </c>
      <c r="O1321" s="72"/>
      <c r="P1321" s="72"/>
      <c r="Q1321" s="72"/>
      <c r="R1321" s="72"/>
      <c r="S1321" s="72" t="s">
        <v>1308</v>
      </c>
      <c r="U1321" s="72"/>
    </row>
    <row r="1322" spans="1:21" ht="18.75" customHeight="1" x14ac:dyDescent="0.2">
      <c r="A1322" s="79"/>
      <c r="B1322" s="79"/>
      <c r="C1322" s="80"/>
      <c r="D1322" s="66"/>
      <c r="E1322" s="66" t="s">
        <v>21</v>
      </c>
      <c r="F1322" s="66" t="s">
        <v>1443</v>
      </c>
      <c r="G1322" s="66" t="s">
        <v>769</v>
      </c>
      <c r="H1322" s="82" t="s">
        <v>349</v>
      </c>
      <c r="I1322" s="115">
        <v>41.89</v>
      </c>
      <c r="J1322" s="123">
        <v>47.5</v>
      </c>
      <c r="K1322" s="85"/>
      <c r="L1322" s="66"/>
      <c r="M1322" s="66"/>
      <c r="N1322" s="66"/>
      <c r="O1322" s="66"/>
      <c r="P1322" s="66"/>
      <c r="Q1322" s="66"/>
      <c r="R1322" s="72"/>
      <c r="T1322" s="66"/>
      <c r="U1322" s="66"/>
    </row>
    <row r="1323" spans="1:21" ht="18.75" customHeight="1" x14ac:dyDescent="0.2">
      <c r="A1323" s="79"/>
      <c r="B1323" s="79"/>
      <c r="C1323" s="80"/>
      <c r="D1323" s="66"/>
      <c r="E1323" s="66" t="s">
        <v>1444</v>
      </c>
      <c r="F1323" s="66" t="s">
        <v>1445</v>
      </c>
      <c r="G1323" s="66" t="s">
        <v>1446</v>
      </c>
      <c r="H1323" s="82" t="s">
        <v>349</v>
      </c>
      <c r="I1323" s="115">
        <v>10.63</v>
      </c>
      <c r="J1323" s="84"/>
      <c r="K1323" s="85"/>
      <c r="L1323" s="66"/>
      <c r="M1323" s="66"/>
      <c r="N1323" s="66"/>
      <c r="O1323" s="66"/>
      <c r="P1323" s="66"/>
      <c r="Q1323" s="66"/>
      <c r="R1323" s="72"/>
      <c r="T1323" s="66"/>
      <c r="U1323" s="66"/>
    </row>
    <row r="1324" spans="1:21" ht="18.75" customHeight="1" x14ac:dyDescent="0.2">
      <c r="A1324" s="79"/>
      <c r="B1324" s="79"/>
      <c r="C1324" s="80"/>
      <c r="D1324" s="66"/>
      <c r="E1324" s="86"/>
      <c r="F1324" s="66"/>
      <c r="G1324" s="66" t="s">
        <v>353</v>
      </c>
      <c r="H1324" s="82"/>
      <c r="I1324" s="87"/>
      <c r="J1324" s="84"/>
      <c r="K1324" s="85"/>
      <c r="L1324" s="66"/>
      <c r="M1324" s="66"/>
      <c r="N1324" s="66"/>
      <c r="O1324" s="66"/>
      <c r="P1324" s="66"/>
      <c r="Q1324" s="66"/>
      <c r="R1324" s="72"/>
      <c r="T1324" s="66"/>
      <c r="U1324" s="66"/>
    </row>
    <row r="1325" spans="1:21" ht="18.75" customHeight="1" x14ac:dyDescent="0.2">
      <c r="A1325" s="70">
        <v>41203</v>
      </c>
      <c r="B1325" s="70">
        <v>41217</v>
      </c>
      <c r="C1325" s="71">
        <v>14105</v>
      </c>
      <c r="D1325" s="72" t="s">
        <v>589</v>
      </c>
      <c r="E1325" s="72" t="s">
        <v>55</v>
      </c>
      <c r="F1325" s="72" t="s">
        <v>590</v>
      </c>
      <c r="G1325" s="72" t="s">
        <v>591</v>
      </c>
      <c r="H1325" s="74" t="s">
        <v>349</v>
      </c>
      <c r="I1325" s="107">
        <v>94.97</v>
      </c>
      <c r="J1325" s="76"/>
      <c r="K1325" s="76">
        <v>42.74</v>
      </c>
      <c r="L1325" s="76"/>
      <c r="M1325" s="70">
        <v>41456</v>
      </c>
      <c r="N1325" s="78">
        <f>DATE(YEAR(M1325)+8,MONTH(M1325),DAY(M1325)-1)</f>
        <v>44377</v>
      </c>
      <c r="O1325" s="138" t="s">
        <v>55</v>
      </c>
      <c r="P1325" s="138" t="s">
        <v>590</v>
      </c>
      <c r="Q1325" s="138" t="s">
        <v>591</v>
      </c>
      <c r="R1325" s="72" t="s">
        <v>349</v>
      </c>
      <c r="S1325" s="72"/>
      <c r="T1325" s="72"/>
      <c r="U1325" s="72"/>
    </row>
    <row r="1326" spans="1:21" ht="18.75" customHeight="1" x14ac:dyDescent="0.2">
      <c r="A1326" s="79"/>
      <c r="B1326" s="79"/>
      <c r="C1326" s="80"/>
      <c r="D1326" s="66"/>
      <c r="E1326" s="86"/>
      <c r="F1326" s="66"/>
      <c r="G1326" s="66" t="s">
        <v>353</v>
      </c>
      <c r="H1326" s="82"/>
      <c r="I1326" s="87"/>
      <c r="J1326" s="84"/>
      <c r="K1326" s="85"/>
      <c r="L1326" s="66"/>
      <c r="M1326" s="66"/>
      <c r="N1326" s="66"/>
      <c r="O1326" s="66"/>
      <c r="P1326" s="66"/>
      <c r="Q1326" s="66"/>
      <c r="R1326" s="72"/>
      <c r="T1326" s="66"/>
      <c r="U1326" s="66"/>
    </row>
    <row r="1327" spans="1:21" ht="18.75" customHeight="1" x14ac:dyDescent="0.2">
      <c r="A1327" s="70">
        <v>41210</v>
      </c>
      <c r="B1327" s="70">
        <v>41224</v>
      </c>
      <c r="C1327" s="71">
        <v>33402</v>
      </c>
      <c r="D1327" s="72" t="s">
        <v>563</v>
      </c>
      <c r="E1327" s="72" t="s">
        <v>21</v>
      </c>
      <c r="F1327" s="72" t="s">
        <v>1154</v>
      </c>
      <c r="G1327" s="72" t="s">
        <v>433</v>
      </c>
      <c r="H1327" s="74" t="s">
        <v>349</v>
      </c>
      <c r="I1327" s="107">
        <v>62.88</v>
      </c>
      <c r="J1327" s="76"/>
      <c r="K1327" s="76">
        <v>51.13</v>
      </c>
      <c r="L1327" s="76"/>
      <c r="M1327" s="70">
        <v>41365</v>
      </c>
      <c r="N1327" s="78">
        <f>DATE(YEAR(M1327)+8,MONTH(M1327),DAY(M1327)-1)</f>
        <v>44286</v>
      </c>
      <c r="O1327" s="95" t="s">
        <v>21</v>
      </c>
      <c r="P1327" s="95" t="s">
        <v>1154</v>
      </c>
      <c r="Q1327" s="95" t="s">
        <v>433</v>
      </c>
      <c r="R1327" s="72" t="s">
        <v>349</v>
      </c>
      <c r="S1327" s="72"/>
      <c r="T1327" s="72"/>
      <c r="U1327" s="72"/>
    </row>
    <row r="1328" spans="1:21" ht="18.75" customHeight="1" x14ac:dyDescent="0.2">
      <c r="A1328" s="79"/>
      <c r="B1328" s="79"/>
      <c r="C1328" s="80"/>
      <c r="D1328" s="66"/>
      <c r="E1328" s="66" t="s">
        <v>19</v>
      </c>
      <c r="F1328" s="66" t="s">
        <v>1447</v>
      </c>
      <c r="G1328" s="66" t="s">
        <v>1448</v>
      </c>
      <c r="H1328" s="82" t="s">
        <v>419</v>
      </c>
      <c r="I1328" s="115">
        <v>37.119999999999997</v>
      </c>
      <c r="J1328" s="84"/>
      <c r="K1328" s="85"/>
      <c r="L1328" s="66"/>
      <c r="M1328" s="66"/>
      <c r="N1328" s="66"/>
      <c r="O1328" s="66"/>
      <c r="P1328" s="66"/>
      <c r="Q1328" s="66"/>
      <c r="R1328" s="72"/>
      <c r="T1328" s="66"/>
      <c r="U1328" s="66"/>
    </row>
    <row r="1329" spans="1:22" ht="18.75" customHeight="1" x14ac:dyDescent="0.2">
      <c r="A1329" s="79"/>
      <c r="B1329" s="79"/>
      <c r="C1329" s="80"/>
      <c r="D1329" s="66"/>
      <c r="E1329" s="86"/>
      <c r="F1329" s="66"/>
      <c r="G1329" s="66" t="s">
        <v>353</v>
      </c>
      <c r="H1329" s="82"/>
      <c r="I1329" s="87"/>
      <c r="J1329" s="84"/>
      <c r="K1329" s="85"/>
      <c r="L1329" s="66"/>
      <c r="M1329" s="66"/>
      <c r="N1329" s="66"/>
      <c r="O1329" s="66"/>
      <c r="P1329" s="66"/>
      <c r="Q1329" s="66"/>
      <c r="R1329" s="72"/>
      <c r="T1329" s="66"/>
      <c r="U1329" s="66"/>
    </row>
    <row r="1330" spans="1:22" ht="18.75" customHeight="1" x14ac:dyDescent="0.2">
      <c r="A1330" s="70">
        <v>41217</v>
      </c>
      <c r="B1330" s="70">
        <v>41231</v>
      </c>
      <c r="C1330" s="71">
        <v>13308</v>
      </c>
      <c r="D1330" s="72" t="s">
        <v>670</v>
      </c>
      <c r="E1330" s="169" t="s">
        <v>21</v>
      </c>
      <c r="F1330" s="169" t="s">
        <v>672</v>
      </c>
      <c r="G1330" s="169" t="s">
        <v>673</v>
      </c>
      <c r="H1330" s="74" t="s">
        <v>419</v>
      </c>
      <c r="I1330" s="170">
        <v>51.53</v>
      </c>
      <c r="J1330" s="76"/>
      <c r="K1330" s="76">
        <v>48.1</v>
      </c>
      <c r="L1330" s="76"/>
      <c r="M1330" s="70">
        <v>41369</v>
      </c>
      <c r="N1330" s="78">
        <v>43830</v>
      </c>
      <c r="O1330" s="138" t="s">
        <v>21</v>
      </c>
      <c r="P1330" s="138" t="s">
        <v>672</v>
      </c>
      <c r="Q1330" s="138" t="s">
        <v>673</v>
      </c>
      <c r="R1330" s="72" t="s">
        <v>419</v>
      </c>
      <c r="S1330" s="72"/>
      <c r="T1330" s="101"/>
      <c r="U1330" s="101"/>
    </row>
    <row r="1331" spans="1:22" ht="18.75" customHeight="1" x14ac:dyDescent="0.2">
      <c r="A1331" s="79"/>
      <c r="B1331" s="79"/>
      <c r="C1331" s="80"/>
      <c r="D1331" s="66"/>
      <c r="E1331" s="171" t="s">
        <v>19</v>
      </c>
      <c r="F1331" s="171" t="s">
        <v>1449</v>
      </c>
      <c r="G1331" s="171" t="s">
        <v>1450</v>
      </c>
      <c r="H1331" s="82" t="s">
        <v>419</v>
      </c>
      <c r="I1331" s="172">
        <v>48.47</v>
      </c>
      <c r="J1331" s="84"/>
      <c r="K1331" s="91"/>
      <c r="L1331" s="66"/>
      <c r="M1331" s="66"/>
      <c r="N1331" s="66"/>
      <c r="O1331" s="66"/>
      <c r="P1331" s="66"/>
      <c r="Q1331" s="66"/>
      <c r="R1331" s="72"/>
    </row>
    <row r="1332" spans="1:22" ht="18.75" customHeight="1" x14ac:dyDescent="0.2">
      <c r="A1332" s="102"/>
      <c r="B1332" s="102"/>
      <c r="C1332" s="102"/>
      <c r="D1332" s="66"/>
      <c r="E1332" s="66"/>
      <c r="F1332" s="66"/>
      <c r="G1332" s="66" t="s">
        <v>353</v>
      </c>
      <c r="H1332" s="82"/>
      <c r="I1332" s="87"/>
      <c r="J1332" s="103"/>
      <c r="K1332" s="66"/>
      <c r="L1332" s="66"/>
      <c r="M1332" s="66"/>
      <c r="N1332" s="66"/>
      <c r="O1332" s="66"/>
      <c r="P1332" s="66"/>
      <c r="Q1332" s="66"/>
      <c r="R1332" s="72"/>
    </row>
    <row r="1333" spans="1:22" ht="18.75" customHeight="1" x14ac:dyDescent="0.2">
      <c r="A1333" s="70">
        <v>41322</v>
      </c>
      <c r="B1333" s="70">
        <v>41336</v>
      </c>
      <c r="C1333" s="71">
        <v>14310</v>
      </c>
      <c r="D1333" s="72" t="s">
        <v>618</v>
      </c>
      <c r="E1333" s="169" t="s">
        <v>313</v>
      </c>
      <c r="F1333" s="169" t="s">
        <v>619</v>
      </c>
      <c r="G1333" s="169" t="s">
        <v>383</v>
      </c>
      <c r="H1333" s="74" t="s">
        <v>349</v>
      </c>
      <c r="I1333" s="170">
        <v>76.03</v>
      </c>
      <c r="J1333" s="76"/>
      <c r="K1333" s="76">
        <v>34.56</v>
      </c>
      <c r="L1333" s="76"/>
      <c r="M1333" s="70">
        <v>41519</v>
      </c>
      <c r="N1333" s="78">
        <v>44440</v>
      </c>
      <c r="O1333" s="138" t="s">
        <v>19</v>
      </c>
      <c r="P1333" s="138" t="s">
        <v>619</v>
      </c>
      <c r="Q1333" s="138" t="s">
        <v>383</v>
      </c>
      <c r="R1333" s="72" t="s">
        <v>349</v>
      </c>
      <c r="S1333" s="72"/>
      <c r="T1333" s="72"/>
      <c r="U1333" s="72"/>
      <c r="V1333" s="101"/>
    </row>
    <row r="1334" spans="1:22" ht="18.75" customHeight="1" x14ac:dyDescent="0.2">
      <c r="A1334" s="79"/>
      <c r="B1334" s="79"/>
      <c r="C1334" s="80"/>
      <c r="D1334" s="66"/>
      <c r="E1334" s="171" t="s">
        <v>21</v>
      </c>
      <c r="F1334" s="171" t="s">
        <v>1451</v>
      </c>
      <c r="G1334" s="171" t="s">
        <v>464</v>
      </c>
      <c r="H1334" s="82" t="s">
        <v>349</v>
      </c>
      <c r="I1334" s="172">
        <v>23.97</v>
      </c>
      <c r="J1334" s="84"/>
      <c r="K1334" s="85"/>
      <c r="L1334" s="66"/>
      <c r="M1334" s="66"/>
      <c r="N1334" s="66"/>
      <c r="O1334" s="66"/>
      <c r="P1334" s="66"/>
      <c r="Q1334" s="66"/>
      <c r="R1334" s="72"/>
      <c r="T1334" s="66"/>
      <c r="U1334" s="66"/>
    </row>
    <row r="1335" spans="1:22" ht="18.75" customHeight="1" x14ac:dyDescent="0.2">
      <c r="A1335" s="79"/>
      <c r="B1335" s="79"/>
      <c r="C1335" s="80"/>
      <c r="D1335" s="66"/>
      <c r="E1335" s="86"/>
      <c r="F1335" s="66"/>
      <c r="G1335" s="66" t="s">
        <v>353</v>
      </c>
      <c r="H1335" s="82"/>
      <c r="I1335" s="84"/>
      <c r="J1335" s="84"/>
      <c r="K1335" s="85"/>
      <c r="L1335" s="66"/>
      <c r="M1335" s="66"/>
      <c r="N1335" s="66"/>
      <c r="O1335" s="66"/>
      <c r="P1335" s="66"/>
      <c r="Q1335" s="66"/>
      <c r="R1335" s="72"/>
      <c r="S1335" s="72"/>
      <c r="T1335" s="72"/>
      <c r="U1335" s="72"/>
      <c r="V1335" s="101"/>
    </row>
    <row r="1336" spans="1:22" ht="18.75" customHeight="1" x14ac:dyDescent="0.2">
      <c r="A1336" s="70">
        <v>41336</v>
      </c>
      <c r="B1336" s="70">
        <v>41350</v>
      </c>
      <c r="C1336" s="71">
        <v>14309</v>
      </c>
      <c r="D1336" s="72" t="s">
        <v>808</v>
      </c>
      <c r="E1336" s="169" t="s">
        <v>19</v>
      </c>
      <c r="F1336" s="169" t="s">
        <v>1163</v>
      </c>
      <c r="G1336" s="169" t="s">
        <v>423</v>
      </c>
      <c r="H1336" s="74" t="s">
        <v>349</v>
      </c>
      <c r="I1336" s="170">
        <v>83.57</v>
      </c>
      <c r="J1336" s="76"/>
      <c r="K1336" s="76">
        <v>27.87</v>
      </c>
      <c r="L1336" s="76"/>
      <c r="M1336" s="70">
        <v>41456</v>
      </c>
      <c r="N1336" s="78">
        <v>44377</v>
      </c>
      <c r="O1336" s="138" t="s">
        <v>19</v>
      </c>
      <c r="P1336" s="138" t="s">
        <v>1163</v>
      </c>
      <c r="Q1336" s="138" t="s">
        <v>423</v>
      </c>
      <c r="R1336" s="72" t="s">
        <v>349</v>
      </c>
      <c r="T1336" s="66"/>
      <c r="U1336" s="66"/>
    </row>
    <row r="1337" spans="1:22" ht="18.75" customHeight="1" x14ac:dyDescent="0.2">
      <c r="A1337" s="79"/>
      <c r="B1337" s="79"/>
      <c r="C1337" s="80"/>
      <c r="D1337" s="66"/>
      <c r="E1337" s="86"/>
      <c r="F1337" s="66"/>
      <c r="G1337" s="66" t="s">
        <v>353</v>
      </c>
      <c r="H1337" s="82"/>
      <c r="I1337" s="84"/>
      <c r="J1337" s="84"/>
      <c r="K1337" s="85"/>
      <c r="L1337" s="66"/>
      <c r="M1337" s="66"/>
      <c r="N1337" s="66"/>
      <c r="O1337" s="66"/>
      <c r="P1337" s="66"/>
      <c r="Q1337" s="66"/>
      <c r="R1337" s="72"/>
      <c r="T1337" s="66"/>
      <c r="U1337" s="66"/>
    </row>
    <row r="1338" spans="1:22" ht="18.75" customHeight="1" x14ac:dyDescent="0.2">
      <c r="A1338" s="70">
        <v>41343</v>
      </c>
      <c r="B1338" s="70">
        <v>41357</v>
      </c>
      <c r="C1338" s="71">
        <v>33304</v>
      </c>
      <c r="D1338" s="72" t="s">
        <v>612</v>
      </c>
      <c r="E1338" s="169" t="s">
        <v>1243</v>
      </c>
      <c r="F1338" s="169" t="s">
        <v>614</v>
      </c>
      <c r="G1338" s="169" t="s">
        <v>615</v>
      </c>
      <c r="H1338" s="74" t="s">
        <v>349</v>
      </c>
      <c r="I1338" s="170">
        <v>70.56</v>
      </c>
      <c r="J1338" s="76"/>
      <c r="K1338" s="76">
        <v>38.35</v>
      </c>
      <c r="L1338" s="76"/>
      <c r="M1338" s="70">
        <v>41548</v>
      </c>
      <c r="N1338" s="78">
        <v>44469</v>
      </c>
      <c r="O1338" s="138" t="s">
        <v>1159</v>
      </c>
      <c r="P1338" s="138" t="s">
        <v>614</v>
      </c>
      <c r="Q1338" s="138" t="s">
        <v>615</v>
      </c>
      <c r="R1338" s="72" t="s">
        <v>349</v>
      </c>
      <c r="S1338" s="72"/>
      <c r="T1338" s="72"/>
      <c r="U1338" s="72"/>
      <c r="V1338" s="101"/>
    </row>
    <row r="1339" spans="1:22" ht="18.75" customHeight="1" x14ac:dyDescent="0.2">
      <c r="A1339" s="79"/>
      <c r="B1339" s="79"/>
      <c r="C1339" s="80"/>
      <c r="D1339" s="66"/>
      <c r="E1339" s="171" t="s">
        <v>21</v>
      </c>
      <c r="F1339" s="171" t="s">
        <v>551</v>
      </c>
      <c r="G1339" s="171" t="s">
        <v>455</v>
      </c>
      <c r="H1339" s="82" t="s">
        <v>349</v>
      </c>
      <c r="I1339" s="172">
        <v>29.44</v>
      </c>
      <c r="J1339" s="84"/>
      <c r="K1339" s="85"/>
      <c r="L1339" s="66"/>
      <c r="M1339" s="66"/>
      <c r="N1339" s="66"/>
      <c r="O1339" s="66"/>
      <c r="P1339" s="66"/>
      <c r="Q1339" s="66"/>
      <c r="R1339" s="72"/>
      <c r="T1339" s="66"/>
      <c r="U1339" s="66"/>
    </row>
    <row r="1340" spans="1:22" ht="18.75" customHeight="1" x14ac:dyDescent="0.2">
      <c r="A1340" s="79"/>
      <c r="B1340" s="79"/>
      <c r="C1340" s="80"/>
      <c r="D1340" s="66"/>
      <c r="E1340" s="86"/>
      <c r="F1340" s="66"/>
      <c r="G1340" s="66" t="s">
        <v>353</v>
      </c>
      <c r="H1340" s="82"/>
      <c r="I1340" s="84"/>
      <c r="J1340" s="84"/>
      <c r="K1340" s="85"/>
      <c r="L1340" s="66"/>
      <c r="M1340" s="66"/>
      <c r="N1340" s="66"/>
      <c r="O1340" s="66"/>
      <c r="P1340" s="66"/>
      <c r="Q1340" s="66"/>
      <c r="R1340" s="72"/>
      <c r="T1340" s="66"/>
      <c r="U1340" s="66"/>
    </row>
    <row r="1341" spans="1:22" ht="18.75" customHeight="1" x14ac:dyDescent="0.2">
      <c r="A1341" s="70">
        <v>41385</v>
      </c>
      <c r="B1341" s="70">
        <v>41406</v>
      </c>
      <c r="C1341" s="71">
        <v>23106</v>
      </c>
      <c r="D1341" s="72" t="s">
        <v>739</v>
      </c>
      <c r="E1341" s="169" t="s">
        <v>1452</v>
      </c>
      <c r="F1341" s="169" t="s">
        <v>1452</v>
      </c>
      <c r="G1341" s="169" t="s">
        <v>1376</v>
      </c>
      <c r="H1341" s="74" t="s">
        <v>349</v>
      </c>
      <c r="I1341" s="170">
        <v>57.84</v>
      </c>
      <c r="J1341" s="76"/>
      <c r="K1341" s="76">
        <v>56.63</v>
      </c>
      <c r="L1341" s="76"/>
      <c r="M1341" s="70">
        <v>41402</v>
      </c>
      <c r="N1341" s="78">
        <v>44323</v>
      </c>
      <c r="O1341" s="72" t="s">
        <v>740</v>
      </c>
      <c r="P1341" s="72" t="s">
        <v>740</v>
      </c>
      <c r="Q1341" s="72" t="s">
        <v>741</v>
      </c>
      <c r="R1341" s="72" t="s">
        <v>349</v>
      </c>
      <c r="S1341" s="111"/>
      <c r="T1341" s="72"/>
      <c r="U1341" s="72"/>
      <c r="V1341" s="101"/>
    </row>
    <row r="1342" spans="1:22" ht="18.75" customHeight="1" x14ac:dyDescent="0.2">
      <c r="A1342" s="79"/>
      <c r="B1342" s="79"/>
      <c r="C1342" s="80"/>
      <c r="D1342" s="66"/>
      <c r="E1342" s="171" t="s">
        <v>1453</v>
      </c>
      <c r="F1342" s="171" t="s">
        <v>1454</v>
      </c>
      <c r="G1342" s="171" t="s">
        <v>383</v>
      </c>
      <c r="H1342" s="82" t="s">
        <v>349</v>
      </c>
      <c r="I1342" s="172">
        <v>42.16</v>
      </c>
      <c r="J1342" s="84"/>
      <c r="K1342" s="85"/>
      <c r="L1342" s="66"/>
      <c r="M1342" s="66"/>
      <c r="N1342" s="66"/>
      <c r="O1342" s="66"/>
      <c r="P1342" s="66"/>
      <c r="Q1342" s="66"/>
      <c r="R1342" s="72"/>
      <c r="T1342" s="66"/>
      <c r="U1342" s="66"/>
    </row>
    <row r="1343" spans="1:22" ht="18.75" customHeight="1" x14ac:dyDescent="0.2">
      <c r="A1343" s="79"/>
      <c r="B1343" s="79"/>
      <c r="C1343" s="80"/>
      <c r="D1343" s="66"/>
      <c r="E1343" s="86"/>
      <c r="F1343" s="66"/>
      <c r="G1343" s="66" t="s">
        <v>353</v>
      </c>
      <c r="H1343" s="82"/>
      <c r="I1343" s="84"/>
      <c r="J1343" s="84"/>
      <c r="K1343" s="85"/>
      <c r="L1343" s="66"/>
      <c r="M1343" s="66"/>
      <c r="N1343" s="66"/>
      <c r="O1343" s="66"/>
      <c r="P1343" s="66"/>
      <c r="Q1343" s="66"/>
      <c r="R1343" s="72"/>
      <c r="T1343" s="66"/>
      <c r="U1343" s="66"/>
    </row>
    <row r="1344" spans="1:22" ht="18.75" customHeight="1" x14ac:dyDescent="0.2">
      <c r="A1344" s="70">
        <v>41434</v>
      </c>
      <c r="B1344" s="70">
        <v>41448</v>
      </c>
      <c r="C1344" s="71">
        <v>13304</v>
      </c>
      <c r="D1344" s="72" t="s">
        <v>645</v>
      </c>
      <c r="E1344" s="169" t="s">
        <v>19</v>
      </c>
      <c r="F1344" s="169" t="s">
        <v>1455</v>
      </c>
      <c r="G1344" s="169" t="s">
        <v>383</v>
      </c>
      <c r="H1344" s="74" t="s">
        <v>349</v>
      </c>
      <c r="I1344" s="170">
        <v>41.43</v>
      </c>
      <c r="J1344" s="173">
        <v>58.51</v>
      </c>
      <c r="K1344" s="76">
        <v>39.68</v>
      </c>
      <c r="L1344" s="76">
        <v>40.72</v>
      </c>
      <c r="M1344" s="70">
        <v>41597</v>
      </c>
      <c r="N1344" s="78">
        <v>43830</v>
      </c>
      <c r="O1344" s="138" t="s">
        <v>646</v>
      </c>
      <c r="P1344" s="138" t="s">
        <v>646</v>
      </c>
      <c r="Q1344" s="138" t="s">
        <v>348</v>
      </c>
      <c r="R1344" s="72" t="s">
        <v>349</v>
      </c>
      <c r="S1344" s="111" t="s">
        <v>1456</v>
      </c>
      <c r="T1344" s="66"/>
      <c r="U1344" s="66"/>
    </row>
    <row r="1345" spans="1:22" ht="18.75" customHeight="1" x14ac:dyDescent="0.2">
      <c r="A1345" s="79"/>
      <c r="B1345" s="79"/>
      <c r="C1345" s="80"/>
      <c r="D1345" s="66"/>
      <c r="E1345" s="171" t="s">
        <v>21</v>
      </c>
      <c r="F1345" s="171" t="s">
        <v>1457</v>
      </c>
      <c r="G1345" s="171" t="s">
        <v>1458</v>
      </c>
      <c r="H1345" s="82" t="s">
        <v>419</v>
      </c>
      <c r="I1345" s="172">
        <v>29.46</v>
      </c>
      <c r="J1345" s="174">
        <v>41.49</v>
      </c>
      <c r="K1345" s="85"/>
      <c r="L1345" s="66"/>
      <c r="M1345" s="66"/>
      <c r="N1345" s="66"/>
      <c r="O1345" s="66"/>
      <c r="P1345" s="66"/>
      <c r="Q1345" s="66"/>
      <c r="R1345" s="72"/>
      <c r="S1345" s="72"/>
      <c r="T1345" s="72"/>
      <c r="U1345" s="72"/>
      <c r="V1345" s="101"/>
    </row>
    <row r="1346" spans="1:22" ht="18.75" customHeight="1" x14ac:dyDescent="0.2">
      <c r="A1346" s="79"/>
      <c r="B1346" s="79"/>
      <c r="C1346" s="80"/>
      <c r="D1346" s="66"/>
      <c r="E1346" s="171" t="s">
        <v>646</v>
      </c>
      <c r="F1346" s="171" t="s">
        <v>646</v>
      </c>
      <c r="G1346" s="171" t="s">
        <v>348</v>
      </c>
      <c r="H1346" s="82" t="s">
        <v>349</v>
      </c>
      <c r="I1346" s="172">
        <v>29.11</v>
      </c>
      <c r="J1346" s="84"/>
      <c r="K1346" s="85"/>
      <c r="L1346" s="66"/>
      <c r="M1346" s="66"/>
      <c r="N1346" s="66"/>
      <c r="O1346" s="66"/>
      <c r="P1346" s="66"/>
      <c r="Q1346" s="66"/>
      <c r="R1346" s="72"/>
      <c r="T1346" s="66"/>
      <c r="U1346" s="66"/>
    </row>
    <row r="1347" spans="1:22" ht="18.75" customHeight="1" x14ac:dyDescent="0.2">
      <c r="A1347" s="79"/>
      <c r="B1347" s="79"/>
      <c r="C1347" s="80"/>
      <c r="D1347" s="66"/>
      <c r="E1347" s="86"/>
      <c r="F1347" s="66"/>
      <c r="G1347" s="66" t="s">
        <v>353</v>
      </c>
      <c r="H1347" s="82"/>
      <c r="I1347" s="84"/>
      <c r="J1347" s="84"/>
      <c r="K1347" s="85"/>
      <c r="L1347" s="66"/>
      <c r="M1347" s="66"/>
      <c r="N1347" s="66"/>
      <c r="O1347" s="66"/>
      <c r="P1347" s="66"/>
      <c r="Q1347" s="66"/>
      <c r="R1347" s="72"/>
      <c r="T1347" s="66"/>
      <c r="U1347" s="66"/>
    </row>
    <row r="1348" spans="1:22" ht="18.75" customHeight="1" x14ac:dyDescent="0.2">
      <c r="A1348" s="70">
        <v>41434</v>
      </c>
      <c r="B1348" s="70">
        <v>41448</v>
      </c>
      <c r="C1348" s="71">
        <v>33509</v>
      </c>
      <c r="D1348" s="72" t="s">
        <v>636</v>
      </c>
      <c r="E1348" s="169" t="s">
        <v>19</v>
      </c>
      <c r="F1348" s="169" t="s">
        <v>914</v>
      </c>
      <c r="G1348" s="169" t="s">
        <v>1164</v>
      </c>
      <c r="H1348" s="74" t="s">
        <v>419</v>
      </c>
      <c r="I1348" s="170">
        <v>35.979999999999997</v>
      </c>
      <c r="J1348" s="173">
        <v>51.54</v>
      </c>
      <c r="K1348" s="76">
        <v>58.06</v>
      </c>
      <c r="L1348" s="76">
        <v>55.69</v>
      </c>
      <c r="M1348" s="70">
        <v>41625</v>
      </c>
      <c r="N1348" s="78">
        <v>44546</v>
      </c>
      <c r="O1348" s="138" t="s">
        <v>19</v>
      </c>
      <c r="P1348" s="138" t="s">
        <v>914</v>
      </c>
      <c r="Q1348" s="138" t="s">
        <v>1164</v>
      </c>
      <c r="R1348" s="72" t="s">
        <v>419</v>
      </c>
      <c r="T1348" s="66"/>
      <c r="U1348" s="66"/>
    </row>
    <row r="1349" spans="1:22" ht="18.75" customHeight="1" x14ac:dyDescent="0.2">
      <c r="A1349" s="79"/>
      <c r="B1349" s="79"/>
      <c r="C1349" s="80"/>
      <c r="D1349" s="66"/>
      <c r="E1349" s="171" t="s">
        <v>21</v>
      </c>
      <c r="F1349" s="171" t="s">
        <v>1459</v>
      </c>
      <c r="G1349" s="171" t="s">
        <v>861</v>
      </c>
      <c r="H1349" s="82" t="s">
        <v>349</v>
      </c>
      <c r="I1349" s="172">
        <v>35.76</v>
      </c>
      <c r="J1349" s="174">
        <v>48.46</v>
      </c>
      <c r="K1349" s="85"/>
      <c r="L1349" s="66"/>
      <c r="M1349" s="66"/>
      <c r="N1349" s="66"/>
      <c r="O1349" s="66"/>
      <c r="P1349" s="66"/>
      <c r="Q1349" s="66"/>
      <c r="R1349" s="72"/>
      <c r="S1349" s="72"/>
      <c r="T1349" s="72"/>
      <c r="U1349" s="72"/>
      <c r="V1349" s="101"/>
    </row>
    <row r="1350" spans="1:22" ht="18.75" customHeight="1" x14ac:dyDescent="0.2">
      <c r="A1350" s="79"/>
      <c r="B1350" s="79"/>
      <c r="C1350" s="80"/>
      <c r="D1350" s="66"/>
      <c r="E1350" s="171" t="s">
        <v>55</v>
      </c>
      <c r="F1350" s="171" t="s">
        <v>955</v>
      </c>
      <c r="G1350" s="171" t="s">
        <v>389</v>
      </c>
      <c r="H1350" s="82" t="s">
        <v>349</v>
      </c>
      <c r="I1350" s="172">
        <v>28.26</v>
      </c>
      <c r="J1350" s="84"/>
      <c r="K1350" s="85"/>
      <c r="L1350" s="66"/>
      <c r="M1350" s="66"/>
      <c r="N1350" s="66"/>
      <c r="O1350" s="66"/>
      <c r="P1350" s="66"/>
      <c r="Q1350" s="66"/>
      <c r="R1350" s="72"/>
      <c r="T1350" s="66"/>
      <c r="U1350" s="66"/>
    </row>
    <row r="1351" spans="1:22" ht="18.75" customHeight="1" x14ac:dyDescent="0.2">
      <c r="A1351" s="79"/>
      <c r="B1351" s="79"/>
      <c r="C1351" s="80"/>
      <c r="D1351" s="66"/>
      <c r="E1351" s="86"/>
      <c r="F1351" s="66"/>
      <c r="G1351" s="66" t="s">
        <v>353</v>
      </c>
      <c r="H1351" s="82"/>
      <c r="I1351" s="84"/>
      <c r="J1351" s="84"/>
      <c r="K1351" s="85"/>
      <c r="L1351" s="66"/>
      <c r="M1351" s="66"/>
      <c r="N1351" s="66"/>
      <c r="O1351" s="66"/>
      <c r="P1351" s="66"/>
      <c r="Q1351" s="66"/>
      <c r="R1351" s="72"/>
      <c r="T1351" s="66"/>
      <c r="U1351" s="66"/>
    </row>
    <row r="1352" spans="1:22" ht="18.75" customHeight="1" x14ac:dyDescent="0.2">
      <c r="A1352" s="70">
        <v>41539</v>
      </c>
      <c r="B1352" s="70">
        <v>41553</v>
      </c>
      <c r="C1352" s="71">
        <v>23505</v>
      </c>
      <c r="D1352" s="72" t="s">
        <v>377</v>
      </c>
      <c r="E1352" s="169" t="s">
        <v>19</v>
      </c>
      <c r="F1352" s="169" t="s">
        <v>1460</v>
      </c>
      <c r="G1352" s="169" t="s">
        <v>477</v>
      </c>
      <c r="H1352" s="74" t="s">
        <v>349</v>
      </c>
      <c r="I1352" s="170">
        <v>53.11</v>
      </c>
      <c r="J1352" s="76"/>
      <c r="K1352" s="76">
        <v>70.650000000000006</v>
      </c>
      <c r="L1352" s="76"/>
      <c r="M1352" s="70">
        <v>41640</v>
      </c>
      <c r="N1352" s="78">
        <v>44561</v>
      </c>
      <c r="O1352" s="138" t="s">
        <v>19</v>
      </c>
      <c r="P1352" s="138" t="s">
        <v>453</v>
      </c>
      <c r="Q1352" s="138" t="s">
        <v>1167</v>
      </c>
      <c r="R1352" s="72" t="s">
        <v>349</v>
      </c>
      <c r="T1352" s="66"/>
      <c r="U1352" s="66"/>
    </row>
    <row r="1353" spans="1:22" ht="18.75" customHeight="1" x14ac:dyDescent="0.2">
      <c r="A1353" s="79"/>
      <c r="B1353" s="79"/>
      <c r="C1353" s="80"/>
      <c r="D1353" s="66"/>
      <c r="E1353" s="171" t="s">
        <v>55</v>
      </c>
      <c r="F1353" s="171" t="s">
        <v>1461</v>
      </c>
      <c r="G1353" s="171" t="s">
        <v>1462</v>
      </c>
      <c r="H1353" s="82" t="s">
        <v>349</v>
      </c>
      <c r="I1353" s="172">
        <v>20.62</v>
      </c>
      <c r="J1353" s="84"/>
      <c r="K1353" s="85"/>
      <c r="L1353" s="66"/>
      <c r="M1353" s="66"/>
      <c r="N1353" s="66"/>
      <c r="O1353" s="66"/>
      <c r="P1353" s="66"/>
      <c r="Q1353" s="66"/>
      <c r="R1353" s="72"/>
      <c r="T1353" s="66"/>
      <c r="U1353" s="66"/>
    </row>
    <row r="1354" spans="1:22" ht="18.75" customHeight="1" x14ac:dyDescent="0.2">
      <c r="A1354" s="79"/>
      <c r="B1354" s="79"/>
      <c r="C1354" s="80"/>
      <c r="D1354" s="66"/>
      <c r="E1354" s="171" t="s">
        <v>21</v>
      </c>
      <c r="F1354" s="171" t="s">
        <v>1463</v>
      </c>
      <c r="G1354" s="171" t="s">
        <v>776</v>
      </c>
      <c r="H1354" s="82" t="s">
        <v>349</v>
      </c>
      <c r="I1354" s="172">
        <v>20.329999999999998</v>
      </c>
      <c r="J1354" s="84"/>
      <c r="K1354" s="85"/>
      <c r="L1354" s="66"/>
      <c r="M1354" s="66"/>
      <c r="N1354" s="66"/>
      <c r="O1354" s="66"/>
      <c r="P1354" s="66"/>
      <c r="Q1354" s="66"/>
      <c r="R1354" s="72"/>
      <c r="S1354" s="72"/>
      <c r="T1354" s="72"/>
      <c r="U1354" s="72"/>
      <c r="V1354" s="101"/>
    </row>
    <row r="1355" spans="1:22" ht="18.75" customHeight="1" x14ac:dyDescent="0.2">
      <c r="A1355" s="79"/>
      <c r="B1355" s="79"/>
      <c r="C1355" s="80"/>
      <c r="D1355" s="66"/>
      <c r="E1355" s="171" t="s">
        <v>34</v>
      </c>
      <c r="F1355" s="171" t="s">
        <v>1464</v>
      </c>
      <c r="G1355" s="171" t="s">
        <v>469</v>
      </c>
      <c r="H1355" s="82" t="s">
        <v>349</v>
      </c>
      <c r="I1355" s="172">
        <v>5.94</v>
      </c>
      <c r="J1355" s="84"/>
      <c r="K1355" s="85"/>
      <c r="L1355" s="66"/>
      <c r="M1355" s="66"/>
      <c r="N1355" s="66"/>
      <c r="O1355" s="66"/>
      <c r="P1355" s="66"/>
      <c r="Q1355" s="66"/>
      <c r="R1355" s="72"/>
      <c r="T1355" s="66"/>
      <c r="U1355" s="66"/>
    </row>
    <row r="1356" spans="1:22" ht="18.75" customHeight="1" x14ac:dyDescent="0.2">
      <c r="A1356" s="79"/>
      <c r="B1356" s="79"/>
      <c r="C1356" s="80"/>
      <c r="D1356" s="66"/>
      <c r="E1356" s="86"/>
      <c r="F1356" s="66"/>
      <c r="G1356" s="66" t="s">
        <v>353</v>
      </c>
      <c r="H1356" s="82"/>
      <c r="I1356" s="84"/>
      <c r="J1356" s="84"/>
      <c r="K1356" s="85"/>
      <c r="L1356" s="66"/>
      <c r="M1356" s="66"/>
      <c r="N1356" s="66"/>
      <c r="O1356" s="66"/>
      <c r="P1356" s="66"/>
      <c r="Q1356" s="66"/>
      <c r="R1356" s="72"/>
      <c r="S1356" s="72"/>
      <c r="T1356" s="72"/>
      <c r="U1356" s="72"/>
      <c r="V1356" s="101"/>
    </row>
    <row r="1357" spans="1:22" ht="18.75" customHeight="1" x14ac:dyDescent="0.2">
      <c r="A1357" s="70">
        <v>41539</v>
      </c>
      <c r="B1357" s="70">
        <v>41553</v>
      </c>
      <c r="C1357" s="71" t="s">
        <v>1465</v>
      </c>
      <c r="D1357" s="72" t="s">
        <v>496</v>
      </c>
      <c r="E1357" s="169" t="s">
        <v>19</v>
      </c>
      <c r="F1357" s="169" t="s">
        <v>1466</v>
      </c>
      <c r="G1357" s="169" t="s">
        <v>1467</v>
      </c>
      <c r="H1357" s="74" t="s">
        <v>349</v>
      </c>
      <c r="I1357" s="170">
        <v>86.03</v>
      </c>
      <c r="J1357" s="76"/>
      <c r="K1357" s="76">
        <v>72.180000000000007</v>
      </c>
      <c r="L1357" s="76"/>
      <c r="M1357" s="70">
        <v>41676</v>
      </c>
      <c r="N1357" s="78">
        <v>44597</v>
      </c>
      <c r="O1357" s="138" t="s">
        <v>19</v>
      </c>
      <c r="P1357" s="138" t="s">
        <v>662</v>
      </c>
      <c r="Q1357" s="138" t="s">
        <v>466</v>
      </c>
      <c r="R1357" s="72" t="s">
        <v>349</v>
      </c>
      <c r="T1357" s="66"/>
      <c r="U1357" s="66"/>
    </row>
    <row r="1358" spans="1:22" ht="18.75" customHeight="1" x14ac:dyDescent="0.2">
      <c r="A1358" s="79"/>
      <c r="B1358" s="79"/>
      <c r="C1358" s="80"/>
      <c r="D1358" s="66"/>
      <c r="E1358" s="86"/>
      <c r="F1358" s="66"/>
      <c r="G1358" s="66" t="s">
        <v>353</v>
      </c>
      <c r="H1358" s="82"/>
      <c r="I1358" s="84"/>
      <c r="J1358" s="84"/>
      <c r="K1358" s="85"/>
      <c r="L1358" s="66"/>
      <c r="M1358" s="66"/>
      <c r="N1358" s="66"/>
      <c r="O1358" s="66"/>
      <c r="P1358" s="66"/>
      <c r="Q1358" s="66"/>
      <c r="R1358" s="72"/>
      <c r="T1358" s="66"/>
      <c r="U1358" s="66"/>
    </row>
    <row r="1359" spans="1:22" ht="18.75" customHeight="1" x14ac:dyDescent="0.2">
      <c r="A1359" s="70">
        <v>41539</v>
      </c>
      <c r="B1359" s="70">
        <v>41560</v>
      </c>
      <c r="C1359" s="71">
        <v>13305</v>
      </c>
      <c r="D1359" s="72" t="s">
        <v>356</v>
      </c>
      <c r="E1359" s="169" t="s">
        <v>1386</v>
      </c>
      <c r="F1359" s="169" t="s">
        <v>1386</v>
      </c>
      <c r="G1359" s="169" t="s">
        <v>565</v>
      </c>
      <c r="H1359" s="74" t="s">
        <v>349</v>
      </c>
      <c r="I1359" s="170">
        <v>33.57</v>
      </c>
      <c r="J1359" s="173">
        <v>56.09</v>
      </c>
      <c r="K1359" s="76">
        <v>72.77</v>
      </c>
      <c r="L1359" s="76">
        <v>57.5</v>
      </c>
      <c r="M1359" s="70">
        <v>41609</v>
      </c>
      <c r="N1359" s="78">
        <v>44530</v>
      </c>
      <c r="O1359" s="72" t="s">
        <v>347</v>
      </c>
      <c r="P1359" s="72" t="s">
        <v>347</v>
      </c>
      <c r="Q1359" s="72" t="s">
        <v>361</v>
      </c>
      <c r="R1359" s="72" t="s">
        <v>349</v>
      </c>
      <c r="T1359" s="66"/>
      <c r="U1359" s="66"/>
    </row>
    <row r="1360" spans="1:22" ht="18.75" customHeight="1" x14ac:dyDescent="0.2">
      <c r="A1360" s="79"/>
      <c r="B1360" s="79"/>
      <c r="C1360" s="80"/>
      <c r="D1360" s="66"/>
      <c r="E1360" s="171" t="s">
        <v>1468</v>
      </c>
      <c r="F1360" s="171" t="s">
        <v>1468</v>
      </c>
      <c r="G1360" s="171" t="s">
        <v>394</v>
      </c>
      <c r="H1360" s="82" t="s">
        <v>349</v>
      </c>
      <c r="I1360" s="172">
        <v>37.67</v>
      </c>
      <c r="J1360" s="174">
        <v>43.91</v>
      </c>
      <c r="K1360" s="85"/>
      <c r="L1360" s="66"/>
      <c r="M1360" s="66"/>
      <c r="N1360" s="66"/>
      <c r="O1360" s="66"/>
      <c r="P1360" s="66"/>
      <c r="Q1360" s="66"/>
      <c r="R1360" s="72"/>
      <c r="S1360" s="72"/>
      <c r="T1360" s="72"/>
      <c r="U1360" s="72"/>
      <c r="V1360" s="101"/>
    </row>
    <row r="1361" spans="1:22" ht="18.75" customHeight="1" x14ac:dyDescent="0.2">
      <c r="A1361" s="79"/>
      <c r="B1361" s="79"/>
      <c r="C1361" s="80"/>
      <c r="D1361" s="66"/>
      <c r="E1361" s="171" t="s">
        <v>1469</v>
      </c>
      <c r="F1361" s="171" t="s">
        <v>1365</v>
      </c>
      <c r="G1361" s="171" t="s">
        <v>389</v>
      </c>
      <c r="H1361" s="82" t="s">
        <v>349</v>
      </c>
      <c r="I1361" s="172">
        <v>28.75</v>
      </c>
      <c r="J1361" s="84"/>
      <c r="K1361" s="85"/>
      <c r="L1361" s="66"/>
      <c r="M1361" s="66"/>
      <c r="N1361" s="66"/>
      <c r="O1361" s="66"/>
      <c r="P1361" s="66"/>
      <c r="Q1361" s="66"/>
      <c r="R1361" s="72"/>
      <c r="T1361" s="66"/>
      <c r="U1361" s="66"/>
    </row>
    <row r="1362" spans="1:22" ht="18.75" customHeight="1" x14ac:dyDescent="0.2">
      <c r="A1362" s="79"/>
      <c r="B1362" s="79"/>
      <c r="C1362" s="80"/>
      <c r="D1362" s="66"/>
      <c r="E1362" s="86"/>
      <c r="F1362" s="66"/>
      <c r="G1362" s="66" t="s">
        <v>353</v>
      </c>
      <c r="H1362" s="82"/>
      <c r="I1362" s="84"/>
      <c r="J1362" s="84"/>
      <c r="K1362" s="85"/>
      <c r="L1362" s="66"/>
      <c r="M1362" s="66"/>
      <c r="N1362" s="66"/>
      <c r="O1362" s="66"/>
      <c r="P1362" s="66"/>
      <c r="Q1362" s="66"/>
      <c r="R1362" s="72"/>
      <c r="T1362" s="66"/>
      <c r="U1362" s="66"/>
    </row>
    <row r="1363" spans="1:22" ht="18.75" customHeight="1" x14ac:dyDescent="0.2">
      <c r="A1363" s="70">
        <v>41539</v>
      </c>
      <c r="B1363" s="70">
        <v>41553</v>
      </c>
      <c r="C1363" s="71">
        <v>33305</v>
      </c>
      <c r="D1363" s="72" t="s">
        <v>1023</v>
      </c>
      <c r="E1363" s="169" t="s">
        <v>21</v>
      </c>
      <c r="F1363" s="169" t="s">
        <v>1470</v>
      </c>
      <c r="G1363" s="169" t="s">
        <v>383</v>
      </c>
      <c r="H1363" s="74" t="s">
        <v>349</v>
      </c>
      <c r="I1363" s="170">
        <v>63.58</v>
      </c>
      <c r="J1363" s="76"/>
      <c r="K1363" s="76">
        <v>69.63</v>
      </c>
      <c r="L1363" s="76"/>
      <c r="M1363" s="70">
        <v>41640</v>
      </c>
      <c r="N1363" s="78">
        <v>44561</v>
      </c>
      <c r="O1363" s="74" t="s">
        <v>21</v>
      </c>
      <c r="P1363" s="74" t="s">
        <v>459</v>
      </c>
      <c r="Q1363" s="74" t="s">
        <v>416</v>
      </c>
      <c r="R1363" s="72" t="s">
        <v>349</v>
      </c>
      <c r="T1363" s="66"/>
      <c r="U1363" s="66"/>
    </row>
    <row r="1364" spans="1:22" ht="18.75" customHeight="1" x14ac:dyDescent="0.2">
      <c r="A1364" s="79"/>
      <c r="B1364" s="79"/>
      <c r="C1364" s="80"/>
      <c r="D1364" s="66"/>
      <c r="E1364" s="171" t="s">
        <v>19</v>
      </c>
      <c r="F1364" s="171" t="s">
        <v>1471</v>
      </c>
      <c r="G1364" s="171" t="s">
        <v>1472</v>
      </c>
      <c r="H1364" s="82" t="s">
        <v>349</v>
      </c>
      <c r="I1364" s="172">
        <v>23.98</v>
      </c>
      <c r="J1364" s="84"/>
      <c r="K1364" s="85"/>
      <c r="L1364" s="66"/>
      <c r="M1364" s="66"/>
      <c r="N1364" s="66"/>
      <c r="O1364" s="66"/>
      <c r="P1364" s="66"/>
      <c r="Q1364" s="66"/>
      <c r="R1364" s="72"/>
      <c r="S1364" s="72"/>
      <c r="T1364" s="72"/>
      <c r="U1364" s="72"/>
      <c r="V1364" s="101"/>
    </row>
    <row r="1365" spans="1:22" ht="18.75" customHeight="1" x14ac:dyDescent="0.2">
      <c r="A1365" s="79"/>
      <c r="B1365" s="79"/>
      <c r="C1365" s="80"/>
      <c r="D1365" s="66"/>
      <c r="E1365" s="171" t="s">
        <v>55</v>
      </c>
      <c r="F1365" s="171" t="s">
        <v>1473</v>
      </c>
      <c r="G1365" s="171" t="s">
        <v>512</v>
      </c>
      <c r="H1365" s="82" t="s">
        <v>349</v>
      </c>
      <c r="I1365" s="172">
        <v>12.44</v>
      </c>
      <c r="J1365" s="84"/>
      <c r="K1365" s="85"/>
      <c r="L1365" s="66"/>
      <c r="M1365" s="66"/>
      <c r="N1365" s="66"/>
      <c r="O1365" s="66"/>
      <c r="P1365" s="66"/>
      <c r="Q1365" s="66"/>
      <c r="R1365" s="72"/>
      <c r="T1365" s="66"/>
      <c r="U1365" s="66"/>
    </row>
    <row r="1366" spans="1:22" ht="18.75" customHeight="1" x14ac:dyDescent="0.2">
      <c r="A1366" s="79"/>
      <c r="B1366" s="79"/>
      <c r="C1366" s="80"/>
      <c r="D1366" s="66"/>
      <c r="E1366" s="86"/>
      <c r="F1366" s="66"/>
      <c r="G1366" s="66" t="s">
        <v>353</v>
      </c>
      <c r="H1366" s="82"/>
      <c r="I1366" s="84"/>
      <c r="J1366" s="84"/>
      <c r="K1366" s="85"/>
      <c r="L1366" s="66"/>
      <c r="M1366" s="66"/>
      <c r="N1366" s="66"/>
      <c r="O1366" s="66"/>
      <c r="P1366" s="66"/>
      <c r="Q1366" s="66"/>
      <c r="R1366" s="72"/>
      <c r="T1366" s="66"/>
      <c r="U1366" s="66"/>
    </row>
    <row r="1367" spans="1:22" ht="18.75" customHeight="1" x14ac:dyDescent="0.2">
      <c r="A1367" s="70">
        <v>41784</v>
      </c>
      <c r="B1367" s="70">
        <v>41798</v>
      </c>
      <c r="C1367" s="71">
        <v>13202</v>
      </c>
      <c r="D1367" s="72" t="s">
        <v>689</v>
      </c>
      <c r="E1367" s="169" t="s">
        <v>21</v>
      </c>
      <c r="F1367" s="169" t="s">
        <v>1217</v>
      </c>
      <c r="G1367" s="169" t="s">
        <v>444</v>
      </c>
      <c r="H1367" s="74" t="s">
        <v>349</v>
      </c>
      <c r="I1367" s="170">
        <v>80.37</v>
      </c>
      <c r="J1367" s="76"/>
      <c r="K1367" s="76">
        <v>55.59</v>
      </c>
      <c r="L1367" s="76"/>
      <c r="M1367" s="70">
        <v>42015</v>
      </c>
      <c r="N1367" s="146">
        <v>42735</v>
      </c>
      <c r="O1367" s="72" t="s">
        <v>21</v>
      </c>
      <c r="P1367" s="72" t="s">
        <v>1217</v>
      </c>
      <c r="Q1367" s="72" t="s">
        <v>444</v>
      </c>
      <c r="R1367" s="72" t="s">
        <v>349</v>
      </c>
      <c r="S1367" s="72" t="s">
        <v>1352</v>
      </c>
      <c r="T1367" s="72"/>
      <c r="U1367" s="72"/>
      <c r="V1367" s="101"/>
    </row>
    <row r="1368" spans="1:22" ht="18.75" customHeight="1" x14ac:dyDescent="0.2">
      <c r="A1368" s="79"/>
      <c r="B1368" s="79"/>
      <c r="C1368" s="80"/>
      <c r="D1368" s="66"/>
      <c r="E1368" s="171" t="s">
        <v>1474</v>
      </c>
      <c r="F1368" s="171" t="s">
        <v>1474</v>
      </c>
      <c r="G1368" s="171" t="s">
        <v>1475</v>
      </c>
      <c r="H1368" s="82" t="s">
        <v>419</v>
      </c>
      <c r="I1368" s="172">
        <v>19.63</v>
      </c>
      <c r="J1368" s="84"/>
      <c r="K1368" s="85"/>
      <c r="L1368" s="66"/>
      <c r="M1368" s="66"/>
      <c r="N1368" s="66"/>
      <c r="O1368" s="66"/>
      <c r="P1368" s="66"/>
      <c r="Q1368" s="66"/>
      <c r="R1368" s="72"/>
      <c r="T1368" s="66"/>
      <c r="U1368" s="66"/>
    </row>
    <row r="1369" spans="1:22" ht="18.75" customHeight="1" x14ac:dyDescent="0.2">
      <c r="A1369" s="79"/>
      <c r="B1369" s="79"/>
      <c r="C1369" s="80"/>
      <c r="D1369" s="66"/>
      <c r="E1369" s="86"/>
      <c r="F1369" s="66"/>
      <c r="G1369" s="66" t="s">
        <v>353</v>
      </c>
      <c r="H1369" s="82"/>
      <c r="I1369" s="84"/>
      <c r="J1369" s="84"/>
      <c r="K1369" s="85"/>
      <c r="L1369" s="66"/>
      <c r="M1369" s="66"/>
      <c r="N1369" s="66"/>
      <c r="O1369" s="66"/>
      <c r="P1369" s="66"/>
      <c r="Q1369" s="66"/>
      <c r="R1369" s="72"/>
      <c r="S1369" s="72"/>
      <c r="T1369" s="72"/>
      <c r="U1369" s="72"/>
      <c r="V1369" s="101"/>
    </row>
    <row r="1370" spans="1:22" ht="18.75" customHeight="1" x14ac:dyDescent="0.2">
      <c r="A1370" s="70">
        <v>41784</v>
      </c>
      <c r="B1370" s="70">
        <v>41798</v>
      </c>
      <c r="C1370" s="71">
        <v>13203</v>
      </c>
      <c r="D1370" s="72" t="s">
        <v>1476</v>
      </c>
      <c r="E1370" s="169" t="s">
        <v>347</v>
      </c>
      <c r="F1370" s="169" t="s">
        <v>347</v>
      </c>
      <c r="G1370" s="169" t="s">
        <v>348</v>
      </c>
      <c r="H1370" s="74" t="s">
        <v>349</v>
      </c>
      <c r="I1370" s="170">
        <v>82.23</v>
      </c>
      <c r="J1370" s="76"/>
      <c r="K1370" s="76">
        <v>52.09</v>
      </c>
      <c r="L1370" s="76"/>
      <c r="M1370" s="70">
        <v>41821</v>
      </c>
      <c r="N1370" s="78">
        <v>44712</v>
      </c>
      <c r="O1370" s="72"/>
      <c r="P1370" s="72"/>
      <c r="Q1370" s="72"/>
      <c r="R1370" s="72"/>
      <c r="S1370" s="72" t="s">
        <v>1383</v>
      </c>
      <c r="T1370" s="66"/>
      <c r="U1370" s="66"/>
    </row>
    <row r="1371" spans="1:22" ht="18.75" customHeight="1" x14ac:dyDescent="0.2">
      <c r="A1371" s="79"/>
      <c r="B1371" s="79"/>
      <c r="C1371" s="80"/>
      <c r="D1371" s="66"/>
      <c r="E1371" s="86"/>
      <c r="F1371" s="66"/>
      <c r="G1371" s="66" t="s">
        <v>353</v>
      </c>
      <c r="H1371" s="82"/>
      <c r="I1371" s="84"/>
      <c r="J1371" s="84"/>
      <c r="K1371" s="85"/>
      <c r="L1371" s="66"/>
      <c r="M1371" s="66"/>
      <c r="N1371" s="66"/>
      <c r="O1371" s="66"/>
      <c r="P1371" s="66"/>
      <c r="Q1371" s="66"/>
      <c r="R1371" s="72"/>
      <c r="T1371" s="66"/>
      <c r="U1371" s="66"/>
    </row>
    <row r="1372" spans="1:22" ht="18.75" customHeight="1" x14ac:dyDescent="0.2">
      <c r="A1372" s="70">
        <v>41784</v>
      </c>
      <c r="B1372" s="70">
        <v>41798</v>
      </c>
      <c r="C1372" s="71">
        <v>13204</v>
      </c>
      <c r="D1372" s="72" t="s">
        <v>756</v>
      </c>
      <c r="E1372" s="169" t="s">
        <v>584</v>
      </c>
      <c r="F1372" s="169" t="s">
        <v>584</v>
      </c>
      <c r="G1372" s="169" t="s">
        <v>1477</v>
      </c>
      <c r="H1372" s="74" t="s">
        <v>349</v>
      </c>
      <c r="I1372" s="170">
        <v>60.94</v>
      </c>
      <c r="J1372" s="76"/>
      <c r="K1372" s="76">
        <v>57.25</v>
      </c>
      <c r="L1372" s="76"/>
      <c r="M1372" s="70">
        <v>42005</v>
      </c>
      <c r="N1372" s="78">
        <v>44926</v>
      </c>
      <c r="O1372" s="72" t="s">
        <v>658</v>
      </c>
      <c r="P1372" s="72" t="s">
        <v>658</v>
      </c>
      <c r="Q1372" s="72" t="s">
        <v>487</v>
      </c>
      <c r="R1372" s="72" t="s">
        <v>349</v>
      </c>
      <c r="S1372" s="111"/>
      <c r="T1372" s="72"/>
      <c r="U1372" s="72"/>
      <c r="V1372" s="101"/>
    </row>
    <row r="1373" spans="1:22" ht="18.75" customHeight="1" x14ac:dyDescent="0.2">
      <c r="A1373" s="79"/>
      <c r="B1373" s="79"/>
      <c r="C1373" s="80"/>
      <c r="D1373" s="66"/>
      <c r="E1373" s="171" t="s">
        <v>1156</v>
      </c>
      <c r="F1373" s="171" t="s">
        <v>1156</v>
      </c>
      <c r="G1373" s="171" t="s">
        <v>547</v>
      </c>
      <c r="H1373" s="82" t="s">
        <v>349</v>
      </c>
      <c r="I1373" s="172">
        <v>39.06</v>
      </c>
      <c r="J1373" s="84"/>
      <c r="K1373" s="85"/>
      <c r="L1373" s="66"/>
      <c r="M1373" s="66"/>
      <c r="N1373" s="66"/>
      <c r="O1373" s="66"/>
      <c r="P1373" s="66"/>
      <c r="Q1373" s="66"/>
      <c r="R1373" s="72"/>
      <c r="T1373" s="66"/>
      <c r="U1373" s="66"/>
    </row>
    <row r="1374" spans="1:22" ht="18.75" customHeight="1" x14ac:dyDescent="0.2">
      <c r="A1374" s="79"/>
      <c r="B1374" s="79"/>
      <c r="C1374" s="80"/>
      <c r="D1374" s="66"/>
      <c r="E1374" s="86"/>
      <c r="F1374" s="66"/>
      <c r="G1374" s="66" t="s">
        <v>353</v>
      </c>
      <c r="H1374" s="82"/>
      <c r="I1374" s="84"/>
      <c r="J1374" s="84"/>
      <c r="K1374" s="85"/>
      <c r="L1374" s="66"/>
      <c r="M1374" s="66"/>
      <c r="N1374" s="66"/>
      <c r="O1374" s="66"/>
      <c r="P1374" s="66"/>
      <c r="Q1374" s="66"/>
      <c r="R1374" s="72"/>
      <c r="S1374" s="72"/>
      <c r="T1374" s="72"/>
      <c r="U1374" s="72"/>
      <c r="V1374" s="101"/>
    </row>
    <row r="1375" spans="1:22" ht="18.75" customHeight="1" x14ac:dyDescent="0.2">
      <c r="A1375" s="70">
        <v>41784</v>
      </c>
      <c r="B1375" s="70">
        <v>41798</v>
      </c>
      <c r="C1375" s="71">
        <v>13301</v>
      </c>
      <c r="D1375" s="72" t="s">
        <v>145</v>
      </c>
      <c r="E1375" s="169" t="s">
        <v>21</v>
      </c>
      <c r="F1375" s="169" t="s">
        <v>693</v>
      </c>
      <c r="G1375" s="169" t="s">
        <v>389</v>
      </c>
      <c r="H1375" s="74" t="s">
        <v>349</v>
      </c>
      <c r="I1375" s="170">
        <v>65.25</v>
      </c>
      <c r="J1375" s="76"/>
      <c r="K1375" s="76">
        <v>67.510000000000005</v>
      </c>
      <c r="L1375" s="76"/>
      <c r="M1375" s="70">
        <v>42008</v>
      </c>
      <c r="N1375" s="78">
        <v>44929</v>
      </c>
      <c r="O1375" s="72" t="s">
        <v>21</v>
      </c>
      <c r="P1375" s="72" t="s">
        <v>693</v>
      </c>
      <c r="Q1375" s="72" t="s">
        <v>389</v>
      </c>
      <c r="R1375" s="72" t="s">
        <v>349</v>
      </c>
      <c r="T1375" s="66"/>
      <c r="U1375" s="66"/>
    </row>
    <row r="1376" spans="1:22" ht="18.75" customHeight="1" x14ac:dyDescent="0.2">
      <c r="A1376" s="79"/>
      <c r="B1376" s="79"/>
      <c r="C1376" s="80"/>
      <c r="D1376" s="66"/>
      <c r="E1376" s="86"/>
      <c r="F1376" s="66"/>
      <c r="G1376" s="66" t="s">
        <v>353</v>
      </c>
      <c r="H1376" s="82"/>
      <c r="I1376" s="84"/>
      <c r="J1376" s="84"/>
      <c r="K1376" s="85"/>
      <c r="L1376" s="66"/>
      <c r="M1376" s="66"/>
      <c r="N1376" s="66"/>
      <c r="O1376" s="66"/>
      <c r="P1376" s="66"/>
      <c r="Q1376" s="66"/>
      <c r="R1376" s="72"/>
      <c r="T1376" s="66"/>
      <c r="U1376" s="66"/>
    </row>
    <row r="1377" spans="1:22" ht="18.75" customHeight="1" x14ac:dyDescent="0.2">
      <c r="A1377" s="70">
        <v>41784</v>
      </c>
      <c r="B1377" s="70">
        <v>41798</v>
      </c>
      <c r="C1377" s="71">
        <v>13307</v>
      </c>
      <c r="D1377" s="72" t="s">
        <v>890</v>
      </c>
      <c r="E1377" s="169" t="s">
        <v>19</v>
      </c>
      <c r="F1377" s="169" t="s">
        <v>1221</v>
      </c>
      <c r="G1377" s="169" t="s">
        <v>562</v>
      </c>
      <c r="H1377" s="74" t="s">
        <v>349</v>
      </c>
      <c r="I1377" s="170">
        <v>45.33</v>
      </c>
      <c r="J1377" s="173">
        <v>50.68</v>
      </c>
      <c r="K1377" s="76">
        <v>61.12</v>
      </c>
      <c r="L1377" s="76">
        <v>43.4</v>
      </c>
      <c r="M1377" s="70">
        <v>42005</v>
      </c>
      <c r="N1377" s="78">
        <v>44926</v>
      </c>
      <c r="O1377" s="72" t="s">
        <v>19</v>
      </c>
      <c r="P1377" s="72" t="s">
        <v>1221</v>
      </c>
      <c r="Q1377" s="72" t="s">
        <v>562</v>
      </c>
      <c r="R1377" s="72" t="s">
        <v>349</v>
      </c>
      <c r="T1377" s="66"/>
      <c r="U1377" s="66"/>
    </row>
    <row r="1378" spans="1:22" ht="18.75" customHeight="1" x14ac:dyDescent="0.2">
      <c r="A1378" s="79"/>
      <c r="B1378" s="79"/>
      <c r="C1378" s="80"/>
      <c r="D1378" s="66"/>
      <c r="E1378" s="171" t="s">
        <v>21</v>
      </c>
      <c r="F1378" s="171" t="s">
        <v>1478</v>
      </c>
      <c r="G1378" s="171" t="s">
        <v>383</v>
      </c>
      <c r="H1378" s="82" t="s">
        <v>349</v>
      </c>
      <c r="I1378" s="172">
        <v>44.2</v>
      </c>
      <c r="J1378" s="174">
        <v>49.32</v>
      </c>
      <c r="K1378" s="85"/>
      <c r="L1378" s="66"/>
      <c r="M1378" s="66"/>
      <c r="N1378" s="66"/>
      <c r="O1378" s="66"/>
      <c r="P1378" s="66"/>
      <c r="Q1378" s="66"/>
      <c r="R1378" s="72"/>
      <c r="S1378" s="72"/>
      <c r="T1378" s="72"/>
      <c r="U1378" s="72"/>
      <c r="V1378" s="101"/>
    </row>
    <row r="1379" spans="1:22" ht="18.75" customHeight="1" x14ac:dyDescent="0.2">
      <c r="A1379" s="79"/>
      <c r="B1379" s="79"/>
      <c r="C1379" s="80"/>
      <c r="D1379" s="66"/>
      <c r="E1379" s="171" t="s">
        <v>34</v>
      </c>
      <c r="F1379" s="171" t="s">
        <v>893</v>
      </c>
      <c r="G1379" s="171" t="s">
        <v>894</v>
      </c>
      <c r="H1379" s="82" t="s">
        <v>419</v>
      </c>
      <c r="I1379" s="172">
        <v>10.47</v>
      </c>
      <c r="J1379" s="84"/>
      <c r="K1379" s="85"/>
      <c r="L1379" s="66"/>
      <c r="M1379" s="66"/>
      <c r="N1379" s="66"/>
      <c r="O1379" s="66"/>
      <c r="P1379" s="66"/>
      <c r="Q1379" s="66"/>
      <c r="R1379" s="72"/>
      <c r="T1379" s="66"/>
      <c r="U1379" s="66"/>
    </row>
    <row r="1380" spans="1:22" ht="18.75" customHeight="1" x14ac:dyDescent="0.2">
      <c r="A1380" s="79"/>
      <c r="B1380" s="79"/>
      <c r="C1380" s="80"/>
      <c r="D1380" s="66"/>
      <c r="E1380" s="86"/>
      <c r="F1380" s="66"/>
      <c r="G1380" s="66" t="s">
        <v>353</v>
      </c>
      <c r="H1380" s="82"/>
      <c r="I1380" s="84"/>
      <c r="J1380" s="84"/>
      <c r="K1380" s="85"/>
      <c r="L1380" s="66"/>
      <c r="M1380" s="66"/>
      <c r="N1380" s="66"/>
      <c r="O1380" s="66"/>
      <c r="P1380" s="66"/>
      <c r="Q1380" s="66"/>
      <c r="R1380" s="72"/>
      <c r="S1380" s="72"/>
      <c r="T1380" s="72"/>
      <c r="U1380" s="72"/>
      <c r="V1380" s="101"/>
    </row>
    <row r="1381" spans="1:22" ht="18.75" customHeight="1" x14ac:dyDescent="0.2">
      <c r="A1381" s="70">
        <v>41784</v>
      </c>
      <c r="B1381" s="70">
        <v>41798</v>
      </c>
      <c r="C1381" s="71">
        <v>13501</v>
      </c>
      <c r="D1381" s="72" t="s">
        <v>1299</v>
      </c>
      <c r="E1381" s="169" t="s">
        <v>19</v>
      </c>
      <c r="F1381" s="169" t="s">
        <v>1057</v>
      </c>
      <c r="G1381" s="169" t="s">
        <v>512</v>
      </c>
      <c r="H1381" s="74" t="s">
        <v>349</v>
      </c>
      <c r="I1381" s="170">
        <v>76.78</v>
      </c>
      <c r="J1381" s="76"/>
      <c r="K1381" s="76">
        <v>63.09</v>
      </c>
      <c r="L1381" s="76"/>
      <c r="M1381" s="70">
        <v>41821</v>
      </c>
      <c r="N1381" s="78">
        <v>44742</v>
      </c>
      <c r="O1381" s="74" t="s">
        <v>19</v>
      </c>
      <c r="P1381" s="74" t="s">
        <v>1057</v>
      </c>
      <c r="Q1381" s="74" t="s">
        <v>512</v>
      </c>
      <c r="R1381" s="72" t="s">
        <v>349</v>
      </c>
      <c r="S1381" s="106" t="s">
        <v>1192</v>
      </c>
      <c r="T1381" s="66"/>
      <c r="U1381" s="66"/>
    </row>
    <row r="1382" spans="1:22" ht="18.75" customHeight="1" x14ac:dyDescent="0.2">
      <c r="A1382" s="79"/>
      <c r="B1382" s="79"/>
      <c r="C1382" s="80"/>
      <c r="D1382" s="66"/>
      <c r="E1382" s="86"/>
      <c r="F1382" s="66"/>
      <c r="G1382" s="66" t="s">
        <v>353</v>
      </c>
      <c r="H1382" s="82"/>
      <c r="I1382" s="84"/>
      <c r="J1382" s="84"/>
      <c r="K1382" s="85"/>
      <c r="L1382" s="66"/>
      <c r="M1382" s="66"/>
      <c r="N1382" s="66"/>
      <c r="O1382" s="66"/>
      <c r="P1382" s="66"/>
      <c r="Q1382" s="66"/>
      <c r="R1382" s="72"/>
      <c r="T1382" s="66"/>
      <c r="U1382" s="66"/>
    </row>
    <row r="1383" spans="1:22" ht="18.75" customHeight="1" x14ac:dyDescent="0.2">
      <c r="A1383" s="70">
        <v>41784</v>
      </c>
      <c r="B1383" s="70">
        <v>41798</v>
      </c>
      <c r="C1383" s="71">
        <v>13502</v>
      </c>
      <c r="D1383" s="72" t="s">
        <v>482</v>
      </c>
      <c r="E1383" s="169" t="s">
        <v>580</v>
      </c>
      <c r="F1383" s="169" t="s">
        <v>580</v>
      </c>
      <c r="G1383" s="169" t="s">
        <v>1257</v>
      </c>
      <c r="H1383" s="74" t="s">
        <v>349</v>
      </c>
      <c r="I1383" s="170">
        <v>61.61</v>
      </c>
      <c r="J1383" s="76"/>
      <c r="K1383" s="76">
        <v>63.78</v>
      </c>
      <c r="L1383" s="76"/>
      <c r="M1383" s="70">
        <v>41821</v>
      </c>
      <c r="N1383" s="78">
        <v>44742</v>
      </c>
      <c r="O1383" s="72" t="s">
        <v>580</v>
      </c>
      <c r="P1383" s="72" t="s">
        <v>580</v>
      </c>
      <c r="Q1383" s="72" t="s">
        <v>1257</v>
      </c>
      <c r="R1383" s="72" t="s">
        <v>349</v>
      </c>
      <c r="S1383" s="106" t="s">
        <v>1192</v>
      </c>
      <c r="T1383" s="72"/>
      <c r="U1383" s="72"/>
      <c r="V1383" s="101"/>
    </row>
    <row r="1384" spans="1:22" ht="18.75" customHeight="1" x14ac:dyDescent="0.2">
      <c r="A1384" s="79"/>
      <c r="B1384" s="79"/>
      <c r="C1384" s="80"/>
      <c r="D1384" s="66"/>
      <c r="E1384" s="171" t="s">
        <v>1479</v>
      </c>
      <c r="F1384" s="171" t="s">
        <v>1479</v>
      </c>
      <c r="G1384" s="171" t="s">
        <v>476</v>
      </c>
      <c r="H1384" s="82" t="s">
        <v>349</v>
      </c>
      <c r="I1384" s="172">
        <v>38.39</v>
      </c>
      <c r="J1384" s="84"/>
      <c r="K1384" s="85"/>
      <c r="L1384" s="66"/>
      <c r="M1384" s="66"/>
      <c r="N1384" s="66"/>
      <c r="O1384" s="66"/>
      <c r="P1384" s="66"/>
      <c r="Q1384" s="66"/>
      <c r="R1384" s="72"/>
      <c r="T1384" s="66"/>
      <c r="U1384" s="66"/>
    </row>
    <row r="1385" spans="1:22" ht="18.75" customHeight="1" x14ac:dyDescent="0.2">
      <c r="A1385" s="79"/>
      <c r="B1385" s="79"/>
      <c r="C1385" s="80"/>
      <c r="D1385" s="66"/>
      <c r="E1385" s="86"/>
      <c r="F1385" s="66"/>
      <c r="G1385" s="66" t="s">
        <v>353</v>
      </c>
      <c r="H1385" s="82"/>
      <c r="I1385" s="84"/>
      <c r="J1385" s="84"/>
      <c r="K1385" s="85"/>
      <c r="L1385" s="66"/>
      <c r="M1385" s="66"/>
      <c r="N1385" s="66"/>
      <c r="O1385" s="66"/>
      <c r="P1385" s="66"/>
      <c r="Q1385" s="66"/>
      <c r="R1385" s="72"/>
      <c r="T1385" s="66"/>
      <c r="U1385" s="66"/>
    </row>
    <row r="1386" spans="1:22" ht="18.75" customHeight="1" x14ac:dyDescent="0.2">
      <c r="A1386" s="70">
        <v>41784</v>
      </c>
      <c r="B1386" s="70">
        <v>41798</v>
      </c>
      <c r="C1386" s="71">
        <v>13709</v>
      </c>
      <c r="D1386" s="72" t="s">
        <v>1480</v>
      </c>
      <c r="E1386" s="169" t="s">
        <v>1481</v>
      </c>
      <c r="F1386" s="169" t="s">
        <v>853</v>
      </c>
      <c r="G1386" s="169" t="s">
        <v>854</v>
      </c>
      <c r="H1386" s="74" t="s">
        <v>349</v>
      </c>
      <c r="I1386" s="170">
        <v>68.03</v>
      </c>
      <c r="J1386" s="76"/>
      <c r="K1386" s="76">
        <v>65.97</v>
      </c>
      <c r="L1386" s="76"/>
      <c r="M1386" s="70">
        <v>41821</v>
      </c>
      <c r="N1386" s="78">
        <v>44742</v>
      </c>
      <c r="O1386" s="72"/>
      <c r="P1386" s="72"/>
      <c r="Q1386" s="72"/>
      <c r="R1386" s="72"/>
      <c r="S1386" s="72" t="s">
        <v>1183</v>
      </c>
      <c r="U1386" s="72"/>
      <c r="V1386" s="101"/>
    </row>
    <row r="1387" spans="1:22" ht="18.75" customHeight="1" x14ac:dyDescent="0.2">
      <c r="A1387" s="79"/>
      <c r="B1387" s="79"/>
      <c r="C1387" s="80"/>
      <c r="D1387" s="66"/>
      <c r="E1387" s="171" t="s">
        <v>19</v>
      </c>
      <c r="F1387" s="171" t="s">
        <v>1482</v>
      </c>
      <c r="G1387" s="171" t="s">
        <v>899</v>
      </c>
      <c r="H1387" s="82" t="s">
        <v>349</v>
      </c>
      <c r="I1387" s="172">
        <v>31.97</v>
      </c>
      <c r="J1387" s="84"/>
      <c r="K1387" s="85"/>
      <c r="L1387" s="66"/>
      <c r="M1387" s="66"/>
      <c r="N1387" s="66"/>
      <c r="O1387" s="66"/>
      <c r="P1387" s="66"/>
      <c r="Q1387" s="66"/>
      <c r="R1387" s="72"/>
      <c r="T1387" s="66"/>
      <c r="U1387" s="66"/>
    </row>
    <row r="1388" spans="1:22" ht="18.75" customHeight="1" x14ac:dyDescent="0.2">
      <c r="A1388" s="79"/>
      <c r="B1388" s="79"/>
      <c r="C1388" s="80"/>
      <c r="D1388" s="66"/>
      <c r="E1388" s="86"/>
      <c r="F1388" s="66"/>
      <c r="G1388" s="66" t="s">
        <v>353</v>
      </c>
      <c r="H1388" s="82"/>
      <c r="I1388" s="84"/>
      <c r="J1388" s="84"/>
      <c r="K1388" s="85"/>
      <c r="L1388" s="66"/>
      <c r="M1388" s="66"/>
      <c r="N1388" s="66"/>
      <c r="O1388" s="66"/>
      <c r="P1388" s="66"/>
      <c r="Q1388" s="66"/>
      <c r="R1388" s="72"/>
      <c r="T1388" s="66"/>
      <c r="U1388" s="66"/>
    </row>
    <row r="1389" spans="1:22" ht="18.75" customHeight="1" x14ac:dyDescent="0.2">
      <c r="A1389" s="70">
        <v>41784</v>
      </c>
      <c r="B1389" s="70">
        <v>41798</v>
      </c>
      <c r="C1389" s="71">
        <v>14003</v>
      </c>
      <c r="D1389" s="72" t="s">
        <v>707</v>
      </c>
      <c r="E1389" s="169" t="s">
        <v>1483</v>
      </c>
      <c r="F1389" s="169" t="s">
        <v>1483</v>
      </c>
      <c r="G1389" s="169" t="s">
        <v>1170</v>
      </c>
      <c r="H1389" s="74" t="s">
        <v>349</v>
      </c>
      <c r="I1389" s="170">
        <v>46.37</v>
      </c>
      <c r="J1389" s="173">
        <v>66.650000000000006</v>
      </c>
      <c r="K1389" s="76">
        <v>62.89</v>
      </c>
      <c r="L1389" s="76">
        <v>44.82</v>
      </c>
      <c r="M1389" s="70">
        <v>41821</v>
      </c>
      <c r="N1389" s="78">
        <v>44742</v>
      </c>
      <c r="O1389" s="72" t="s">
        <v>1190</v>
      </c>
      <c r="P1389" s="72" t="s">
        <v>1190</v>
      </c>
      <c r="Q1389" s="72" t="s">
        <v>1191</v>
      </c>
      <c r="R1389" s="72" t="s">
        <v>419</v>
      </c>
      <c r="S1389" s="106" t="s">
        <v>1192</v>
      </c>
      <c r="T1389" s="66"/>
      <c r="U1389" s="66"/>
    </row>
    <row r="1390" spans="1:22" ht="18.75" customHeight="1" x14ac:dyDescent="0.2">
      <c r="A1390" s="79"/>
      <c r="B1390" s="79"/>
      <c r="C1390" s="80"/>
      <c r="D1390" s="66"/>
      <c r="E1390" s="171" t="s">
        <v>1203</v>
      </c>
      <c r="F1390" s="171" t="s">
        <v>1203</v>
      </c>
      <c r="G1390" s="171" t="s">
        <v>637</v>
      </c>
      <c r="H1390" s="82" t="s">
        <v>349</v>
      </c>
      <c r="I1390" s="172">
        <v>24.16</v>
      </c>
      <c r="J1390" s="174">
        <v>33.35</v>
      </c>
      <c r="K1390" s="85"/>
      <c r="L1390" s="66"/>
      <c r="M1390" s="66"/>
      <c r="N1390" s="66"/>
      <c r="O1390" s="66"/>
      <c r="P1390" s="66"/>
      <c r="Q1390" s="66"/>
      <c r="R1390" s="72"/>
      <c r="T1390" s="66"/>
      <c r="U1390" s="66"/>
    </row>
    <row r="1391" spans="1:22" ht="18.75" customHeight="1" x14ac:dyDescent="0.2">
      <c r="A1391" s="79"/>
      <c r="B1391" s="79"/>
      <c r="C1391" s="80"/>
      <c r="D1391" s="66"/>
      <c r="E1391" s="171" t="s">
        <v>444</v>
      </c>
      <c r="F1391" s="171" t="s">
        <v>444</v>
      </c>
      <c r="G1391" s="171" t="s">
        <v>1022</v>
      </c>
      <c r="H1391" s="82" t="s">
        <v>349</v>
      </c>
      <c r="I1391" s="172">
        <v>22.08</v>
      </c>
      <c r="J1391" s="84"/>
      <c r="K1391" s="85"/>
      <c r="L1391" s="66"/>
      <c r="M1391" s="66"/>
      <c r="N1391" s="66"/>
      <c r="O1391" s="66"/>
      <c r="P1391" s="66"/>
      <c r="Q1391" s="66"/>
      <c r="R1391" s="72"/>
      <c r="S1391" s="72"/>
      <c r="T1391" s="72"/>
      <c r="U1391" s="72"/>
      <c r="V1391" s="101"/>
    </row>
    <row r="1392" spans="1:22" ht="18.75" customHeight="1" x14ac:dyDescent="0.2">
      <c r="A1392" s="79"/>
      <c r="B1392" s="79"/>
      <c r="C1392" s="80"/>
      <c r="D1392" s="66"/>
      <c r="E1392" s="171" t="s">
        <v>1484</v>
      </c>
      <c r="F1392" s="171" t="s">
        <v>1484</v>
      </c>
      <c r="G1392" s="171" t="s">
        <v>383</v>
      </c>
      <c r="H1392" s="82" t="s">
        <v>349</v>
      </c>
      <c r="I1392" s="172">
        <v>7.39</v>
      </c>
      <c r="J1392" s="84"/>
      <c r="K1392" s="85"/>
      <c r="L1392" s="66"/>
      <c r="M1392" s="66"/>
      <c r="N1392" s="66"/>
      <c r="O1392" s="66"/>
      <c r="P1392" s="66"/>
      <c r="Q1392" s="66"/>
      <c r="R1392" s="72"/>
      <c r="T1392" s="66"/>
      <c r="U1392" s="66"/>
    </row>
    <row r="1393" spans="1:22" ht="18.75" customHeight="1" x14ac:dyDescent="0.2">
      <c r="A1393" s="79"/>
      <c r="B1393" s="79"/>
      <c r="C1393" s="80"/>
      <c r="D1393" s="66"/>
      <c r="E1393" s="86"/>
      <c r="F1393" s="66"/>
      <c r="G1393" s="66" t="s">
        <v>353</v>
      </c>
      <c r="H1393" s="82"/>
      <c r="I1393" s="84"/>
      <c r="J1393" s="84"/>
      <c r="K1393" s="85"/>
      <c r="L1393" s="66"/>
      <c r="M1393" s="66"/>
      <c r="N1393" s="66"/>
      <c r="O1393" s="66"/>
      <c r="P1393" s="66"/>
      <c r="Q1393" s="66"/>
      <c r="R1393" s="72"/>
      <c r="T1393" s="66"/>
      <c r="U1393" s="66"/>
    </row>
    <row r="1394" spans="1:22" ht="18.75" customHeight="1" x14ac:dyDescent="0.2">
      <c r="A1394" s="70">
        <v>41784</v>
      </c>
      <c r="B1394" s="70">
        <v>41798</v>
      </c>
      <c r="C1394" s="71">
        <v>14107</v>
      </c>
      <c r="D1394" s="72" t="s">
        <v>681</v>
      </c>
      <c r="E1394" s="169" t="s">
        <v>19</v>
      </c>
      <c r="F1394" s="169" t="s">
        <v>1485</v>
      </c>
      <c r="G1394" s="169" t="s">
        <v>1228</v>
      </c>
      <c r="H1394" s="74" t="s">
        <v>349</v>
      </c>
      <c r="I1394" s="170">
        <v>47.24</v>
      </c>
      <c r="J1394" s="173">
        <v>68.760000000000005</v>
      </c>
      <c r="K1394" s="76">
        <v>65.47</v>
      </c>
      <c r="L1394" s="76">
        <v>46.73</v>
      </c>
      <c r="M1394" s="70">
        <v>41883</v>
      </c>
      <c r="N1394" s="78">
        <v>44804</v>
      </c>
      <c r="O1394" s="72" t="s">
        <v>682</v>
      </c>
      <c r="P1394" s="72" t="s">
        <v>682</v>
      </c>
      <c r="Q1394" s="72" t="s">
        <v>683</v>
      </c>
      <c r="R1394" s="72" t="s">
        <v>349</v>
      </c>
      <c r="S1394" s="111"/>
      <c r="T1394" s="66"/>
      <c r="U1394" s="66"/>
    </row>
    <row r="1395" spans="1:22" ht="18.75" customHeight="1" x14ac:dyDescent="0.2">
      <c r="A1395" s="79"/>
      <c r="B1395" s="79"/>
      <c r="C1395" s="80"/>
      <c r="D1395" s="66"/>
      <c r="E1395" s="171" t="s">
        <v>21</v>
      </c>
      <c r="F1395" s="171" t="s">
        <v>932</v>
      </c>
      <c r="G1395" s="171" t="s">
        <v>476</v>
      </c>
      <c r="H1395" s="82" t="s">
        <v>349</v>
      </c>
      <c r="I1395" s="172">
        <v>33.28</v>
      </c>
      <c r="J1395" s="174">
        <v>31.24</v>
      </c>
      <c r="K1395" s="85"/>
      <c r="L1395" s="66"/>
      <c r="M1395" s="66"/>
      <c r="N1395" s="66"/>
      <c r="O1395" s="66"/>
      <c r="P1395" s="66"/>
      <c r="Q1395" s="66"/>
      <c r="R1395" s="72"/>
      <c r="S1395" s="72"/>
      <c r="T1395" s="72"/>
      <c r="U1395" s="72"/>
      <c r="V1395" s="101"/>
    </row>
    <row r="1396" spans="1:22" ht="18.75" customHeight="1" x14ac:dyDescent="0.2">
      <c r="A1396" s="79"/>
      <c r="B1396" s="79"/>
      <c r="C1396" s="80"/>
      <c r="D1396" s="66"/>
      <c r="E1396" s="171" t="s">
        <v>1486</v>
      </c>
      <c r="F1396" s="171" t="s">
        <v>1487</v>
      </c>
      <c r="G1396" s="171" t="s">
        <v>547</v>
      </c>
      <c r="H1396" s="82" t="s">
        <v>349</v>
      </c>
      <c r="I1396" s="172">
        <v>19.48</v>
      </c>
      <c r="J1396" s="84"/>
      <c r="K1396" s="85"/>
      <c r="L1396" s="66"/>
      <c r="M1396" s="66"/>
      <c r="N1396" s="66"/>
      <c r="O1396" s="66"/>
      <c r="P1396" s="66"/>
      <c r="Q1396" s="66"/>
      <c r="R1396" s="72"/>
      <c r="T1396" s="66"/>
      <c r="U1396" s="66"/>
    </row>
    <row r="1397" spans="1:22" ht="18.75" customHeight="1" x14ac:dyDescent="0.2">
      <c r="A1397" s="79"/>
      <c r="B1397" s="79"/>
      <c r="C1397" s="80"/>
      <c r="D1397" s="66"/>
      <c r="E1397" s="86"/>
      <c r="F1397" s="66"/>
      <c r="G1397" s="66" t="s">
        <v>353</v>
      </c>
      <c r="H1397" s="82"/>
      <c r="I1397" s="84"/>
      <c r="J1397" s="84"/>
      <c r="K1397" s="85"/>
      <c r="L1397" s="66"/>
      <c r="M1397" s="66"/>
      <c r="N1397" s="66"/>
      <c r="O1397" s="66"/>
      <c r="P1397" s="66"/>
      <c r="Q1397" s="66"/>
      <c r="R1397" s="72"/>
      <c r="V1397" s="101"/>
    </row>
    <row r="1398" spans="1:22" ht="18.75" customHeight="1" x14ac:dyDescent="0.2">
      <c r="A1398" s="70">
        <v>41784</v>
      </c>
      <c r="B1398" s="70">
        <v>41798</v>
      </c>
      <c r="C1398" s="71">
        <v>14305</v>
      </c>
      <c r="D1398" s="72" t="s">
        <v>687</v>
      </c>
      <c r="E1398" s="169" t="s">
        <v>1184</v>
      </c>
      <c r="F1398" s="169" t="s">
        <v>1184</v>
      </c>
      <c r="G1398" s="169" t="s">
        <v>383</v>
      </c>
      <c r="H1398" s="74" t="s">
        <v>349</v>
      </c>
      <c r="I1398" s="170">
        <v>89.59</v>
      </c>
      <c r="J1398" s="76"/>
      <c r="K1398" s="76">
        <v>57.21</v>
      </c>
      <c r="L1398" s="76"/>
      <c r="M1398" s="70">
        <v>41944</v>
      </c>
      <c r="N1398" s="78">
        <v>44865</v>
      </c>
      <c r="O1398" s="72" t="s">
        <v>1184</v>
      </c>
      <c r="P1398" s="72" t="s">
        <v>1184</v>
      </c>
      <c r="Q1398" s="72" t="s">
        <v>383</v>
      </c>
      <c r="R1398" s="72" t="s">
        <v>349</v>
      </c>
      <c r="S1398" s="111"/>
      <c r="T1398" s="66"/>
      <c r="U1398" s="66"/>
    </row>
    <row r="1399" spans="1:22" ht="18.75" customHeight="1" x14ac:dyDescent="0.2">
      <c r="A1399" s="79"/>
      <c r="B1399" s="79"/>
      <c r="C1399" s="80"/>
      <c r="D1399" s="66"/>
      <c r="E1399" s="86"/>
      <c r="F1399" s="66"/>
      <c r="G1399" s="66" t="s">
        <v>353</v>
      </c>
      <c r="H1399" s="82"/>
      <c r="I1399" s="84"/>
      <c r="J1399" s="84"/>
      <c r="K1399" s="85"/>
      <c r="L1399" s="66"/>
      <c r="M1399" s="66"/>
      <c r="N1399" s="66"/>
      <c r="O1399" s="66"/>
      <c r="P1399" s="66"/>
      <c r="Q1399" s="66"/>
      <c r="R1399" s="72"/>
      <c r="T1399" s="66"/>
      <c r="U1399" s="66"/>
    </row>
    <row r="1400" spans="1:22" ht="18.75" customHeight="1" x14ac:dyDescent="0.2">
      <c r="A1400" s="70">
        <v>41784</v>
      </c>
      <c r="B1400" s="70">
        <v>41798</v>
      </c>
      <c r="C1400" s="71">
        <v>14306</v>
      </c>
      <c r="D1400" s="72" t="s">
        <v>986</v>
      </c>
      <c r="E1400" s="169" t="s">
        <v>19</v>
      </c>
      <c r="F1400" s="169" t="s">
        <v>716</v>
      </c>
      <c r="G1400" s="169" t="s">
        <v>1488</v>
      </c>
      <c r="H1400" s="74" t="s">
        <v>349</v>
      </c>
      <c r="I1400" s="170">
        <v>54.62</v>
      </c>
      <c r="J1400" s="76"/>
      <c r="K1400" s="76">
        <v>61.67</v>
      </c>
      <c r="L1400" s="76"/>
      <c r="M1400" s="70">
        <v>41883</v>
      </c>
      <c r="N1400" s="78">
        <v>44804</v>
      </c>
      <c r="O1400" s="74" t="s">
        <v>19</v>
      </c>
      <c r="P1400" s="74" t="s">
        <v>987</v>
      </c>
      <c r="Q1400" s="74" t="s">
        <v>368</v>
      </c>
      <c r="R1400" s="72" t="s">
        <v>349</v>
      </c>
      <c r="S1400" s="145"/>
      <c r="T1400" s="72"/>
      <c r="U1400" s="72"/>
      <c r="V1400" s="76"/>
    </row>
    <row r="1401" spans="1:22" ht="18.75" customHeight="1" x14ac:dyDescent="0.2">
      <c r="A1401" s="79"/>
      <c r="B1401" s="79"/>
      <c r="C1401" s="80"/>
      <c r="D1401" s="66"/>
      <c r="E1401" s="171" t="s">
        <v>21</v>
      </c>
      <c r="F1401" s="171" t="s">
        <v>1489</v>
      </c>
      <c r="G1401" s="171" t="s">
        <v>1490</v>
      </c>
      <c r="H1401" s="82" t="s">
        <v>349</v>
      </c>
      <c r="I1401" s="172">
        <v>22.76</v>
      </c>
      <c r="J1401" s="84"/>
      <c r="K1401" s="85"/>
      <c r="L1401" s="66"/>
      <c r="M1401" s="66"/>
      <c r="N1401" s="66"/>
      <c r="O1401" s="66"/>
      <c r="R1401" s="72"/>
      <c r="V1401" s="101"/>
    </row>
    <row r="1402" spans="1:22" ht="18.75" customHeight="1" x14ac:dyDescent="0.2">
      <c r="A1402" s="79"/>
      <c r="B1402" s="79"/>
      <c r="C1402" s="80"/>
      <c r="D1402" s="66"/>
      <c r="E1402" s="171" t="s">
        <v>580</v>
      </c>
      <c r="F1402" s="171" t="s">
        <v>580</v>
      </c>
      <c r="G1402" s="171" t="s">
        <v>629</v>
      </c>
      <c r="H1402" s="82" t="s">
        <v>349</v>
      </c>
      <c r="I1402" s="172">
        <v>22.61</v>
      </c>
      <c r="J1402" s="84"/>
      <c r="K1402" s="85"/>
      <c r="L1402" s="66"/>
      <c r="M1402" s="66"/>
      <c r="N1402" s="66"/>
      <c r="O1402" s="66"/>
      <c r="P1402" s="66"/>
      <c r="Q1402" s="66"/>
      <c r="R1402" s="72"/>
      <c r="T1402" s="66"/>
      <c r="U1402" s="66"/>
    </row>
    <row r="1403" spans="1:22" ht="18.75" customHeight="1" x14ac:dyDescent="0.2">
      <c r="A1403" s="79"/>
      <c r="B1403" s="79"/>
      <c r="C1403" s="80"/>
      <c r="D1403" s="66"/>
      <c r="E1403" s="86"/>
      <c r="F1403" s="66"/>
      <c r="G1403" s="66" t="s">
        <v>353</v>
      </c>
      <c r="H1403" s="82"/>
      <c r="I1403" s="84"/>
      <c r="J1403" s="84"/>
      <c r="K1403" s="85"/>
      <c r="L1403" s="66"/>
      <c r="M1403" s="66"/>
      <c r="N1403" s="66"/>
      <c r="O1403" s="66"/>
      <c r="P1403" s="66"/>
      <c r="Q1403" s="66"/>
      <c r="R1403" s="72"/>
      <c r="T1403" s="66"/>
      <c r="U1403" s="66"/>
    </row>
    <row r="1404" spans="1:22" ht="18.75" customHeight="1" x14ac:dyDescent="0.2">
      <c r="A1404" s="70">
        <v>41784</v>
      </c>
      <c r="B1404" s="70">
        <v>41798</v>
      </c>
      <c r="C1404" s="71">
        <v>23108</v>
      </c>
      <c r="D1404" s="72" t="s">
        <v>941</v>
      </c>
      <c r="E1404" s="169" t="s">
        <v>19</v>
      </c>
      <c r="F1404" s="169" t="s">
        <v>1317</v>
      </c>
      <c r="G1404" s="169" t="s">
        <v>1491</v>
      </c>
      <c r="H1404" s="74" t="s">
        <v>349</v>
      </c>
      <c r="I1404" s="170">
        <v>49.51</v>
      </c>
      <c r="J1404" s="173">
        <v>55.44</v>
      </c>
      <c r="K1404" s="76">
        <v>63.87</v>
      </c>
      <c r="L1404" s="76">
        <v>40.1</v>
      </c>
      <c r="M1404" s="70">
        <v>41821</v>
      </c>
      <c r="N1404" s="78">
        <v>44742</v>
      </c>
      <c r="O1404" s="74"/>
      <c r="P1404" s="74"/>
      <c r="Q1404" s="74"/>
      <c r="R1404" s="72"/>
      <c r="S1404" s="72" t="s">
        <v>1315</v>
      </c>
      <c r="T1404" s="66"/>
      <c r="U1404" s="66"/>
    </row>
    <row r="1405" spans="1:22" ht="18.75" customHeight="1" x14ac:dyDescent="0.2">
      <c r="A1405" s="79"/>
      <c r="B1405" s="79"/>
      <c r="C1405" s="80"/>
      <c r="D1405" s="66"/>
      <c r="E1405" s="171" t="s">
        <v>1492</v>
      </c>
      <c r="F1405" s="171" t="s">
        <v>370</v>
      </c>
      <c r="G1405" s="171" t="s">
        <v>757</v>
      </c>
      <c r="H1405" s="82" t="s">
        <v>349</v>
      </c>
      <c r="I1405" s="172">
        <v>35.83</v>
      </c>
      <c r="J1405" s="174">
        <v>44.56</v>
      </c>
      <c r="K1405" s="85"/>
      <c r="L1405" s="66"/>
      <c r="M1405" s="66"/>
      <c r="N1405" s="66"/>
      <c r="O1405" s="66"/>
      <c r="P1405" s="66"/>
      <c r="Q1405" s="66"/>
      <c r="R1405" s="72"/>
      <c r="T1405" s="66"/>
      <c r="U1405" s="66"/>
    </row>
    <row r="1406" spans="1:22" ht="18.75" customHeight="1" x14ac:dyDescent="0.2">
      <c r="A1406" s="79"/>
      <c r="B1406" s="79"/>
      <c r="C1406" s="80"/>
      <c r="D1406" s="66"/>
      <c r="E1406" s="171" t="s">
        <v>34</v>
      </c>
      <c r="F1406" s="171" t="s">
        <v>1493</v>
      </c>
      <c r="G1406" s="171" t="s">
        <v>1089</v>
      </c>
      <c r="H1406" s="82" t="s">
        <v>419</v>
      </c>
      <c r="I1406" s="172">
        <v>6.41</v>
      </c>
      <c r="J1406" s="84"/>
      <c r="K1406" s="85"/>
      <c r="L1406" s="66"/>
      <c r="M1406" s="66"/>
      <c r="N1406" s="66"/>
      <c r="O1406" s="66"/>
      <c r="P1406" s="66"/>
      <c r="Q1406" s="66"/>
      <c r="R1406" s="72"/>
      <c r="T1406" s="66"/>
      <c r="U1406" s="66"/>
    </row>
    <row r="1407" spans="1:22" ht="18.75" customHeight="1" x14ac:dyDescent="0.2">
      <c r="A1407" s="79"/>
      <c r="B1407" s="79"/>
      <c r="C1407" s="80"/>
      <c r="D1407" s="66"/>
      <c r="E1407" s="171" t="s">
        <v>38</v>
      </c>
      <c r="F1407" s="171" t="s">
        <v>109</v>
      </c>
      <c r="G1407" s="171" t="s">
        <v>1494</v>
      </c>
      <c r="H1407" s="82" t="s">
        <v>419</v>
      </c>
      <c r="I1407" s="172">
        <v>5.0999999999999996</v>
      </c>
      <c r="J1407" s="84"/>
      <c r="K1407" s="85"/>
      <c r="L1407" s="66"/>
      <c r="M1407" s="66"/>
      <c r="N1407" s="66"/>
      <c r="O1407" s="66"/>
      <c r="P1407" s="66"/>
      <c r="Q1407" s="66"/>
      <c r="R1407" s="72"/>
      <c r="T1407" s="66"/>
      <c r="U1407" s="66"/>
    </row>
    <row r="1408" spans="1:22" ht="18.75" customHeight="1" x14ac:dyDescent="0.2">
      <c r="A1408" s="79"/>
      <c r="B1408" s="79"/>
      <c r="C1408" s="80"/>
      <c r="D1408" s="66"/>
      <c r="E1408" s="171" t="s">
        <v>1495</v>
      </c>
      <c r="F1408" s="171" t="s">
        <v>1496</v>
      </c>
      <c r="G1408" s="171" t="s">
        <v>1497</v>
      </c>
      <c r="H1408" s="82" t="s">
        <v>419</v>
      </c>
      <c r="I1408" s="172">
        <v>1.79</v>
      </c>
      <c r="J1408" s="84"/>
      <c r="K1408" s="85"/>
      <c r="L1408" s="66"/>
      <c r="M1408" s="66"/>
      <c r="N1408" s="66"/>
      <c r="O1408" s="66"/>
      <c r="P1408" s="66"/>
      <c r="Q1408" s="66"/>
      <c r="R1408" s="72"/>
      <c r="S1408" s="72"/>
      <c r="T1408" s="72"/>
      <c r="U1408" s="72"/>
      <c r="V1408" s="101"/>
    </row>
    <row r="1409" spans="1:22" ht="18.75" customHeight="1" x14ac:dyDescent="0.2">
      <c r="A1409" s="79"/>
      <c r="B1409" s="79"/>
      <c r="C1409" s="80"/>
      <c r="D1409" s="66"/>
      <c r="E1409" s="171" t="s">
        <v>180</v>
      </c>
      <c r="F1409" s="171" t="s">
        <v>180</v>
      </c>
      <c r="G1409" s="171" t="s">
        <v>1498</v>
      </c>
      <c r="H1409" s="82" t="s">
        <v>349</v>
      </c>
      <c r="I1409" s="172">
        <v>1.36</v>
      </c>
      <c r="J1409" s="84"/>
      <c r="K1409" s="85"/>
      <c r="L1409" s="66"/>
      <c r="M1409" s="66"/>
      <c r="N1409" s="66"/>
      <c r="O1409" s="66"/>
      <c r="P1409" s="66"/>
      <c r="Q1409" s="66"/>
      <c r="R1409" s="72"/>
      <c r="T1409" s="66"/>
      <c r="U1409" s="66"/>
    </row>
    <row r="1410" spans="1:22" ht="18.75" customHeight="1" x14ac:dyDescent="0.2">
      <c r="A1410" s="79"/>
      <c r="B1410" s="79"/>
      <c r="C1410" s="80"/>
      <c r="D1410" s="66"/>
      <c r="E1410" s="86"/>
      <c r="F1410" s="66"/>
      <c r="G1410" s="66" t="s">
        <v>353</v>
      </c>
      <c r="H1410" s="82"/>
      <c r="I1410" s="84"/>
      <c r="J1410" s="84"/>
      <c r="K1410" s="85"/>
      <c r="L1410" s="66"/>
      <c r="M1410" s="66"/>
      <c r="N1410" s="66"/>
      <c r="O1410" s="66"/>
      <c r="P1410" s="66"/>
      <c r="Q1410" s="66"/>
      <c r="R1410" s="72"/>
      <c r="T1410" s="66"/>
      <c r="U1410" s="66"/>
    </row>
    <row r="1411" spans="1:22" ht="18.75" customHeight="1" x14ac:dyDescent="0.2">
      <c r="A1411" s="70">
        <v>41784</v>
      </c>
      <c r="B1411" s="70">
        <v>41798</v>
      </c>
      <c r="C1411" s="71">
        <v>23109</v>
      </c>
      <c r="D1411" s="72" t="s">
        <v>937</v>
      </c>
      <c r="E1411" s="169" t="s">
        <v>21</v>
      </c>
      <c r="F1411" s="169" t="s">
        <v>1499</v>
      </c>
      <c r="G1411" s="169" t="s">
        <v>1208</v>
      </c>
      <c r="H1411" s="74" t="s">
        <v>349</v>
      </c>
      <c r="I1411" s="170">
        <v>46.76</v>
      </c>
      <c r="J1411" s="173">
        <v>59.14</v>
      </c>
      <c r="K1411" s="76">
        <v>60.86</v>
      </c>
      <c r="L1411" s="76">
        <v>44.43</v>
      </c>
      <c r="M1411" s="70">
        <v>41821</v>
      </c>
      <c r="N1411" s="78">
        <v>44742</v>
      </c>
      <c r="O1411" s="72"/>
      <c r="P1411" s="72"/>
      <c r="Q1411" s="72"/>
      <c r="R1411" s="72"/>
      <c r="S1411" s="72" t="s">
        <v>1316</v>
      </c>
      <c r="T1411" s="66"/>
      <c r="U1411" s="66"/>
    </row>
    <row r="1412" spans="1:22" ht="18.75" customHeight="1" x14ac:dyDescent="0.2">
      <c r="A1412" s="79"/>
      <c r="B1412" s="79"/>
      <c r="C1412" s="80"/>
      <c r="D1412" s="66"/>
      <c r="E1412" s="171" t="s">
        <v>19</v>
      </c>
      <c r="F1412" s="171" t="s">
        <v>1500</v>
      </c>
      <c r="G1412" s="171" t="s">
        <v>1501</v>
      </c>
      <c r="H1412" s="82" t="s">
        <v>419</v>
      </c>
      <c r="I1412" s="172">
        <v>46.6</v>
      </c>
      <c r="J1412" s="174">
        <v>40.86</v>
      </c>
      <c r="K1412" s="85"/>
      <c r="L1412" s="66"/>
      <c r="M1412" s="66"/>
      <c r="N1412" s="66"/>
      <c r="O1412" s="66"/>
      <c r="P1412" s="66"/>
      <c r="Q1412" s="66"/>
      <c r="R1412" s="72"/>
      <c r="S1412" s="72"/>
      <c r="T1412" s="72"/>
      <c r="U1412" s="72"/>
      <c r="V1412" s="101"/>
    </row>
    <row r="1413" spans="1:22" ht="18.75" customHeight="1" x14ac:dyDescent="0.2">
      <c r="A1413" s="79"/>
      <c r="B1413" s="79"/>
      <c r="C1413" s="80"/>
      <c r="D1413" s="66"/>
      <c r="E1413" s="171" t="s">
        <v>1495</v>
      </c>
      <c r="F1413" s="171" t="s">
        <v>182</v>
      </c>
      <c r="G1413" s="171" t="s">
        <v>433</v>
      </c>
      <c r="H1413" s="82" t="s">
        <v>349</v>
      </c>
      <c r="I1413" s="172">
        <v>6.64</v>
      </c>
      <c r="J1413" s="84"/>
      <c r="K1413" s="85"/>
      <c r="L1413" s="66"/>
      <c r="M1413" s="66"/>
      <c r="N1413" s="66"/>
      <c r="O1413" s="66"/>
      <c r="P1413" s="66"/>
      <c r="Q1413" s="66"/>
      <c r="R1413" s="72"/>
      <c r="T1413" s="66"/>
      <c r="U1413" s="66"/>
    </row>
    <row r="1414" spans="1:22" ht="18.75" customHeight="1" x14ac:dyDescent="0.2">
      <c r="A1414" s="79"/>
      <c r="B1414" s="79"/>
      <c r="C1414" s="80"/>
      <c r="D1414" s="66"/>
      <c r="E1414" s="86"/>
      <c r="F1414" s="66"/>
      <c r="G1414" s="66" t="s">
        <v>353</v>
      </c>
      <c r="H1414" s="82"/>
      <c r="I1414" s="84"/>
      <c r="J1414" s="84"/>
      <c r="K1414" s="85"/>
      <c r="L1414" s="66"/>
      <c r="M1414" s="66"/>
      <c r="N1414" s="66"/>
      <c r="O1414" s="66"/>
      <c r="P1414" s="66"/>
      <c r="Q1414" s="66"/>
      <c r="R1414" s="72"/>
      <c r="S1414" s="72"/>
      <c r="T1414" s="72"/>
      <c r="U1414" s="72"/>
      <c r="V1414" s="101"/>
    </row>
    <row r="1415" spans="1:22" ht="18.75" customHeight="1" x14ac:dyDescent="0.2">
      <c r="A1415" s="70">
        <v>41784</v>
      </c>
      <c r="B1415" s="70">
        <v>41798</v>
      </c>
      <c r="C1415" s="71">
        <v>23205</v>
      </c>
      <c r="D1415" s="72" t="s">
        <v>1502</v>
      </c>
      <c r="E1415" s="169" t="s">
        <v>19</v>
      </c>
      <c r="F1415" s="169" t="s">
        <v>291</v>
      </c>
      <c r="G1415" s="169" t="s">
        <v>1319</v>
      </c>
      <c r="H1415" s="74" t="s">
        <v>349</v>
      </c>
      <c r="I1415" s="170">
        <v>64.91</v>
      </c>
      <c r="J1415" s="76"/>
      <c r="K1415" s="76">
        <v>61.16</v>
      </c>
      <c r="L1415" s="76"/>
      <c r="M1415" s="70">
        <v>41821</v>
      </c>
      <c r="N1415" s="78">
        <v>44742</v>
      </c>
      <c r="O1415" s="72"/>
      <c r="P1415" s="72"/>
      <c r="Q1415" s="72"/>
      <c r="R1415" s="72"/>
      <c r="S1415" s="72" t="s">
        <v>1320</v>
      </c>
      <c r="T1415" s="66"/>
      <c r="U1415" s="66"/>
    </row>
    <row r="1416" spans="1:22" ht="18.75" customHeight="1" x14ac:dyDescent="0.2">
      <c r="A1416" s="79"/>
      <c r="B1416" s="79"/>
      <c r="C1416" s="80"/>
      <c r="D1416" s="66"/>
      <c r="E1416" s="86"/>
      <c r="F1416" s="66"/>
      <c r="G1416" s="66" t="s">
        <v>353</v>
      </c>
      <c r="H1416" s="82"/>
      <c r="I1416" s="84"/>
      <c r="J1416" s="84"/>
      <c r="K1416" s="85"/>
      <c r="L1416" s="66"/>
      <c r="M1416" s="66"/>
      <c r="N1416" s="66"/>
      <c r="O1416" s="66"/>
      <c r="P1416" s="66"/>
      <c r="Q1416" s="66"/>
      <c r="R1416" s="72"/>
      <c r="T1416" s="66"/>
      <c r="U1416" s="66"/>
    </row>
    <row r="1417" spans="1:22" ht="18.75" customHeight="1" x14ac:dyDescent="0.2">
      <c r="A1417" s="70">
        <v>41784</v>
      </c>
      <c r="B1417" s="70">
        <v>41798</v>
      </c>
      <c r="C1417" s="71">
        <v>23208</v>
      </c>
      <c r="D1417" s="72" t="s">
        <v>1503</v>
      </c>
      <c r="E1417" s="169" t="s">
        <v>21</v>
      </c>
      <c r="F1417" s="169" t="s">
        <v>1317</v>
      </c>
      <c r="G1417" s="169" t="s">
        <v>487</v>
      </c>
      <c r="H1417" s="74" t="s">
        <v>349</v>
      </c>
      <c r="I1417" s="170">
        <v>57.67</v>
      </c>
      <c r="J1417" s="76"/>
      <c r="K1417" s="76">
        <v>65.540000000000006</v>
      </c>
      <c r="L1417" s="76"/>
      <c r="M1417" s="70">
        <v>41821</v>
      </c>
      <c r="N1417" s="78">
        <v>44742</v>
      </c>
      <c r="O1417" s="72"/>
      <c r="P1417" s="72"/>
      <c r="Q1417" s="72"/>
      <c r="R1417" s="72"/>
      <c r="S1417" s="72" t="s">
        <v>1318</v>
      </c>
      <c r="U1417" s="72"/>
      <c r="V1417" s="101"/>
    </row>
    <row r="1418" spans="1:22" ht="18.75" customHeight="1" x14ac:dyDescent="0.2">
      <c r="A1418" s="79"/>
      <c r="B1418" s="79"/>
      <c r="C1418" s="80"/>
      <c r="D1418" s="66"/>
      <c r="E1418" s="171" t="s">
        <v>19</v>
      </c>
      <c r="F1418" s="171" t="s">
        <v>936</v>
      </c>
      <c r="G1418" s="171" t="s">
        <v>570</v>
      </c>
      <c r="H1418" s="82" t="s">
        <v>349</v>
      </c>
      <c r="I1418" s="172">
        <v>42.33</v>
      </c>
      <c r="J1418" s="84"/>
      <c r="K1418" s="85"/>
      <c r="L1418" s="66"/>
      <c r="M1418" s="66"/>
      <c r="N1418" s="66"/>
      <c r="O1418" s="66"/>
      <c r="P1418" s="66"/>
      <c r="Q1418" s="66"/>
      <c r="R1418" s="72"/>
      <c r="T1418" s="66"/>
      <c r="U1418" s="66"/>
    </row>
    <row r="1419" spans="1:22" ht="18.75" customHeight="1" x14ac:dyDescent="0.2">
      <c r="A1419" s="79"/>
      <c r="B1419" s="79"/>
      <c r="C1419" s="80"/>
      <c r="D1419" s="66"/>
      <c r="E1419" s="86"/>
      <c r="F1419" s="66"/>
      <c r="G1419" s="66" t="s">
        <v>353</v>
      </c>
      <c r="H1419" s="82"/>
      <c r="I1419" s="84"/>
      <c r="J1419" s="84"/>
      <c r="K1419" s="85"/>
      <c r="L1419" s="66"/>
      <c r="M1419" s="66"/>
      <c r="N1419" s="66"/>
      <c r="O1419" s="66"/>
      <c r="P1419" s="66"/>
      <c r="Q1419" s="66"/>
      <c r="R1419" s="72"/>
      <c r="T1419" s="66"/>
      <c r="U1419" s="66"/>
    </row>
    <row r="1420" spans="1:22" ht="18.75" customHeight="1" x14ac:dyDescent="0.2">
      <c r="A1420" s="70">
        <v>41784</v>
      </c>
      <c r="B1420" s="70">
        <v>41798</v>
      </c>
      <c r="C1420" s="71">
        <v>23207</v>
      </c>
      <c r="D1420" s="72" t="s">
        <v>1008</v>
      </c>
      <c r="E1420" s="169" t="s">
        <v>19</v>
      </c>
      <c r="F1420" s="169" t="s">
        <v>1504</v>
      </c>
      <c r="G1420" s="169" t="s">
        <v>360</v>
      </c>
      <c r="H1420" s="74" t="s">
        <v>349</v>
      </c>
      <c r="I1420" s="170">
        <v>59.86</v>
      </c>
      <c r="J1420" s="76"/>
      <c r="K1420" s="76">
        <v>63.85</v>
      </c>
      <c r="L1420" s="76"/>
      <c r="M1420" s="70">
        <v>41852</v>
      </c>
      <c r="N1420" s="78">
        <v>44773</v>
      </c>
      <c r="O1420" s="74" t="s">
        <v>19</v>
      </c>
      <c r="P1420" s="74" t="s">
        <v>533</v>
      </c>
      <c r="Q1420" s="74" t="s">
        <v>958</v>
      </c>
      <c r="R1420" s="72" t="s">
        <v>349</v>
      </c>
      <c r="T1420" s="66"/>
      <c r="U1420" s="66"/>
    </row>
    <row r="1421" spans="1:22" ht="18.75" customHeight="1" x14ac:dyDescent="0.2">
      <c r="A1421" s="79"/>
      <c r="B1421" s="79"/>
      <c r="C1421" s="80"/>
      <c r="D1421" s="66"/>
      <c r="E1421" s="171" t="s">
        <v>1006</v>
      </c>
      <c r="F1421" s="171" t="s">
        <v>1505</v>
      </c>
      <c r="G1421" s="171" t="s">
        <v>629</v>
      </c>
      <c r="H1421" s="82" t="s">
        <v>349</v>
      </c>
      <c r="I1421" s="172">
        <v>22.26</v>
      </c>
      <c r="J1421" s="84"/>
      <c r="K1421" s="85"/>
      <c r="L1421" s="66"/>
      <c r="M1421" s="66"/>
      <c r="N1421" s="66"/>
      <c r="O1421" s="66"/>
      <c r="P1421" s="66"/>
      <c r="Q1421" s="66"/>
      <c r="R1421" s="72"/>
      <c r="S1421" s="72"/>
      <c r="T1421" s="72"/>
      <c r="U1421" s="72"/>
      <c r="V1421" s="101"/>
    </row>
    <row r="1422" spans="1:22" ht="18.75" customHeight="1" x14ac:dyDescent="0.2">
      <c r="A1422" s="79"/>
      <c r="B1422" s="79"/>
      <c r="C1422" s="80"/>
      <c r="D1422" s="66"/>
      <c r="E1422" s="171" t="s">
        <v>1506</v>
      </c>
      <c r="F1422" s="171" t="s">
        <v>1507</v>
      </c>
      <c r="G1422" s="171" t="s">
        <v>1508</v>
      </c>
      <c r="H1422" s="82" t="s">
        <v>419</v>
      </c>
      <c r="I1422" s="172">
        <v>17.87</v>
      </c>
      <c r="J1422" s="84"/>
      <c r="K1422" s="85"/>
      <c r="L1422" s="66"/>
      <c r="M1422" s="66"/>
      <c r="N1422" s="66"/>
      <c r="O1422" s="66"/>
      <c r="P1422" s="66"/>
      <c r="Q1422" s="66"/>
      <c r="R1422" s="72"/>
      <c r="T1422" s="66"/>
      <c r="U1422" s="66"/>
    </row>
    <row r="1423" spans="1:22" ht="18.75" customHeight="1" x14ac:dyDescent="0.2">
      <c r="A1423" s="79"/>
      <c r="B1423" s="79"/>
      <c r="C1423" s="80"/>
      <c r="D1423" s="66"/>
      <c r="E1423" s="86"/>
      <c r="F1423" s="66"/>
      <c r="G1423" s="66" t="s">
        <v>353</v>
      </c>
      <c r="H1423" s="82"/>
      <c r="I1423" s="84"/>
      <c r="J1423" s="84"/>
      <c r="K1423" s="85"/>
      <c r="L1423" s="66"/>
      <c r="M1423" s="66"/>
      <c r="N1423" s="66"/>
      <c r="O1423" s="66"/>
      <c r="P1423" s="66"/>
      <c r="Q1423" s="66"/>
      <c r="R1423" s="72"/>
      <c r="S1423" s="72"/>
      <c r="T1423" s="72"/>
      <c r="U1423" s="72"/>
      <c r="V1423" s="101"/>
    </row>
    <row r="1424" spans="1:22" ht="18.75" customHeight="1" x14ac:dyDescent="0.2">
      <c r="A1424" s="70">
        <v>41784</v>
      </c>
      <c r="B1424" s="70">
        <v>41798</v>
      </c>
      <c r="C1424" s="71">
        <v>23502</v>
      </c>
      <c r="D1424" s="72" t="s">
        <v>678</v>
      </c>
      <c r="E1424" s="169" t="s">
        <v>19</v>
      </c>
      <c r="F1424" s="169" t="s">
        <v>1509</v>
      </c>
      <c r="G1424" s="169" t="s">
        <v>915</v>
      </c>
      <c r="H1424" s="74" t="s">
        <v>349</v>
      </c>
      <c r="I1424" s="170">
        <v>74.12</v>
      </c>
      <c r="J1424" s="76"/>
      <c r="K1424" s="76">
        <v>71.53</v>
      </c>
      <c r="L1424" s="76"/>
      <c r="M1424" s="70">
        <v>41883</v>
      </c>
      <c r="N1424" s="78">
        <v>44804</v>
      </c>
      <c r="O1424" s="72" t="s">
        <v>19</v>
      </c>
      <c r="P1424" s="72" t="s">
        <v>679</v>
      </c>
      <c r="Q1424" s="72" t="s">
        <v>368</v>
      </c>
      <c r="R1424" s="72" t="s">
        <v>349</v>
      </c>
      <c r="T1424" s="66"/>
      <c r="U1424" s="66"/>
    </row>
    <row r="1425" spans="1:22" ht="18.75" customHeight="1" x14ac:dyDescent="0.2">
      <c r="A1425" s="79"/>
      <c r="B1425" s="79"/>
      <c r="C1425" s="80"/>
      <c r="D1425" s="66"/>
      <c r="E1425" s="86"/>
      <c r="F1425" s="66"/>
      <c r="G1425" s="66" t="s">
        <v>353</v>
      </c>
      <c r="H1425" s="82"/>
      <c r="I1425" s="84"/>
      <c r="J1425" s="84"/>
      <c r="K1425" s="85"/>
      <c r="L1425" s="66"/>
      <c r="M1425" s="66"/>
      <c r="N1425" s="66"/>
      <c r="O1425" s="66"/>
      <c r="P1425" s="66"/>
      <c r="Q1425" s="66"/>
      <c r="R1425" s="72"/>
      <c r="T1425" s="66"/>
      <c r="U1425" s="66"/>
    </row>
    <row r="1426" spans="1:22" ht="18.75" customHeight="1" x14ac:dyDescent="0.2">
      <c r="A1426" s="70">
        <v>41784</v>
      </c>
      <c r="B1426" s="70">
        <v>41798</v>
      </c>
      <c r="C1426" s="71">
        <v>33107</v>
      </c>
      <c r="D1426" s="72" t="s">
        <v>1510</v>
      </c>
      <c r="E1426" s="169" t="s">
        <v>19</v>
      </c>
      <c r="F1426" s="169" t="s">
        <v>109</v>
      </c>
      <c r="G1426" s="169" t="s">
        <v>550</v>
      </c>
      <c r="H1426" s="74" t="s">
        <v>349</v>
      </c>
      <c r="I1426" s="170">
        <v>70.05</v>
      </c>
      <c r="J1426" s="76"/>
      <c r="K1426" s="76">
        <v>58.65</v>
      </c>
      <c r="L1426" s="76"/>
      <c r="M1426" s="70">
        <v>41821</v>
      </c>
      <c r="N1426" s="78">
        <v>44742</v>
      </c>
      <c r="O1426" s="72"/>
      <c r="P1426" s="72"/>
      <c r="Q1426" s="72"/>
      <c r="R1426" s="72"/>
      <c r="S1426" s="72" t="s">
        <v>1361</v>
      </c>
      <c r="U1426" s="72"/>
      <c r="V1426" s="101"/>
    </row>
    <row r="1427" spans="1:22" ht="18.75" customHeight="1" x14ac:dyDescent="0.2">
      <c r="A1427" s="79"/>
      <c r="B1427" s="79"/>
      <c r="C1427" s="80"/>
      <c r="D1427" s="66"/>
      <c r="E1427" s="171" t="s">
        <v>21</v>
      </c>
      <c r="F1427" s="171" t="s">
        <v>1511</v>
      </c>
      <c r="G1427" s="171" t="s">
        <v>1512</v>
      </c>
      <c r="H1427" s="82" t="s">
        <v>349</v>
      </c>
      <c r="I1427" s="172">
        <v>29.95</v>
      </c>
      <c r="J1427" s="84"/>
      <c r="K1427" s="85"/>
      <c r="L1427" s="66"/>
      <c r="M1427" s="66"/>
      <c r="N1427" s="66"/>
      <c r="O1427" s="66"/>
      <c r="P1427" s="66"/>
      <c r="Q1427" s="66"/>
      <c r="R1427" s="72"/>
      <c r="T1427" s="66"/>
      <c r="U1427" s="66"/>
    </row>
    <row r="1428" spans="1:22" ht="18.75" customHeight="1" x14ac:dyDescent="0.2">
      <c r="A1428" s="79"/>
      <c r="B1428" s="79"/>
      <c r="C1428" s="80"/>
      <c r="D1428" s="66"/>
      <c r="E1428" s="86"/>
      <c r="F1428" s="66"/>
      <c r="G1428" s="66" t="s">
        <v>353</v>
      </c>
      <c r="H1428" s="82"/>
      <c r="I1428" s="84"/>
      <c r="J1428" s="84"/>
      <c r="K1428" s="85"/>
      <c r="L1428" s="66"/>
      <c r="M1428" s="66"/>
      <c r="N1428" s="66"/>
      <c r="O1428" s="66"/>
      <c r="P1428" s="66"/>
      <c r="Q1428" s="66"/>
      <c r="R1428" s="72"/>
      <c r="T1428" s="66"/>
      <c r="U1428" s="66"/>
    </row>
    <row r="1429" spans="1:22" ht="18.75" customHeight="1" x14ac:dyDescent="0.2">
      <c r="A1429" s="70">
        <v>41784</v>
      </c>
      <c r="B1429" s="70">
        <v>41798</v>
      </c>
      <c r="C1429" s="71">
        <v>33406</v>
      </c>
      <c r="D1429" s="72" t="s">
        <v>909</v>
      </c>
      <c r="E1429" s="169" t="s">
        <v>19</v>
      </c>
      <c r="F1429" s="169" t="s">
        <v>1513</v>
      </c>
      <c r="G1429" s="169" t="s">
        <v>469</v>
      </c>
      <c r="H1429" s="74" t="s">
        <v>349</v>
      </c>
      <c r="I1429" s="170">
        <v>58.9</v>
      </c>
      <c r="J1429" s="76"/>
      <c r="K1429" s="76">
        <v>61.9</v>
      </c>
      <c r="L1429" s="76"/>
      <c r="M1429" s="70">
        <v>41821</v>
      </c>
      <c r="N1429" s="78">
        <v>44742</v>
      </c>
      <c r="O1429" s="72" t="s">
        <v>1144</v>
      </c>
      <c r="P1429" s="72" t="s">
        <v>911</v>
      </c>
      <c r="Q1429" s="72" t="s">
        <v>352</v>
      </c>
      <c r="R1429" s="72" t="s">
        <v>349</v>
      </c>
      <c r="S1429" s="72"/>
      <c r="T1429" s="72"/>
      <c r="U1429" s="72"/>
      <c r="V1429" s="101"/>
    </row>
    <row r="1430" spans="1:22" ht="18.75" customHeight="1" x14ac:dyDescent="0.2">
      <c r="A1430" s="79"/>
      <c r="B1430" s="79"/>
      <c r="C1430" s="80"/>
      <c r="D1430" s="66"/>
      <c r="E1430" s="171" t="s">
        <v>1514</v>
      </c>
      <c r="F1430" s="171" t="s">
        <v>393</v>
      </c>
      <c r="G1430" s="171" t="s">
        <v>383</v>
      </c>
      <c r="H1430" s="82" t="s">
        <v>349</v>
      </c>
      <c r="I1430" s="172">
        <v>41.1</v>
      </c>
      <c r="J1430" s="84"/>
      <c r="K1430" s="85"/>
      <c r="L1430" s="66"/>
      <c r="M1430" s="66"/>
      <c r="N1430" s="66"/>
      <c r="O1430" s="66"/>
      <c r="P1430" s="66"/>
      <c r="Q1430" s="66"/>
      <c r="R1430" s="72"/>
      <c r="T1430" s="66"/>
      <c r="U1430" s="66"/>
    </row>
    <row r="1431" spans="1:22" ht="18.75" customHeight="1" x14ac:dyDescent="0.2">
      <c r="A1431" s="79"/>
      <c r="B1431" s="79"/>
      <c r="C1431" s="80"/>
      <c r="D1431" s="66"/>
      <c r="E1431" s="86"/>
      <c r="F1431" s="66"/>
      <c r="G1431" s="66" t="s">
        <v>353</v>
      </c>
      <c r="H1431" s="82"/>
      <c r="I1431" s="84"/>
      <c r="J1431" s="84"/>
      <c r="K1431" s="85"/>
      <c r="L1431" s="66"/>
      <c r="M1431" s="66"/>
      <c r="N1431" s="66"/>
      <c r="O1431" s="66"/>
      <c r="P1431" s="66"/>
      <c r="Q1431" s="66"/>
      <c r="R1431" s="72"/>
      <c r="T1431" s="66"/>
      <c r="U1431" s="66"/>
    </row>
    <row r="1432" spans="1:22" ht="18.75" customHeight="1" x14ac:dyDescent="0.2">
      <c r="A1432" s="70">
        <v>41784</v>
      </c>
      <c r="B1432" s="70">
        <v>41798</v>
      </c>
      <c r="C1432" s="71">
        <v>33502</v>
      </c>
      <c r="D1432" s="72" t="s">
        <v>1036</v>
      </c>
      <c r="E1432" s="169" t="s">
        <v>21</v>
      </c>
      <c r="F1432" s="169" t="s">
        <v>1515</v>
      </c>
      <c r="G1432" s="169" t="s">
        <v>1188</v>
      </c>
      <c r="H1432" s="74" t="s">
        <v>349</v>
      </c>
      <c r="I1432" s="170">
        <v>47.15</v>
      </c>
      <c r="J1432" s="173">
        <v>60.41</v>
      </c>
      <c r="K1432" s="76">
        <v>60.69</v>
      </c>
      <c r="L1432" s="76">
        <v>46.22</v>
      </c>
      <c r="M1432" s="70">
        <v>41821</v>
      </c>
      <c r="N1432" s="78">
        <v>44742</v>
      </c>
      <c r="O1432" s="72"/>
      <c r="P1432" s="72"/>
      <c r="Q1432" s="72"/>
      <c r="R1432" s="72"/>
      <c r="S1432" s="72" t="s">
        <v>1195</v>
      </c>
      <c r="T1432" s="66"/>
      <c r="U1432" s="66"/>
    </row>
    <row r="1433" spans="1:22" ht="18.75" customHeight="1" x14ac:dyDescent="0.2">
      <c r="A1433" s="79"/>
      <c r="B1433" s="79"/>
      <c r="C1433" s="80"/>
      <c r="D1433" s="66"/>
      <c r="E1433" s="171" t="s">
        <v>19</v>
      </c>
      <c r="F1433" s="171" t="s">
        <v>1038</v>
      </c>
      <c r="G1433" s="171" t="s">
        <v>477</v>
      </c>
      <c r="H1433" s="82" t="s">
        <v>349</v>
      </c>
      <c r="I1433" s="172">
        <v>39.86</v>
      </c>
      <c r="J1433" s="174">
        <v>39.590000000000003</v>
      </c>
      <c r="K1433" s="85"/>
      <c r="L1433" s="66"/>
      <c r="M1433" s="66"/>
      <c r="N1433" s="66"/>
      <c r="O1433" s="66"/>
      <c r="P1433" s="66"/>
      <c r="Q1433" s="66"/>
      <c r="R1433" s="72"/>
      <c r="S1433" s="72"/>
      <c r="T1433" s="72"/>
      <c r="U1433" s="72"/>
      <c r="V1433" s="101"/>
    </row>
    <row r="1434" spans="1:22" ht="18.75" customHeight="1" x14ac:dyDescent="0.2">
      <c r="A1434" s="79"/>
      <c r="B1434" s="79"/>
      <c r="C1434" s="80"/>
      <c r="D1434" s="66"/>
      <c r="E1434" s="171" t="s">
        <v>1516</v>
      </c>
      <c r="F1434" s="171" t="s">
        <v>1516</v>
      </c>
      <c r="G1434" s="171" t="s">
        <v>1517</v>
      </c>
      <c r="H1434" s="82" t="s">
        <v>419</v>
      </c>
      <c r="I1434" s="172">
        <v>12.99</v>
      </c>
      <c r="J1434" s="84"/>
      <c r="K1434" s="85"/>
      <c r="L1434" s="66"/>
      <c r="M1434" s="66"/>
      <c r="N1434" s="66"/>
      <c r="O1434" s="66"/>
      <c r="P1434" s="66"/>
      <c r="Q1434" s="66"/>
      <c r="R1434" s="72"/>
      <c r="T1434" s="66"/>
      <c r="U1434" s="66"/>
    </row>
    <row r="1435" spans="1:22" ht="18.75" customHeight="1" x14ac:dyDescent="0.2">
      <c r="A1435" s="79"/>
      <c r="B1435" s="79"/>
      <c r="C1435" s="80"/>
      <c r="D1435" s="66"/>
      <c r="E1435" s="86"/>
      <c r="F1435" s="66"/>
      <c r="G1435" s="66" t="s">
        <v>353</v>
      </c>
      <c r="H1435" s="82"/>
      <c r="I1435" s="84"/>
      <c r="J1435" s="84"/>
      <c r="K1435" s="85"/>
      <c r="L1435" s="66"/>
      <c r="M1435" s="66"/>
      <c r="N1435" s="66"/>
      <c r="O1435" s="66"/>
      <c r="P1435" s="66"/>
      <c r="Q1435" s="66"/>
      <c r="R1435" s="72"/>
      <c r="T1435" s="66"/>
      <c r="U1435" s="66"/>
    </row>
    <row r="1436" spans="1:22" ht="18.75" customHeight="1" x14ac:dyDescent="0.2">
      <c r="A1436" s="70">
        <v>41784</v>
      </c>
      <c r="B1436" s="70">
        <v>41798</v>
      </c>
      <c r="C1436" s="71">
        <v>33510</v>
      </c>
      <c r="D1436" s="72" t="s">
        <v>1518</v>
      </c>
      <c r="E1436" s="169" t="s">
        <v>21</v>
      </c>
      <c r="F1436" s="169" t="s">
        <v>1335</v>
      </c>
      <c r="G1436" s="169" t="s">
        <v>591</v>
      </c>
      <c r="H1436" s="74" t="s">
        <v>349</v>
      </c>
      <c r="I1436" s="170">
        <v>69.69</v>
      </c>
      <c r="J1436" s="76"/>
      <c r="K1436" s="76">
        <v>62.61</v>
      </c>
      <c r="L1436" s="76"/>
      <c r="M1436" s="70">
        <v>41821</v>
      </c>
      <c r="N1436" s="78">
        <v>44742</v>
      </c>
      <c r="O1436" s="72"/>
      <c r="P1436" s="72"/>
      <c r="Q1436" s="72"/>
      <c r="R1436" s="72"/>
      <c r="S1436" s="72" t="s">
        <v>1336</v>
      </c>
      <c r="U1436" s="72"/>
      <c r="V1436" s="101"/>
    </row>
    <row r="1437" spans="1:22" ht="18.75" customHeight="1" x14ac:dyDescent="0.2">
      <c r="A1437" s="79"/>
      <c r="B1437" s="79"/>
      <c r="C1437" s="80"/>
      <c r="D1437" s="66"/>
      <c r="E1437" s="171" t="s">
        <v>19</v>
      </c>
      <c r="F1437" s="171" t="s">
        <v>1040</v>
      </c>
      <c r="G1437" s="171" t="s">
        <v>1091</v>
      </c>
      <c r="H1437" s="82" t="s">
        <v>419</v>
      </c>
      <c r="I1437" s="172">
        <v>30.31</v>
      </c>
      <c r="J1437" s="84"/>
      <c r="K1437" s="85"/>
      <c r="L1437" s="66"/>
      <c r="M1437" s="66"/>
      <c r="N1437" s="66"/>
      <c r="O1437" s="66"/>
      <c r="P1437" s="66"/>
      <c r="Q1437" s="66"/>
      <c r="R1437" s="72"/>
      <c r="T1437" s="66"/>
      <c r="U1437" s="66"/>
    </row>
    <row r="1438" spans="1:22" ht="18.75" customHeight="1" x14ac:dyDescent="0.2">
      <c r="A1438" s="79"/>
      <c r="B1438" s="79"/>
      <c r="C1438" s="80"/>
      <c r="D1438" s="66"/>
      <c r="E1438" s="86"/>
      <c r="F1438" s="66"/>
      <c r="G1438" s="66" t="s">
        <v>353</v>
      </c>
      <c r="H1438" s="82"/>
      <c r="I1438" s="84"/>
      <c r="J1438" s="84"/>
      <c r="K1438" s="85"/>
      <c r="L1438" s="66"/>
      <c r="M1438" s="66"/>
      <c r="N1438" s="66"/>
      <c r="O1438" s="66"/>
      <c r="P1438" s="66"/>
      <c r="Q1438" s="66"/>
      <c r="R1438" s="72"/>
      <c r="T1438" s="66"/>
      <c r="U1438" s="66"/>
    </row>
    <row r="1439" spans="1:22" ht="18.75" customHeight="1" x14ac:dyDescent="0.2">
      <c r="A1439" s="70">
        <v>41784</v>
      </c>
      <c r="B1439" s="70">
        <v>41798</v>
      </c>
      <c r="C1439" s="71">
        <v>33601</v>
      </c>
      <c r="D1439" s="72" t="s">
        <v>552</v>
      </c>
      <c r="E1439" s="169" t="s">
        <v>1519</v>
      </c>
      <c r="F1439" s="169" t="s">
        <v>276</v>
      </c>
      <c r="G1439" s="169" t="s">
        <v>1520</v>
      </c>
      <c r="H1439" s="74" t="s">
        <v>349</v>
      </c>
      <c r="I1439" s="170">
        <v>61.89</v>
      </c>
      <c r="J1439" s="76"/>
      <c r="K1439" s="76">
        <v>62.21</v>
      </c>
      <c r="L1439" s="76"/>
      <c r="M1439" s="70">
        <v>41821</v>
      </c>
      <c r="N1439" s="78">
        <v>44742</v>
      </c>
      <c r="O1439" s="72" t="s">
        <v>580</v>
      </c>
      <c r="P1439" s="72" t="s">
        <v>580</v>
      </c>
      <c r="Q1439" s="72" t="s">
        <v>358</v>
      </c>
      <c r="R1439" s="72" t="s">
        <v>349</v>
      </c>
      <c r="S1439" s="72"/>
      <c r="T1439" s="72"/>
      <c r="U1439" s="72"/>
      <c r="V1439" s="101"/>
    </row>
    <row r="1440" spans="1:22" ht="18.75" customHeight="1" x14ac:dyDescent="0.2">
      <c r="A1440" s="79"/>
      <c r="B1440" s="79"/>
      <c r="C1440" s="80"/>
      <c r="D1440" s="66"/>
      <c r="E1440" s="171" t="s">
        <v>21</v>
      </c>
      <c r="F1440" s="171" t="s">
        <v>701</v>
      </c>
      <c r="G1440" s="171" t="s">
        <v>469</v>
      </c>
      <c r="H1440" s="82" t="s">
        <v>349</v>
      </c>
      <c r="I1440" s="172">
        <v>38.11</v>
      </c>
      <c r="J1440" s="84"/>
      <c r="K1440" s="85"/>
      <c r="L1440" s="66"/>
      <c r="M1440" s="66"/>
      <c r="N1440" s="66"/>
      <c r="O1440" s="66"/>
      <c r="P1440" s="66"/>
      <c r="Q1440" s="66"/>
      <c r="R1440" s="72"/>
      <c r="T1440" s="66"/>
      <c r="U1440" s="66"/>
    </row>
    <row r="1441" spans="1:22" ht="18.75" customHeight="1" x14ac:dyDescent="0.2">
      <c r="A1441" s="79"/>
      <c r="B1441" s="79"/>
      <c r="C1441" s="80"/>
      <c r="D1441" s="66"/>
      <c r="E1441" s="86"/>
      <c r="F1441" s="66"/>
      <c r="G1441" s="66" t="s">
        <v>353</v>
      </c>
      <c r="H1441" s="82"/>
      <c r="I1441" s="84"/>
      <c r="J1441" s="84"/>
      <c r="K1441" s="85"/>
      <c r="L1441" s="66"/>
      <c r="M1441" s="66"/>
      <c r="N1441" s="66"/>
      <c r="O1441" s="66"/>
      <c r="P1441" s="66"/>
      <c r="Q1441" s="66"/>
      <c r="R1441" s="72"/>
      <c r="T1441" s="66"/>
      <c r="U1441" s="66"/>
    </row>
    <row r="1442" spans="1:22" ht="18.75" customHeight="1" x14ac:dyDescent="0.2">
      <c r="A1442" s="70">
        <v>41784</v>
      </c>
      <c r="B1442" s="70">
        <v>41798</v>
      </c>
      <c r="C1442" s="71">
        <v>33602</v>
      </c>
      <c r="D1442" s="72" t="s">
        <v>795</v>
      </c>
      <c r="E1442" s="169" t="s">
        <v>1521</v>
      </c>
      <c r="F1442" s="169" t="s">
        <v>1521</v>
      </c>
      <c r="G1442" s="169" t="s">
        <v>358</v>
      </c>
      <c r="H1442" s="74" t="s">
        <v>349</v>
      </c>
      <c r="I1442" s="170">
        <v>38.79</v>
      </c>
      <c r="J1442" s="173">
        <v>71.19</v>
      </c>
      <c r="K1442" s="76">
        <v>69.27</v>
      </c>
      <c r="L1442" s="76">
        <v>48.86</v>
      </c>
      <c r="M1442" s="70">
        <v>42005</v>
      </c>
      <c r="N1442" s="78">
        <v>44926</v>
      </c>
      <c r="O1442" s="72" t="s">
        <v>21</v>
      </c>
      <c r="P1442" s="72" t="s">
        <v>716</v>
      </c>
      <c r="Q1442" s="72" t="s">
        <v>358</v>
      </c>
      <c r="R1442" s="72" t="s">
        <v>349</v>
      </c>
      <c r="T1442" s="66"/>
      <c r="U1442" s="66"/>
    </row>
    <row r="1443" spans="1:22" ht="18.75" customHeight="1" x14ac:dyDescent="0.2">
      <c r="A1443" s="79"/>
      <c r="B1443" s="79"/>
      <c r="C1443" s="80"/>
      <c r="D1443" s="66"/>
      <c r="E1443" s="171" t="s">
        <v>21</v>
      </c>
      <c r="F1443" s="171" t="s">
        <v>1116</v>
      </c>
      <c r="G1443" s="171" t="s">
        <v>477</v>
      </c>
      <c r="H1443" s="82" t="s">
        <v>349</v>
      </c>
      <c r="I1443" s="172">
        <v>25.13</v>
      </c>
      <c r="J1443" s="174">
        <v>28.81</v>
      </c>
      <c r="K1443" s="85"/>
      <c r="L1443" s="66"/>
      <c r="M1443" s="66"/>
      <c r="N1443" s="66"/>
      <c r="O1443" s="66"/>
      <c r="P1443" s="66"/>
      <c r="Q1443" s="66"/>
      <c r="R1443" s="72"/>
      <c r="T1443" s="66"/>
      <c r="U1443" s="66"/>
    </row>
    <row r="1444" spans="1:22" ht="18.75" customHeight="1" x14ac:dyDescent="0.2">
      <c r="A1444" s="79"/>
      <c r="B1444" s="79"/>
      <c r="C1444" s="80"/>
      <c r="D1444" s="66"/>
      <c r="E1444" s="171" t="s">
        <v>55</v>
      </c>
      <c r="F1444" s="171" t="s">
        <v>1522</v>
      </c>
      <c r="G1444" s="171" t="s">
        <v>1523</v>
      </c>
      <c r="H1444" s="82" t="s">
        <v>349</v>
      </c>
      <c r="I1444" s="172">
        <v>23.87</v>
      </c>
      <c r="J1444" s="84"/>
      <c r="K1444" s="85"/>
      <c r="L1444" s="66"/>
      <c r="M1444" s="66"/>
      <c r="N1444" s="66"/>
      <c r="O1444" s="66"/>
      <c r="P1444" s="66"/>
      <c r="Q1444" s="66"/>
      <c r="R1444" s="72"/>
      <c r="S1444" s="72"/>
      <c r="T1444" s="72"/>
      <c r="U1444" s="72"/>
      <c r="V1444" s="101"/>
    </row>
    <row r="1445" spans="1:22" ht="18.75" customHeight="1" x14ac:dyDescent="0.2">
      <c r="A1445" s="79"/>
      <c r="B1445" s="79"/>
      <c r="C1445" s="80"/>
      <c r="D1445" s="66"/>
      <c r="E1445" s="171" t="s">
        <v>1524</v>
      </c>
      <c r="F1445" s="171" t="s">
        <v>1524</v>
      </c>
      <c r="G1445" s="171" t="s">
        <v>1525</v>
      </c>
      <c r="H1445" s="82" t="s">
        <v>349</v>
      </c>
      <c r="I1445" s="172">
        <v>12.21</v>
      </c>
      <c r="J1445" s="84"/>
      <c r="K1445" s="85"/>
      <c r="L1445" s="66"/>
      <c r="M1445" s="66"/>
      <c r="N1445" s="66"/>
      <c r="O1445" s="66"/>
      <c r="P1445" s="66"/>
      <c r="Q1445" s="66"/>
      <c r="R1445" s="72"/>
      <c r="T1445" s="66"/>
      <c r="U1445" s="66"/>
    </row>
    <row r="1446" spans="1:22" ht="18.75" customHeight="1" x14ac:dyDescent="0.2">
      <c r="A1446" s="79"/>
      <c r="B1446" s="79"/>
      <c r="C1446" s="80"/>
      <c r="D1446" s="66"/>
      <c r="E1446" s="86"/>
      <c r="F1446" s="66"/>
      <c r="G1446" s="66" t="s">
        <v>353</v>
      </c>
      <c r="H1446" s="82"/>
      <c r="I1446" s="84"/>
      <c r="J1446" s="84"/>
      <c r="K1446" s="85"/>
      <c r="L1446" s="66"/>
      <c r="M1446" s="66"/>
      <c r="N1446" s="66"/>
      <c r="O1446" s="66"/>
      <c r="P1446" s="66"/>
      <c r="Q1446" s="66"/>
      <c r="R1446" s="72"/>
      <c r="T1446" s="66"/>
      <c r="U1446" s="66"/>
    </row>
    <row r="1447" spans="1:22" ht="18.75" customHeight="1" x14ac:dyDescent="0.2">
      <c r="A1447" s="70">
        <v>41784</v>
      </c>
      <c r="B1447" s="70">
        <v>41798</v>
      </c>
      <c r="C1447" s="71">
        <v>33608</v>
      </c>
      <c r="D1447" s="72" t="s">
        <v>1526</v>
      </c>
      <c r="E1447" s="169" t="s">
        <v>1527</v>
      </c>
      <c r="F1447" s="169" t="s">
        <v>580</v>
      </c>
      <c r="G1447" s="169" t="s">
        <v>1171</v>
      </c>
      <c r="H1447" s="74" t="s">
        <v>349</v>
      </c>
      <c r="I1447" s="170">
        <v>38.950000000000003</v>
      </c>
      <c r="J1447" s="173">
        <v>51.63</v>
      </c>
      <c r="K1447" s="76">
        <v>64.67</v>
      </c>
      <c r="L1447" s="76">
        <v>53.16</v>
      </c>
      <c r="M1447" s="70">
        <v>41821</v>
      </c>
      <c r="N1447" s="78">
        <v>44742</v>
      </c>
      <c r="O1447" s="72"/>
      <c r="P1447" s="72"/>
      <c r="Q1447" s="72"/>
      <c r="R1447" s="72"/>
      <c r="S1447" s="72" t="s">
        <v>1172</v>
      </c>
      <c r="T1447" s="66"/>
      <c r="U1447" s="66"/>
    </row>
    <row r="1448" spans="1:22" ht="18.75" customHeight="1" x14ac:dyDescent="0.2">
      <c r="A1448" s="79"/>
      <c r="B1448" s="79"/>
      <c r="C1448" s="80"/>
      <c r="D1448" s="66"/>
      <c r="E1448" s="171" t="s">
        <v>19</v>
      </c>
      <c r="F1448" s="171" t="s">
        <v>1105</v>
      </c>
      <c r="G1448" s="171" t="s">
        <v>383</v>
      </c>
      <c r="H1448" s="82" t="s">
        <v>349</v>
      </c>
      <c r="I1448" s="172">
        <v>38.14</v>
      </c>
      <c r="J1448" s="174">
        <v>48.37</v>
      </c>
      <c r="K1448" s="85"/>
      <c r="L1448" s="66"/>
      <c r="M1448" s="66"/>
      <c r="N1448" s="66"/>
      <c r="O1448" s="66"/>
      <c r="P1448" s="66"/>
      <c r="Q1448" s="66"/>
      <c r="R1448" s="72"/>
      <c r="S1448" s="72"/>
      <c r="T1448" s="72"/>
      <c r="U1448" s="72"/>
      <c r="V1448" s="101"/>
    </row>
    <row r="1449" spans="1:22" ht="18.75" customHeight="1" x14ac:dyDescent="0.2">
      <c r="A1449" s="79"/>
      <c r="B1449" s="79"/>
      <c r="C1449" s="80"/>
      <c r="D1449" s="66"/>
      <c r="E1449" s="171" t="s">
        <v>21</v>
      </c>
      <c r="F1449" s="171" t="s">
        <v>716</v>
      </c>
      <c r="G1449" s="171" t="s">
        <v>1188</v>
      </c>
      <c r="H1449" s="82" t="s">
        <v>349</v>
      </c>
      <c r="I1449" s="172">
        <v>22.91</v>
      </c>
      <c r="J1449" s="84"/>
      <c r="K1449" s="85"/>
      <c r="L1449" s="66"/>
      <c r="M1449" s="66"/>
      <c r="N1449" s="66"/>
      <c r="O1449" s="66"/>
      <c r="P1449" s="66"/>
      <c r="Q1449" s="66"/>
      <c r="R1449" s="72"/>
      <c r="T1449" s="66"/>
      <c r="U1449" s="66"/>
    </row>
    <row r="1450" spans="1:22" ht="18.75" customHeight="1" x14ac:dyDescent="0.2">
      <c r="A1450" s="79"/>
      <c r="B1450" s="79"/>
      <c r="C1450" s="80"/>
      <c r="D1450" s="66"/>
      <c r="E1450" s="86"/>
      <c r="F1450" s="66"/>
      <c r="G1450" s="66" t="s">
        <v>353</v>
      </c>
      <c r="H1450" s="82"/>
      <c r="I1450" s="84"/>
      <c r="J1450" s="84"/>
      <c r="K1450" s="85"/>
      <c r="L1450" s="66"/>
      <c r="M1450" s="66"/>
      <c r="N1450" s="66"/>
      <c r="O1450" s="66"/>
      <c r="P1450" s="66"/>
      <c r="Q1450" s="66"/>
      <c r="R1450" s="72"/>
      <c r="T1450" s="66"/>
      <c r="U1450" s="66"/>
    </row>
    <row r="1451" spans="1:22" ht="18.75" customHeight="1" x14ac:dyDescent="0.2">
      <c r="A1451" s="70">
        <v>41784</v>
      </c>
      <c r="B1451" s="70">
        <v>41798</v>
      </c>
      <c r="C1451" s="71">
        <v>33703</v>
      </c>
      <c r="D1451" s="72" t="s">
        <v>402</v>
      </c>
      <c r="E1451" s="169" t="s">
        <v>19</v>
      </c>
      <c r="F1451" s="169" t="s">
        <v>403</v>
      </c>
      <c r="G1451" s="169" t="s">
        <v>404</v>
      </c>
      <c r="H1451" s="74" t="s">
        <v>349</v>
      </c>
      <c r="I1451" s="170">
        <v>77.78</v>
      </c>
      <c r="J1451" s="76"/>
      <c r="K1451" s="76">
        <v>63.76</v>
      </c>
      <c r="L1451" s="76"/>
      <c r="M1451" s="70">
        <v>41821</v>
      </c>
      <c r="N1451" s="78">
        <v>44742</v>
      </c>
      <c r="O1451" s="72"/>
      <c r="P1451" s="72"/>
      <c r="Q1451" s="72"/>
      <c r="R1451" s="72"/>
      <c r="S1451" s="72" t="s">
        <v>1339</v>
      </c>
      <c r="T1451" s="72"/>
      <c r="U1451" s="72"/>
      <c r="V1451" s="101"/>
    </row>
    <row r="1452" spans="1:22" ht="18.75" customHeight="1" x14ac:dyDescent="0.2">
      <c r="A1452" s="79"/>
      <c r="B1452" s="79"/>
      <c r="C1452" s="80"/>
      <c r="D1452" s="66"/>
      <c r="E1452" s="171" t="s">
        <v>34</v>
      </c>
      <c r="F1452" s="171" t="s">
        <v>1037</v>
      </c>
      <c r="G1452" s="171" t="s">
        <v>433</v>
      </c>
      <c r="H1452" s="82" t="s">
        <v>349</v>
      </c>
      <c r="I1452" s="172">
        <v>22.22</v>
      </c>
      <c r="J1452" s="84"/>
      <c r="K1452" s="85"/>
      <c r="L1452" s="66"/>
      <c r="M1452" s="66"/>
      <c r="N1452" s="66"/>
      <c r="O1452" s="66"/>
      <c r="P1452" s="66"/>
      <c r="Q1452" s="66"/>
      <c r="R1452" s="72"/>
      <c r="T1452" s="66"/>
      <c r="U1452" s="66"/>
    </row>
    <row r="1453" spans="1:22" ht="18.75" customHeight="1" x14ac:dyDescent="0.2">
      <c r="A1453" s="79"/>
      <c r="B1453" s="79"/>
      <c r="C1453" s="80"/>
      <c r="D1453" s="66"/>
      <c r="E1453" s="86"/>
      <c r="F1453" s="66"/>
      <c r="G1453" s="66" t="s">
        <v>353</v>
      </c>
      <c r="H1453" s="82"/>
      <c r="I1453" s="84"/>
      <c r="J1453" s="84"/>
      <c r="K1453" s="85"/>
      <c r="L1453" s="66"/>
      <c r="M1453" s="66"/>
      <c r="N1453" s="66"/>
      <c r="O1453" s="66"/>
      <c r="P1453" s="66"/>
      <c r="Q1453" s="66"/>
      <c r="R1453" s="72"/>
      <c r="T1453" s="66"/>
      <c r="U1453" s="66"/>
    </row>
    <row r="1454" spans="1:22" ht="18.75" customHeight="1" x14ac:dyDescent="0.2">
      <c r="A1454" s="70">
        <v>41784</v>
      </c>
      <c r="B1454" s="70">
        <v>41798</v>
      </c>
      <c r="C1454" s="71">
        <v>33806</v>
      </c>
      <c r="D1454" s="72" t="s">
        <v>1528</v>
      </c>
      <c r="E1454" s="169" t="s">
        <v>21</v>
      </c>
      <c r="F1454" s="169" t="s">
        <v>1529</v>
      </c>
      <c r="G1454" s="169" t="s">
        <v>383</v>
      </c>
      <c r="H1454" s="74" t="s">
        <v>349</v>
      </c>
      <c r="I1454" s="170">
        <v>46.53</v>
      </c>
      <c r="J1454" s="173">
        <v>58.2</v>
      </c>
      <c r="K1454" s="76">
        <v>61.58</v>
      </c>
      <c r="L1454" s="76">
        <v>42.41</v>
      </c>
      <c r="M1454" s="70">
        <v>41821</v>
      </c>
      <c r="N1454" s="78">
        <v>44742</v>
      </c>
      <c r="O1454" s="72"/>
      <c r="P1454" s="72"/>
      <c r="Q1454" s="72"/>
      <c r="R1454" s="72"/>
      <c r="S1454" s="72" t="s">
        <v>1530</v>
      </c>
      <c r="U1454" s="66"/>
    </row>
    <row r="1455" spans="1:22" ht="18.75" customHeight="1" x14ac:dyDescent="0.2">
      <c r="A1455" s="79"/>
      <c r="B1455" s="79"/>
      <c r="C1455" s="80"/>
      <c r="D1455" s="66"/>
      <c r="E1455" s="171" t="s">
        <v>19</v>
      </c>
      <c r="F1455" s="171" t="s">
        <v>1531</v>
      </c>
      <c r="G1455" s="171" t="s">
        <v>556</v>
      </c>
      <c r="H1455" s="82" t="s">
        <v>349</v>
      </c>
      <c r="I1455" s="172">
        <v>39.299999999999997</v>
      </c>
      <c r="J1455" s="174">
        <v>41.8</v>
      </c>
      <c r="K1455" s="85"/>
      <c r="L1455" s="66"/>
      <c r="M1455" s="66"/>
      <c r="N1455" s="66"/>
      <c r="O1455" s="66"/>
      <c r="P1455" s="66"/>
      <c r="Q1455" s="66"/>
      <c r="R1455" s="72"/>
      <c r="S1455" s="72"/>
      <c r="T1455" s="72"/>
      <c r="U1455" s="72"/>
      <c r="V1455" s="101"/>
    </row>
    <row r="1456" spans="1:22" ht="18.75" customHeight="1" x14ac:dyDescent="0.2">
      <c r="A1456" s="79"/>
      <c r="B1456" s="79"/>
      <c r="C1456" s="80"/>
      <c r="D1456" s="66"/>
      <c r="E1456" s="171" t="s">
        <v>55</v>
      </c>
      <c r="F1456" s="171" t="s">
        <v>1532</v>
      </c>
      <c r="G1456" s="171" t="s">
        <v>358</v>
      </c>
      <c r="H1456" s="82" t="s">
        <v>349</v>
      </c>
      <c r="I1456" s="172">
        <v>14.17</v>
      </c>
      <c r="J1456" s="84"/>
      <c r="K1456" s="85"/>
      <c r="L1456" s="66"/>
      <c r="M1456" s="66"/>
      <c r="N1456" s="66"/>
      <c r="O1456" s="66"/>
      <c r="P1456" s="66"/>
      <c r="Q1456" s="66"/>
      <c r="R1456" s="72"/>
      <c r="T1456" s="66"/>
      <c r="U1456" s="66"/>
    </row>
    <row r="1457" spans="1:22" ht="18.75" customHeight="1" x14ac:dyDescent="0.2">
      <c r="A1457" s="79"/>
      <c r="B1457" s="79"/>
      <c r="C1457" s="80"/>
      <c r="D1457" s="66"/>
      <c r="E1457" s="86"/>
      <c r="F1457" s="66"/>
      <c r="G1457" s="66" t="s">
        <v>353</v>
      </c>
      <c r="H1457" s="82"/>
      <c r="I1457" s="84"/>
      <c r="J1457" s="84"/>
      <c r="K1457" s="85"/>
      <c r="L1457" s="66"/>
      <c r="M1457" s="66"/>
      <c r="N1457" s="66"/>
      <c r="O1457" s="66"/>
      <c r="P1457" s="66"/>
      <c r="Q1457" s="66"/>
      <c r="R1457" s="72"/>
      <c r="T1457" s="66"/>
      <c r="U1457" s="66"/>
    </row>
    <row r="1458" spans="1:22" ht="18.75" customHeight="1" x14ac:dyDescent="0.2">
      <c r="A1458" s="70">
        <v>41784</v>
      </c>
      <c r="B1458" s="70">
        <v>41798</v>
      </c>
      <c r="C1458" s="71">
        <v>33807</v>
      </c>
      <c r="D1458" s="72" t="s">
        <v>1533</v>
      </c>
      <c r="E1458" s="169" t="s">
        <v>19</v>
      </c>
      <c r="F1458" s="169" t="s">
        <v>1534</v>
      </c>
      <c r="G1458" s="169" t="s">
        <v>360</v>
      </c>
      <c r="H1458" s="74" t="s">
        <v>349</v>
      </c>
      <c r="I1458" s="170">
        <v>64.3</v>
      </c>
      <c r="J1458" s="76"/>
      <c r="K1458" s="76">
        <v>58.36</v>
      </c>
      <c r="L1458" s="76"/>
      <c r="M1458" s="70">
        <v>41821</v>
      </c>
      <c r="N1458" s="78">
        <v>44742</v>
      </c>
      <c r="O1458" s="72"/>
      <c r="P1458" s="72"/>
      <c r="Q1458" s="72"/>
      <c r="R1458" s="72"/>
      <c r="S1458" s="72" t="s">
        <v>1363</v>
      </c>
      <c r="U1458" s="72"/>
      <c r="V1458" s="101"/>
    </row>
    <row r="1459" spans="1:22" ht="18.75" customHeight="1" x14ac:dyDescent="0.2">
      <c r="A1459" s="79"/>
      <c r="B1459" s="79"/>
      <c r="C1459" s="80"/>
      <c r="D1459" s="66"/>
      <c r="E1459" s="171" t="s">
        <v>21</v>
      </c>
      <c r="F1459" s="171" t="s">
        <v>276</v>
      </c>
      <c r="G1459" s="171" t="s">
        <v>1535</v>
      </c>
      <c r="H1459" s="82" t="s">
        <v>419</v>
      </c>
      <c r="I1459" s="172">
        <v>35.700000000000003</v>
      </c>
      <c r="J1459" s="84"/>
      <c r="K1459" s="85"/>
      <c r="L1459" s="66"/>
      <c r="M1459" s="66"/>
      <c r="N1459" s="66"/>
      <c r="O1459" s="66"/>
      <c r="P1459" s="66"/>
      <c r="Q1459" s="66"/>
      <c r="R1459" s="72"/>
      <c r="T1459" s="66"/>
      <c r="U1459" s="66"/>
    </row>
    <row r="1460" spans="1:22" ht="18.75" customHeight="1" x14ac:dyDescent="0.2">
      <c r="A1460" s="79"/>
      <c r="B1460" s="79"/>
      <c r="C1460" s="80"/>
      <c r="D1460" s="66"/>
      <c r="E1460" s="86"/>
      <c r="F1460" s="66"/>
      <c r="G1460" s="66" t="s">
        <v>353</v>
      </c>
      <c r="H1460" s="82"/>
      <c r="I1460" s="84"/>
      <c r="J1460" s="84"/>
      <c r="K1460" s="85"/>
      <c r="L1460" s="66"/>
      <c r="M1460" s="66"/>
      <c r="N1460" s="66"/>
      <c r="O1460" s="66"/>
      <c r="P1460" s="66"/>
      <c r="Q1460" s="66"/>
      <c r="R1460" s="72"/>
      <c r="T1460" s="66"/>
      <c r="U1460" s="66"/>
    </row>
    <row r="1461" spans="1:22" ht="18.75" customHeight="1" x14ac:dyDescent="0.2">
      <c r="A1461" s="70">
        <v>41784</v>
      </c>
      <c r="B1461" s="70">
        <v>41798</v>
      </c>
      <c r="C1461" s="71">
        <v>33808</v>
      </c>
      <c r="D1461" s="72" t="s">
        <v>956</v>
      </c>
      <c r="E1461" s="169" t="s">
        <v>19</v>
      </c>
      <c r="F1461" s="169" t="s">
        <v>957</v>
      </c>
      <c r="G1461" s="169" t="s">
        <v>587</v>
      </c>
      <c r="H1461" s="74" t="s">
        <v>349</v>
      </c>
      <c r="I1461" s="170">
        <v>49.02</v>
      </c>
      <c r="J1461" s="173">
        <v>59.43</v>
      </c>
      <c r="K1461" s="76">
        <v>61.07</v>
      </c>
      <c r="L1461" s="76">
        <v>48.69</v>
      </c>
      <c r="M1461" s="70">
        <v>41821</v>
      </c>
      <c r="N1461" s="78">
        <v>44742</v>
      </c>
      <c r="O1461" s="72"/>
      <c r="P1461" s="72"/>
      <c r="Q1461" s="72"/>
      <c r="R1461" s="72"/>
      <c r="S1461" s="72" t="s">
        <v>1343</v>
      </c>
      <c r="U1461" s="66"/>
    </row>
    <row r="1462" spans="1:22" ht="18.75" customHeight="1" x14ac:dyDescent="0.2">
      <c r="A1462" s="79"/>
      <c r="B1462" s="79"/>
      <c r="C1462" s="80"/>
      <c r="D1462" s="66"/>
      <c r="E1462" s="171" t="s">
        <v>1536</v>
      </c>
      <c r="F1462" s="171" t="s">
        <v>1028</v>
      </c>
      <c r="G1462" s="171" t="s">
        <v>477</v>
      </c>
      <c r="H1462" s="82" t="s">
        <v>349</v>
      </c>
      <c r="I1462" s="172">
        <v>33.68</v>
      </c>
      <c r="J1462" s="174">
        <v>40.57</v>
      </c>
      <c r="K1462" s="85"/>
      <c r="L1462" s="66"/>
      <c r="M1462" s="66"/>
      <c r="N1462" s="66"/>
      <c r="O1462" s="66"/>
      <c r="P1462" s="66"/>
      <c r="Q1462" s="66"/>
      <c r="R1462" s="72"/>
      <c r="S1462" s="72"/>
      <c r="T1462" s="72"/>
      <c r="U1462" s="72"/>
      <c r="V1462" s="101"/>
    </row>
    <row r="1463" spans="1:22" ht="18.75" customHeight="1" x14ac:dyDescent="0.2">
      <c r="A1463" s="79"/>
      <c r="B1463" s="79"/>
      <c r="C1463" s="80"/>
      <c r="D1463" s="66"/>
      <c r="E1463" s="171" t="s">
        <v>21</v>
      </c>
      <c r="F1463" s="171" t="s">
        <v>1537</v>
      </c>
      <c r="G1463" s="171" t="s">
        <v>1188</v>
      </c>
      <c r="H1463" s="82" t="s">
        <v>349</v>
      </c>
      <c r="I1463" s="172">
        <v>17.3</v>
      </c>
      <c r="J1463" s="84"/>
      <c r="K1463" s="85"/>
      <c r="L1463" s="66"/>
      <c r="M1463" s="66"/>
      <c r="N1463" s="66"/>
      <c r="O1463" s="66"/>
      <c r="P1463" s="66"/>
      <c r="Q1463" s="66"/>
      <c r="R1463" s="72"/>
      <c r="T1463" s="66"/>
      <c r="U1463" s="66"/>
    </row>
    <row r="1464" spans="1:22" ht="18.75" customHeight="1" x14ac:dyDescent="0.2">
      <c r="A1464" s="79"/>
      <c r="B1464" s="79"/>
      <c r="C1464" s="80"/>
      <c r="D1464" s="66"/>
      <c r="E1464" s="86"/>
      <c r="F1464" s="66"/>
      <c r="G1464" s="66" t="s">
        <v>353</v>
      </c>
      <c r="H1464" s="82"/>
      <c r="I1464" s="84"/>
      <c r="J1464" s="84"/>
      <c r="K1464" s="85"/>
      <c r="L1464" s="66"/>
      <c r="M1464" s="66"/>
      <c r="N1464" s="66"/>
      <c r="O1464" s="66"/>
      <c r="P1464" s="66"/>
      <c r="Q1464" s="66"/>
      <c r="R1464" s="72"/>
      <c r="T1464" s="66"/>
      <c r="U1464" s="66"/>
    </row>
    <row r="1465" spans="1:22" ht="18.75" customHeight="1" x14ac:dyDescent="0.2">
      <c r="A1465" s="70">
        <v>41784</v>
      </c>
      <c r="B1465" s="70">
        <v>41798</v>
      </c>
      <c r="C1465" s="71">
        <v>33907</v>
      </c>
      <c r="D1465" s="72" t="s">
        <v>1538</v>
      </c>
      <c r="E1465" s="169" t="s">
        <v>21</v>
      </c>
      <c r="F1465" s="169" t="s">
        <v>432</v>
      </c>
      <c r="G1465" s="169" t="s">
        <v>358</v>
      </c>
      <c r="H1465" s="74" t="s">
        <v>349</v>
      </c>
      <c r="I1465" s="170">
        <v>58.85</v>
      </c>
      <c r="J1465" s="76"/>
      <c r="K1465" s="76">
        <v>66.27</v>
      </c>
      <c r="L1465" s="76"/>
      <c r="M1465" s="70">
        <v>41821</v>
      </c>
      <c r="N1465" s="78">
        <v>44742</v>
      </c>
      <c r="O1465" s="72"/>
      <c r="P1465" s="72"/>
      <c r="Q1465" s="72"/>
      <c r="R1465" s="72"/>
      <c r="S1465" s="72" t="s">
        <v>1283</v>
      </c>
      <c r="T1465" s="72"/>
      <c r="U1465" s="72"/>
      <c r="V1465" s="101"/>
    </row>
    <row r="1466" spans="1:22" ht="18.75" customHeight="1" x14ac:dyDescent="0.2">
      <c r="A1466" s="79"/>
      <c r="B1466" s="79"/>
      <c r="C1466" s="80"/>
      <c r="D1466" s="66"/>
      <c r="E1466" s="171" t="s">
        <v>19</v>
      </c>
      <c r="F1466" s="171" t="s">
        <v>1282</v>
      </c>
      <c r="G1466" s="171" t="s">
        <v>383</v>
      </c>
      <c r="H1466" s="82" t="s">
        <v>349</v>
      </c>
      <c r="I1466" s="172">
        <v>41.15</v>
      </c>
      <c r="J1466" s="84"/>
      <c r="K1466" s="85"/>
      <c r="L1466" s="66"/>
      <c r="M1466" s="66"/>
      <c r="N1466" s="66"/>
      <c r="O1466" s="66"/>
      <c r="P1466" s="66"/>
      <c r="Q1466" s="66"/>
      <c r="R1466" s="72"/>
      <c r="T1466" s="66"/>
      <c r="U1466" s="66"/>
    </row>
    <row r="1467" spans="1:22" ht="18.75" customHeight="1" x14ac:dyDescent="0.2">
      <c r="A1467" s="79"/>
      <c r="B1467" s="79"/>
      <c r="C1467" s="80"/>
      <c r="D1467" s="66"/>
      <c r="E1467" s="86"/>
      <c r="F1467" s="66"/>
      <c r="G1467" s="66" t="s">
        <v>353</v>
      </c>
      <c r="H1467" s="82"/>
      <c r="I1467" s="84"/>
      <c r="J1467" s="84"/>
      <c r="K1467" s="85"/>
      <c r="L1467" s="66"/>
      <c r="M1467" s="66"/>
      <c r="N1467" s="66"/>
      <c r="O1467" s="66"/>
      <c r="P1467" s="66"/>
      <c r="Q1467" s="66"/>
      <c r="R1467" s="72"/>
      <c r="T1467" s="66"/>
      <c r="U1467" s="66"/>
    </row>
    <row r="1468" spans="1:22" ht="18.75" customHeight="1" x14ac:dyDescent="0.2">
      <c r="A1468" s="70">
        <v>41784</v>
      </c>
      <c r="B1468" s="70">
        <v>41798</v>
      </c>
      <c r="C1468" s="71">
        <v>34006</v>
      </c>
      <c r="D1468" s="72" t="s">
        <v>804</v>
      </c>
      <c r="E1468" s="169" t="s">
        <v>21</v>
      </c>
      <c r="F1468" s="169" t="s">
        <v>1181</v>
      </c>
      <c r="G1468" s="169" t="s">
        <v>1215</v>
      </c>
      <c r="H1468" s="74" t="s">
        <v>349</v>
      </c>
      <c r="I1468" s="170">
        <v>54.09</v>
      </c>
      <c r="J1468" s="76"/>
      <c r="K1468" s="76">
        <v>71.209999999999994</v>
      </c>
      <c r="L1468" s="76"/>
      <c r="M1468" s="70">
        <v>42005</v>
      </c>
      <c r="N1468" s="78">
        <v>44926</v>
      </c>
      <c r="O1468" s="72" t="s">
        <v>19</v>
      </c>
      <c r="P1468" s="72" t="s">
        <v>422</v>
      </c>
      <c r="Q1468" s="72" t="s">
        <v>666</v>
      </c>
      <c r="R1468" s="72" t="s">
        <v>349</v>
      </c>
      <c r="S1468" s="72"/>
      <c r="T1468" s="72"/>
      <c r="U1468" s="72"/>
      <c r="V1468" s="101"/>
    </row>
    <row r="1469" spans="1:22" ht="18.75" customHeight="1" x14ac:dyDescent="0.2">
      <c r="A1469" s="79"/>
      <c r="B1469" s="79"/>
      <c r="C1469" s="80"/>
      <c r="D1469" s="66"/>
      <c r="E1469" s="171" t="s">
        <v>19</v>
      </c>
      <c r="F1469" s="171" t="s">
        <v>422</v>
      </c>
      <c r="G1469" s="171" t="s">
        <v>666</v>
      </c>
      <c r="H1469" s="82" t="s">
        <v>349</v>
      </c>
      <c r="I1469" s="172">
        <v>45.91</v>
      </c>
      <c r="J1469" s="84"/>
      <c r="K1469" s="85"/>
      <c r="L1469" s="66"/>
      <c r="M1469" s="66"/>
      <c r="N1469" s="66"/>
      <c r="O1469" s="66"/>
      <c r="P1469" s="66"/>
      <c r="Q1469" s="66"/>
      <c r="R1469" s="72"/>
      <c r="T1469" s="66"/>
      <c r="U1469" s="66"/>
    </row>
    <row r="1470" spans="1:22" ht="18.75" customHeight="1" x14ac:dyDescent="0.2">
      <c r="A1470" s="79"/>
      <c r="B1470" s="79"/>
      <c r="C1470" s="80"/>
      <c r="D1470" s="66"/>
      <c r="E1470" s="86"/>
      <c r="F1470" s="66"/>
      <c r="G1470" s="66" t="s">
        <v>353</v>
      </c>
      <c r="H1470" s="82"/>
      <c r="I1470" s="84"/>
      <c r="J1470" s="84"/>
      <c r="K1470" s="85"/>
      <c r="L1470" s="66"/>
      <c r="M1470" s="66"/>
      <c r="N1470" s="66"/>
      <c r="O1470" s="66"/>
      <c r="P1470" s="66"/>
      <c r="Q1470" s="66"/>
      <c r="R1470" s="72"/>
      <c r="T1470" s="66"/>
      <c r="U1470" s="66"/>
    </row>
    <row r="1471" spans="1:22" ht="18.75" customHeight="1" x14ac:dyDescent="0.2">
      <c r="A1471" s="70">
        <v>41784</v>
      </c>
      <c r="B1471" s="70">
        <v>41798</v>
      </c>
      <c r="C1471" s="71">
        <v>34009</v>
      </c>
      <c r="D1471" s="72" t="s">
        <v>1539</v>
      </c>
      <c r="E1471" s="169" t="s">
        <v>19</v>
      </c>
      <c r="F1471" s="169" t="s">
        <v>1157</v>
      </c>
      <c r="G1471" s="169" t="s">
        <v>476</v>
      </c>
      <c r="H1471" s="74" t="s">
        <v>349</v>
      </c>
      <c r="I1471" s="170">
        <v>41.71</v>
      </c>
      <c r="J1471" s="173">
        <v>58.15</v>
      </c>
      <c r="K1471" s="76">
        <v>69.48</v>
      </c>
      <c r="L1471" s="76">
        <v>55.56</v>
      </c>
      <c r="M1471" s="70">
        <v>41821</v>
      </c>
      <c r="N1471" s="78">
        <v>44742</v>
      </c>
      <c r="O1471" s="72"/>
      <c r="P1471" s="72"/>
      <c r="Q1471" s="72"/>
      <c r="R1471" s="72"/>
      <c r="S1471" s="134" t="s">
        <v>1540</v>
      </c>
      <c r="T1471" s="66"/>
      <c r="U1471" s="66"/>
    </row>
    <row r="1472" spans="1:22" ht="18.75" customHeight="1" x14ac:dyDescent="0.2">
      <c r="A1472" s="79"/>
      <c r="B1472" s="79"/>
      <c r="C1472" s="80"/>
      <c r="D1472" s="66"/>
      <c r="E1472" s="171" t="s">
        <v>55</v>
      </c>
      <c r="F1472" s="171" t="s">
        <v>915</v>
      </c>
      <c r="G1472" s="171" t="s">
        <v>505</v>
      </c>
      <c r="H1472" s="82" t="s">
        <v>349</v>
      </c>
      <c r="I1472" s="172">
        <v>28.42</v>
      </c>
      <c r="J1472" s="174">
        <v>41.85</v>
      </c>
      <c r="K1472" s="85"/>
      <c r="L1472" s="66"/>
      <c r="M1472" s="66"/>
      <c r="N1472" s="66"/>
      <c r="O1472" s="66"/>
      <c r="P1472" s="66"/>
      <c r="Q1472" s="66"/>
      <c r="R1472" s="72"/>
      <c r="T1472" s="66"/>
      <c r="U1472" s="66"/>
    </row>
    <row r="1473" spans="1:22" ht="18.75" customHeight="1" x14ac:dyDescent="0.2">
      <c r="A1473" s="79"/>
      <c r="B1473" s="79"/>
      <c r="C1473" s="80"/>
      <c r="D1473" s="66"/>
      <c r="E1473" s="171" t="s">
        <v>21</v>
      </c>
      <c r="F1473" s="171" t="s">
        <v>1541</v>
      </c>
      <c r="G1473" s="171" t="s">
        <v>1542</v>
      </c>
      <c r="H1473" s="82" t="s">
        <v>349</v>
      </c>
      <c r="I1473" s="172">
        <v>15.47</v>
      </c>
      <c r="J1473" s="84"/>
      <c r="K1473" s="85"/>
      <c r="L1473" s="66"/>
      <c r="M1473" s="66"/>
      <c r="N1473" s="66"/>
      <c r="O1473" s="66"/>
      <c r="P1473" s="66"/>
      <c r="Q1473" s="66"/>
      <c r="R1473" s="72"/>
      <c r="S1473" s="72"/>
      <c r="T1473" s="72"/>
      <c r="U1473" s="72"/>
      <c r="V1473" s="101"/>
    </row>
    <row r="1474" spans="1:22" ht="18.75" customHeight="1" x14ac:dyDescent="0.2">
      <c r="A1474" s="79"/>
      <c r="B1474" s="79"/>
      <c r="C1474" s="80"/>
      <c r="D1474" s="66"/>
      <c r="E1474" s="171" t="s">
        <v>1543</v>
      </c>
      <c r="F1474" s="171" t="s">
        <v>1544</v>
      </c>
      <c r="G1474" s="171" t="s">
        <v>1117</v>
      </c>
      <c r="H1474" s="82" t="s">
        <v>349</v>
      </c>
      <c r="I1474" s="172">
        <v>14.39</v>
      </c>
      <c r="J1474" s="84"/>
      <c r="K1474" s="85"/>
      <c r="L1474" s="66"/>
      <c r="M1474" s="66"/>
      <c r="N1474" s="66"/>
      <c r="O1474" s="66"/>
      <c r="P1474" s="66"/>
      <c r="Q1474" s="66"/>
      <c r="R1474" s="72"/>
      <c r="T1474" s="66"/>
      <c r="U1474" s="66"/>
    </row>
    <row r="1475" spans="1:22" ht="18.75" customHeight="1" x14ac:dyDescent="0.2">
      <c r="A1475" s="79"/>
      <c r="B1475" s="79"/>
      <c r="C1475" s="80"/>
      <c r="D1475" s="66"/>
      <c r="E1475" s="86"/>
      <c r="F1475" s="66"/>
      <c r="G1475" s="66" t="s">
        <v>353</v>
      </c>
      <c r="H1475" s="82"/>
      <c r="I1475" s="84"/>
      <c r="J1475" s="84"/>
      <c r="K1475" s="85"/>
      <c r="L1475" s="66"/>
      <c r="M1475" s="66"/>
      <c r="N1475" s="66"/>
      <c r="O1475" s="66"/>
      <c r="P1475" s="66"/>
      <c r="Q1475" s="66"/>
      <c r="R1475" s="72"/>
      <c r="T1475" s="66"/>
      <c r="U1475" s="66"/>
    </row>
    <row r="1476" spans="1:22" ht="18.75" customHeight="1" x14ac:dyDescent="0.2">
      <c r="A1476" s="70">
        <v>41889</v>
      </c>
      <c r="B1476" s="70">
        <v>41903</v>
      </c>
      <c r="C1476" s="71">
        <v>13804</v>
      </c>
      <c r="D1476" s="72" t="s">
        <v>703</v>
      </c>
      <c r="E1476" s="169" t="s">
        <v>19</v>
      </c>
      <c r="F1476" s="169" t="s">
        <v>830</v>
      </c>
      <c r="G1476" s="169" t="s">
        <v>1176</v>
      </c>
      <c r="H1476" s="74" t="s">
        <v>349</v>
      </c>
      <c r="I1476" s="170">
        <v>67.459999999999994</v>
      </c>
      <c r="J1476" s="76"/>
      <c r="K1476" s="76">
        <v>41.247999999999998</v>
      </c>
      <c r="L1476" s="76"/>
      <c r="M1476" s="70">
        <v>42032</v>
      </c>
      <c r="N1476" s="78">
        <v>44953</v>
      </c>
      <c r="O1476" s="72" t="s">
        <v>19</v>
      </c>
      <c r="P1476" s="72" t="s">
        <v>830</v>
      </c>
      <c r="Q1476" s="72" t="s">
        <v>1176</v>
      </c>
      <c r="R1476" s="72" t="s">
        <v>349</v>
      </c>
      <c r="S1476" s="72"/>
      <c r="T1476" s="72"/>
      <c r="U1476" s="72"/>
      <c r="V1476" s="101"/>
    </row>
    <row r="1477" spans="1:22" ht="18.75" customHeight="1" x14ac:dyDescent="0.2">
      <c r="A1477" s="79"/>
      <c r="B1477" s="79"/>
      <c r="C1477" s="80"/>
      <c r="D1477" s="66"/>
      <c r="E1477" s="171" t="s">
        <v>1545</v>
      </c>
      <c r="F1477" s="171" t="s">
        <v>1546</v>
      </c>
      <c r="G1477" s="171" t="s">
        <v>348</v>
      </c>
      <c r="H1477" s="82" t="s">
        <v>349</v>
      </c>
      <c r="I1477" s="172">
        <v>32.54</v>
      </c>
      <c r="J1477" s="84"/>
      <c r="K1477" s="85"/>
      <c r="L1477" s="66"/>
      <c r="M1477" s="66"/>
      <c r="N1477" s="66"/>
      <c r="O1477" s="66"/>
      <c r="P1477" s="66"/>
      <c r="Q1477" s="66"/>
      <c r="R1477" s="72"/>
      <c r="T1477" s="66"/>
      <c r="U1477" s="66"/>
    </row>
    <row r="1478" spans="1:22" ht="18.75" customHeight="1" x14ac:dyDescent="0.2">
      <c r="A1478" s="79"/>
      <c r="B1478" s="79"/>
      <c r="C1478" s="80"/>
      <c r="D1478" s="66"/>
      <c r="E1478" s="86"/>
      <c r="F1478" s="66"/>
      <c r="G1478" s="66" t="s">
        <v>353</v>
      </c>
      <c r="H1478" s="82"/>
      <c r="I1478" s="84"/>
      <c r="J1478" s="84"/>
      <c r="K1478" s="85"/>
      <c r="L1478" s="66"/>
      <c r="M1478" s="66"/>
      <c r="N1478" s="66"/>
      <c r="O1478" s="66"/>
      <c r="P1478" s="66"/>
      <c r="Q1478" s="66"/>
      <c r="R1478" s="72"/>
      <c r="S1478" s="72"/>
      <c r="T1478" s="72"/>
      <c r="U1478" s="72"/>
      <c r="V1478" s="101"/>
    </row>
    <row r="1479" spans="1:22" ht="18.75" customHeight="1" x14ac:dyDescent="0.2">
      <c r="A1479" s="70">
        <v>41896</v>
      </c>
      <c r="B1479" s="70">
        <v>41910</v>
      </c>
      <c r="C1479" s="71">
        <v>14307</v>
      </c>
      <c r="D1479" s="72" t="s">
        <v>1547</v>
      </c>
      <c r="E1479" s="169" t="s">
        <v>716</v>
      </c>
      <c r="F1479" s="169" t="s">
        <v>716</v>
      </c>
      <c r="G1479" s="169" t="s">
        <v>358</v>
      </c>
      <c r="H1479" s="74" t="s">
        <v>349</v>
      </c>
      <c r="I1479" s="170">
        <v>91.54</v>
      </c>
      <c r="J1479" s="76"/>
      <c r="K1479" s="76">
        <v>28.24</v>
      </c>
      <c r="L1479" s="76"/>
      <c r="M1479" s="70">
        <v>42078</v>
      </c>
      <c r="N1479" s="78">
        <v>44999</v>
      </c>
      <c r="O1479" s="72" t="s">
        <v>716</v>
      </c>
      <c r="P1479" s="72" t="s">
        <v>716</v>
      </c>
      <c r="Q1479" s="72" t="s">
        <v>358</v>
      </c>
      <c r="R1479" s="72" t="s">
        <v>349</v>
      </c>
      <c r="S1479" s="111"/>
      <c r="T1479" s="66"/>
      <c r="U1479" s="66"/>
    </row>
    <row r="1480" spans="1:22" ht="18.75" customHeight="1" x14ac:dyDescent="0.2">
      <c r="A1480" s="79"/>
      <c r="B1480" s="79"/>
      <c r="C1480" s="80"/>
      <c r="D1480" s="66"/>
      <c r="E1480" s="86"/>
      <c r="F1480" s="66"/>
      <c r="G1480" s="66" t="s">
        <v>353</v>
      </c>
      <c r="H1480" s="82"/>
      <c r="I1480" s="84"/>
      <c r="J1480" s="84"/>
      <c r="K1480" s="85"/>
      <c r="L1480" s="66"/>
      <c r="M1480" s="66"/>
      <c r="N1480" s="66"/>
      <c r="O1480" s="66"/>
      <c r="P1480" s="66"/>
      <c r="Q1480" s="66"/>
      <c r="R1480" s="72"/>
      <c r="T1480" s="66"/>
      <c r="U1480" s="66"/>
    </row>
    <row r="1481" spans="1:22" ht="18.75" customHeight="1" x14ac:dyDescent="0.2">
      <c r="A1481" s="70">
        <v>41910</v>
      </c>
      <c r="B1481" s="70">
        <v>41924</v>
      </c>
      <c r="C1481" s="71">
        <v>13707</v>
      </c>
      <c r="D1481" s="72" t="s">
        <v>698</v>
      </c>
      <c r="E1481" s="169" t="s">
        <v>1548</v>
      </c>
      <c r="F1481" s="169" t="s">
        <v>699</v>
      </c>
      <c r="G1481" s="169" t="s">
        <v>700</v>
      </c>
      <c r="H1481" s="74" t="s">
        <v>349</v>
      </c>
      <c r="I1481" s="170">
        <v>69.38</v>
      </c>
      <c r="J1481" s="76"/>
      <c r="K1481" s="76">
        <v>47.96</v>
      </c>
      <c r="L1481" s="76"/>
      <c r="M1481" s="70">
        <v>42140</v>
      </c>
      <c r="N1481" s="78">
        <v>45061</v>
      </c>
      <c r="O1481" s="72"/>
      <c r="P1481" s="72"/>
      <c r="Q1481" s="72"/>
      <c r="R1481" s="72"/>
      <c r="S1481" s="72"/>
      <c r="T1481" s="72"/>
      <c r="U1481" s="72"/>
      <c r="V1481" s="101"/>
    </row>
    <row r="1482" spans="1:22" ht="18.75" customHeight="1" x14ac:dyDescent="0.2">
      <c r="A1482" s="79"/>
      <c r="B1482" s="79"/>
      <c r="C1482" s="80"/>
      <c r="D1482" s="66"/>
      <c r="E1482" s="171" t="s">
        <v>19</v>
      </c>
      <c r="F1482" s="171" t="s">
        <v>1549</v>
      </c>
      <c r="G1482" s="171" t="s">
        <v>723</v>
      </c>
      <c r="H1482" s="82" t="s">
        <v>349</v>
      </c>
      <c r="I1482" s="172">
        <v>30.62</v>
      </c>
      <c r="J1482" s="84"/>
      <c r="K1482" s="85"/>
      <c r="L1482" s="66"/>
      <c r="M1482" s="66"/>
      <c r="N1482" s="66"/>
      <c r="O1482" s="66"/>
      <c r="P1482" s="66"/>
      <c r="Q1482" s="66"/>
      <c r="R1482" s="72"/>
      <c r="T1482" s="66"/>
      <c r="U1482" s="66"/>
    </row>
    <row r="1483" spans="1:22" ht="18.75" customHeight="1" x14ac:dyDescent="0.2">
      <c r="A1483" s="79"/>
      <c r="B1483" s="79"/>
      <c r="C1483" s="80"/>
      <c r="D1483" s="66"/>
      <c r="E1483" s="86"/>
      <c r="F1483" s="66"/>
      <c r="G1483" s="66" t="s">
        <v>353</v>
      </c>
      <c r="H1483" s="82"/>
      <c r="I1483" s="84"/>
      <c r="J1483" s="84"/>
      <c r="K1483" s="85"/>
      <c r="L1483" s="66"/>
      <c r="M1483" s="66"/>
      <c r="N1483" s="66"/>
      <c r="O1483" s="66"/>
      <c r="P1483" s="66"/>
      <c r="Q1483" s="66"/>
      <c r="R1483" s="72"/>
      <c r="T1483" s="66"/>
      <c r="U1483" s="66"/>
    </row>
    <row r="1484" spans="1:22" ht="18.75" customHeight="1" x14ac:dyDescent="0.2">
      <c r="A1484" s="70">
        <v>41910</v>
      </c>
      <c r="B1484" s="70">
        <v>41924</v>
      </c>
      <c r="C1484" s="71">
        <v>14004</v>
      </c>
      <c r="D1484" s="72" t="s">
        <v>1550</v>
      </c>
      <c r="E1484" s="169" t="s">
        <v>1201</v>
      </c>
      <c r="F1484" s="169" t="s">
        <v>1201</v>
      </c>
      <c r="G1484" s="169" t="s">
        <v>591</v>
      </c>
      <c r="H1484" s="74" t="s">
        <v>349</v>
      </c>
      <c r="I1484" s="170">
        <v>82.47</v>
      </c>
      <c r="J1484" s="76"/>
      <c r="K1484" s="76">
        <v>37.68</v>
      </c>
      <c r="L1484" s="76"/>
      <c r="M1484" s="70">
        <v>42064</v>
      </c>
      <c r="N1484" s="78">
        <v>44985</v>
      </c>
      <c r="O1484" s="72" t="s">
        <v>19</v>
      </c>
      <c r="P1484" s="72" t="s">
        <v>1201</v>
      </c>
      <c r="Q1484" s="72" t="s">
        <v>591</v>
      </c>
      <c r="R1484" s="72" t="s">
        <v>349</v>
      </c>
      <c r="S1484" s="72"/>
      <c r="T1484" s="72"/>
      <c r="U1484" s="72"/>
      <c r="V1484" s="101"/>
    </row>
    <row r="1485" spans="1:22" ht="18.75" customHeight="1" x14ac:dyDescent="0.2">
      <c r="A1485" s="79"/>
      <c r="B1485" s="79"/>
      <c r="C1485" s="80"/>
      <c r="D1485" s="66"/>
      <c r="E1485" s="171" t="s">
        <v>34</v>
      </c>
      <c r="F1485" s="171" t="s">
        <v>1551</v>
      </c>
      <c r="G1485" s="171" t="s">
        <v>547</v>
      </c>
      <c r="H1485" s="82" t="s">
        <v>349</v>
      </c>
      <c r="I1485" s="172">
        <v>17.53</v>
      </c>
      <c r="J1485" s="84"/>
      <c r="K1485" s="85"/>
      <c r="L1485" s="66"/>
      <c r="M1485" s="66"/>
      <c r="N1485" s="66"/>
      <c r="O1485" s="66"/>
      <c r="P1485" s="66"/>
      <c r="Q1485" s="66"/>
      <c r="R1485" s="72"/>
      <c r="T1485" s="66"/>
      <c r="U1485" s="66"/>
    </row>
    <row r="1486" spans="1:22" ht="18.75" customHeight="1" x14ac:dyDescent="0.2">
      <c r="A1486" s="79"/>
      <c r="B1486" s="79"/>
      <c r="C1486" s="80"/>
      <c r="D1486" s="66"/>
      <c r="E1486" s="86"/>
      <c r="F1486" s="66"/>
      <c r="G1486" s="66" t="s">
        <v>353</v>
      </c>
      <c r="H1486" s="82"/>
      <c r="I1486" s="84"/>
      <c r="J1486" s="84"/>
      <c r="K1486" s="85"/>
      <c r="L1486" s="66"/>
      <c r="M1486" s="66"/>
      <c r="N1486" s="66"/>
      <c r="O1486" s="66"/>
      <c r="P1486" s="66"/>
      <c r="Q1486" s="66"/>
      <c r="R1486" s="72"/>
      <c r="T1486" s="66"/>
      <c r="U1486" s="66"/>
    </row>
    <row r="1487" spans="1:22" ht="18.75" customHeight="1" x14ac:dyDescent="0.2">
      <c r="A1487" s="70">
        <v>41952</v>
      </c>
      <c r="B1487" s="70">
        <v>41966</v>
      </c>
      <c r="C1487" s="71">
        <v>33901</v>
      </c>
      <c r="D1487" s="72" t="s">
        <v>498</v>
      </c>
      <c r="E1487" s="169" t="s">
        <v>19</v>
      </c>
      <c r="F1487" s="169" t="s">
        <v>1552</v>
      </c>
      <c r="G1487" s="169" t="s">
        <v>374</v>
      </c>
      <c r="H1487" s="74" t="s">
        <v>349</v>
      </c>
      <c r="I1487" s="170">
        <v>55.92</v>
      </c>
      <c r="J1487" s="76"/>
      <c r="K1487" s="76">
        <v>50.29</v>
      </c>
      <c r="L1487" s="76"/>
      <c r="M1487" s="70">
        <v>42156</v>
      </c>
      <c r="N1487" s="78">
        <v>45077</v>
      </c>
      <c r="O1487" s="72" t="s">
        <v>1220</v>
      </c>
      <c r="P1487" s="72" t="s">
        <v>1220</v>
      </c>
      <c r="Q1487" s="72" t="s">
        <v>376</v>
      </c>
      <c r="R1487" s="72" t="s">
        <v>349</v>
      </c>
      <c r="S1487" s="111"/>
      <c r="T1487" s="72"/>
      <c r="U1487" s="72"/>
      <c r="V1487" s="101"/>
    </row>
    <row r="1488" spans="1:22" ht="18.75" customHeight="1" x14ac:dyDescent="0.2">
      <c r="A1488" s="79"/>
      <c r="B1488" s="79"/>
      <c r="C1488" s="80"/>
      <c r="D1488" s="66"/>
      <c r="E1488" s="171" t="s">
        <v>1220</v>
      </c>
      <c r="F1488" s="171" t="s">
        <v>1220</v>
      </c>
      <c r="G1488" s="171" t="s">
        <v>376</v>
      </c>
      <c r="H1488" s="82" t="s">
        <v>349</v>
      </c>
      <c r="I1488" s="172">
        <v>44.08</v>
      </c>
      <c r="J1488" s="84"/>
      <c r="K1488" s="85"/>
      <c r="L1488" s="66"/>
      <c r="M1488" s="66"/>
      <c r="N1488" s="66"/>
      <c r="O1488" s="66"/>
      <c r="P1488" s="66"/>
      <c r="Q1488" s="66"/>
      <c r="R1488" s="72"/>
      <c r="T1488" s="66"/>
      <c r="U1488" s="66"/>
    </row>
    <row r="1489" spans="1:22" ht="18.75" customHeight="1" x14ac:dyDescent="0.2">
      <c r="A1489" s="79"/>
      <c r="B1489" s="79"/>
      <c r="C1489" s="80"/>
      <c r="D1489" s="66"/>
      <c r="E1489" s="86"/>
      <c r="F1489" s="66"/>
      <c r="G1489" s="66" t="s">
        <v>353</v>
      </c>
      <c r="H1489" s="82"/>
      <c r="I1489" s="84"/>
      <c r="J1489" s="84"/>
      <c r="K1489" s="85"/>
      <c r="L1489" s="66"/>
      <c r="M1489" s="66"/>
      <c r="N1489" s="66"/>
      <c r="O1489" s="66"/>
      <c r="P1489" s="66"/>
      <c r="Q1489" s="66"/>
      <c r="R1489" s="72"/>
      <c r="T1489" s="66"/>
      <c r="U1489" s="66"/>
    </row>
    <row r="1490" spans="1:22" ht="18.75" customHeight="1" x14ac:dyDescent="0.2">
      <c r="A1490" s="70">
        <v>41952</v>
      </c>
      <c r="B1490" s="70">
        <v>41966</v>
      </c>
      <c r="C1490" s="71">
        <v>34002</v>
      </c>
      <c r="D1490" s="72" t="s">
        <v>1210</v>
      </c>
      <c r="E1490" s="169" t="s">
        <v>1553</v>
      </c>
      <c r="F1490" s="169" t="s">
        <v>1553</v>
      </c>
      <c r="G1490" s="169" t="s">
        <v>368</v>
      </c>
      <c r="H1490" s="74" t="s">
        <v>349</v>
      </c>
      <c r="I1490" s="170">
        <v>47.77</v>
      </c>
      <c r="J1490" s="173">
        <v>62.93</v>
      </c>
      <c r="K1490" s="76">
        <v>52.6</v>
      </c>
      <c r="L1490" s="76">
        <v>51.57</v>
      </c>
      <c r="M1490" s="70">
        <v>42095</v>
      </c>
      <c r="N1490" s="78">
        <v>45016</v>
      </c>
      <c r="O1490" s="72" t="s">
        <v>19</v>
      </c>
      <c r="P1490" s="72" t="s">
        <v>1211</v>
      </c>
      <c r="Q1490" s="72" t="s">
        <v>371</v>
      </c>
      <c r="R1490" s="72" t="s">
        <v>349</v>
      </c>
      <c r="T1490" s="66"/>
      <c r="U1490" s="66"/>
    </row>
    <row r="1491" spans="1:22" ht="18.75" customHeight="1" x14ac:dyDescent="0.2">
      <c r="A1491" s="79"/>
      <c r="B1491" s="79"/>
      <c r="C1491" s="80"/>
      <c r="D1491" s="66"/>
      <c r="E1491" s="171" t="s">
        <v>19</v>
      </c>
      <c r="F1491" s="171" t="s">
        <v>735</v>
      </c>
      <c r="G1491" s="171" t="s">
        <v>1117</v>
      </c>
      <c r="H1491" s="82" t="s">
        <v>349</v>
      </c>
      <c r="I1491" s="172">
        <v>36.090000000000003</v>
      </c>
      <c r="J1491" s="174">
        <v>37.07</v>
      </c>
      <c r="K1491" s="85"/>
      <c r="L1491" s="66"/>
      <c r="M1491" s="66"/>
      <c r="N1491" s="66"/>
      <c r="O1491" s="66"/>
      <c r="P1491" s="66"/>
      <c r="Q1491" s="66"/>
      <c r="R1491" s="72"/>
      <c r="S1491" s="72"/>
      <c r="T1491" s="72"/>
      <c r="U1491" s="72"/>
      <c r="V1491" s="101"/>
    </row>
    <row r="1492" spans="1:22" ht="18.75" customHeight="1" x14ac:dyDescent="0.2">
      <c r="A1492" s="79"/>
      <c r="B1492" s="79"/>
      <c r="C1492" s="80"/>
      <c r="D1492" s="66"/>
      <c r="E1492" s="171" t="s">
        <v>1211</v>
      </c>
      <c r="F1492" s="171" t="s">
        <v>1211</v>
      </c>
      <c r="G1492" s="171" t="s">
        <v>371</v>
      </c>
      <c r="H1492" s="82" t="s">
        <v>349</v>
      </c>
      <c r="I1492" s="172">
        <v>16.14</v>
      </c>
      <c r="J1492" s="84"/>
      <c r="K1492" s="85"/>
      <c r="L1492" s="66"/>
      <c r="M1492" s="66"/>
      <c r="N1492" s="66"/>
      <c r="O1492" s="66"/>
      <c r="P1492" s="66"/>
      <c r="Q1492" s="66"/>
      <c r="R1492" s="72"/>
      <c r="T1492" s="66"/>
      <c r="U1492" s="66"/>
    </row>
    <row r="1493" spans="1:22" ht="18.75" customHeight="1" x14ac:dyDescent="0.2">
      <c r="A1493" s="79"/>
      <c r="B1493" s="79"/>
      <c r="C1493" s="80"/>
      <c r="D1493" s="66"/>
      <c r="E1493" s="86"/>
      <c r="F1493" s="66"/>
      <c r="G1493" s="66" t="s">
        <v>353</v>
      </c>
      <c r="H1493" s="82"/>
      <c r="I1493" s="84"/>
      <c r="J1493" s="84"/>
      <c r="K1493" s="85"/>
      <c r="L1493" s="66"/>
      <c r="M1493" s="66"/>
      <c r="N1493" s="66"/>
      <c r="O1493" s="66"/>
      <c r="P1493" s="66"/>
      <c r="Q1493" s="66"/>
      <c r="R1493" s="72"/>
      <c r="T1493" s="66"/>
      <c r="U1493" s="66"/>
    </row>
    <row r="1494" spans="1:22" ht="18.75" customHeight="1" x14ac:dyDescent="0.2">
      <c r="A1494" s="70">
        <v>41966</v>
      </c>
      <c r="B1494" s="70">
        <v>41980</v>
      </c>
      <c r="C1494" s="71">
        <v>14103</v>
      </c>
      <c r="D1494" s="72" t="s">
        <v>709</v>
      </c>
      <c r="E1494" s="169" t="s">
        <v>21</v>
      </c>
      <c r="F1494" s="169" t="s">
        <v>1554</v>
      </c>
      <c r="G1494" s="169" t="s">
        <v>383</v>
      </c>
      <c r="H1494" s="74" t="s">
        <v>349</v>
      </c>
      <c r="I1494" s="170">
        <v>53.02</v>
      </c>
      <c r="J1494" s="76"/>
      <c r="K1494" s="76">
        <v>30.95</v>
      </c>
      <c r="L1494" s="76"/>
      <c r="M1494" s="70">
        <v>42156</v>
      </c>
      <c r="N1494" s="78">
        <v>45077</v>
      </c>
      <c r="O1494" s="72" t="s">
        <v>367</v>
      </c>
      <c r="P1494" s="72" t="s">
        <v>367</v>
      </c>
      <c r="Q1494" s="72" t="s">
        <v>710</v>
      </c>
      <c r="R1494" s="72" t="s">
        <v>349</v>
      </c>
      <c r="S1494" s="111"/>
      <c r="T1494" s="66"/>
      <c r="U1494" s="66"/>
    </row>
    <row r="1495" spans="1:22" ht="18.75" customHeight="1" x14ac:dyDescent="0.2">
      <c r="A1495" s="79"/>
      <c r="B1495" s="79"/>
      <c r="C1495" s="80"/>
      <c r="D1495" s="66"/>
      <c r="E1495" s="171" t="s">
        <v>1555</v>
      </c>
      <c r="F1495" s="171" t="s">
        <v>1555</v>
      </c>
      <c r="G1495" s="171" t="s">
        <v>1446</v>
      </c>
      <c r="H1495" s="82" t="s">
        <v>349</v>
      </c>
      <c r="I1495" s="172">
        <v>46.98</v>
      </c>
      <c r="J1495" s="84"/>
      <c r="K1495" s="85"/>
      <c r="L1495" s="66"/>
      <c r="M1495" s="66"/>
      <c r="N1495" s="66"/>
      <c r="O1495" s="66"/>
      <c r="P1495" s="66"/>
      <c r="Q1495" s="66"/>
      <c r="R1495" s="72"/>
    </row>
    <row r="1496" spans="1:22" ht="18.75" customHeight="1" x14ac:dyDescent="0.2">
      <c r="A1496" s="79"/>
      <c r="B1496" s="79"/>
      <c r="C1496" s="80"/>
      <c r="D1496" s="66"/>
      <c r="E1496" s="86"/>
      <c r="F1496" s="66"/>
      <c r="G1496" s="66" t="s">
        <v>353</v>
      </c>
      <c r="H1496" s="82"/>
      <c r="I1496" s="84"/>
      <c r="J1496" s="84"/>
      <c r="K1496" s="91"/>
      <c r="L1496" s="66"/>
      <c r="M1496" s="66"/>
      <c r="N1496" s="66"/>
      <c r="O1496" s="66"/>
      <c r="P1496" s="66"/>
      <c r="Q1496" s="66"/>
      <c r="R1496" s="72"/>
    </row>
    <row r="1497" spans="1:22" ht="18.75" customHeight="1" x14ac:dyDescent="0.2">
      <c r="A1497" s="70">
        <v>42015</v>
      </c>
      <c r="B1497" s="70">
        <v>42029</v>
      </c>
      <c r="C1497" s="71">
        <v>13802</v>
      </c>
      <c r="D1497" s="72" t="s">
        <v>763</v>
      </c>
      <c r="E1497" s="169" t="s">
        <v>21</v>
      </c>
      <c r="F1497" s="169" t="s">
        <v>764</v>
      </c>
      <c r="G1497" s="169" t="s">
        <v>383</v>
      </c>
      <c r="H1497" s="74" t="s">
        <v>349</v>
      </c>
      <c r="I1497" s="170">
        <v>63.35</v>
      </c>
      <c r="J1497" s="76"/>
      <c r="K1497" s="76">
        <v>44.32</v>
      </c>
      <c r="L1497" s="76"/>
      <c r="M1497" s="70">
        <v>42278</v>
      </c>
      <c r="N1497" s="78">
        <v>43830</v>
      </c>
      <c r="O1497" s="92" t="s">
        <v>21</v>
      </c>
      <c r="P1497" s="92" t="s">
        <v>764</v>
      </c>
      <c r="Q1497" s="92" t="s">
        <v>383</v>
      </c>
      <c r="R1497" s="72" t="s">
        <v>349</v>
      </c>
      <c r="S1497" s="72"/>
    </row>
    <row r="1498" spans="1:22" ht="18.75" customHeight="1" x14ac:dyDescent="0.2">
      <c r="A1498" s="79"/>
      <c r="B1498" s="79"/>
      <c r="C1498" s="80"/>
      <c r="D1498" s="66"/>
      <c r="E1498" s="171" t="s">
        <v>1556</v>
      </c>
      <c r="F1498" s="171" t="s">
        <v>1556</v>
      </c>
      <c r="G1498" s="171" t="s">
        <v>1557</v>
      </c>
      <c r="H1498" s="82" t="s">
        <v>349</v>
      </c>
      <c r="I1498" s="172">
        <v>36.65</v>
      </c>
      <c r="J1498" s="84"/>
      <c r="K1498" s="85"/>
      <c r="L1498" s="66"/>
      <c r="M1498" s="66"/>
      <c r="N1498" s="66"/>
      <c r="R1498" s="72"/>
    </row>
    <row r="1499" spans="1:22" ht="18.75" customHeight="1" x14ac:dyDescent="0.2">
      <c r="A1499" s="79"/>
      <c r="B1499" s="79"/>
      <c r="C1499" s="80"/>
      <c r="D1499" s="66"/>
      <c r="E1499" s="86"/>
      <c r="F1499" s="66"/>
      <c r="G1499" s="66" t="s">
        <v>353</v>
      </c>
      <c r="H1499" s="82"/>
      <c r="I1499" s="84"/>
      <c r="J1499" s="84"/>
      <c r="K1499" s="85"/>
      <c r="L1499" s="66"/>
      <c r="M1499" s="66"/>
      <c r="N1499" s="66"/>
      <c r="R1499" s="72"/>
    </row>
    <row r="1500" spans="1:22" ht="18.75" customHeight="1" x14ac:dyDescent="0.2">
      <c r="A1500" s="70">
        <v>42015</v>
      </c>
      <c r="B1500" s="70">
        <v>42029</v>
      </c>
      <c r="C1500" s="71">
        <v>33206</v>
      </c>
      <c r="D1500" s="72" t="s">
        <v>1558</v>
      </c>
      <c r="E1500" s="169" t="s">
        <v>1205</v>
      </c>
      <c r="F1500" s="169" t="s">
        <v>1205</v>
      </c>
      <c r="G1500" s="169" t="s">
        <v>702</v>
      </c>
      <c r="H1500" s="74" t="s">
        <v>349</v>
      </c>
      <c r="I1500" s="170">
        <v>57.33</v>
      </c>
      <c r="J1500" s="76"/>
      <c r="K1500" s="76">
        <v>51.14</v>
      </c>
      <c r="L1500" s="76"/>
      <c r="M1500" s="175" t="s">
        <v>1559</v>
      </c>
      <c r="N1500" s="78"/>
      <c r="O1500" s="72" t="s">
        <v>1205</v>
      </c>
      <c r="P1500" s="72" t="s">
        <v>1205</v>
      </c>
      <c r="Q1500" s="72" t="s">
        <v>702</v>
      </c>
      <c r="R1500" s="72" t="s">
        <v>349</v>
      </c>
      <c r="S1500" s="111"/>
    </row>
    <row r="1501" spans="1:22" ht="18.75" customHeight="1" x14ac:dyDescent="0.2">
      <c r="A1501" s="79"/>
      <c r="B1501" s="79"/>
      <c r="C1501" s="80"/>
      <c r="D1501" s="66"/>
      <c r="E1501" s="171" t="s">
        <v>19</v>
      </c>
      <c r="F1501" s="171" t="s">
        <v>1560</v>
      </c>
      <c r="G1501" s="171" t="s">
        <v>1400</v>
      </c>
      <c r="H1501" s="82" t="s">
        <v>349</v>
      </c>
      <c r="I1501" s="172">
        <v>42.67</v>
      </c>
      <c r="J1501" s="84"/>
      <c r="K1501" s="85"/>
      <c r="L1501" s="66"/>
      <c r="M1501" s="66"/>
      <c r="N1501" s="66"/>
      <c r="R1501" s="72"/>
    </row>
    <row r="1502" spans="1:22" ht="18.75" customHeight="1" x14ac:dyDescent="0.2">
      <c r="A1502" s="79"/>
      <c r="B1502" s="79"/>
      <c r="C1502" s="80"/>
      <c r="D1502" s="66"/>
      <c r="E1502" s="86"/>
      <c r="F1502" s="66"/>
      <c r="G1502" s="66" t="s">
        <v>353</v>
      </c>
      <c r="H1502" s="82"/>
      <c r="I1502" s="84"/>
      <c r="J1502" s="84"/>
      <c r="K1502" s="85"/>
      <c r="L1502" s="66"/>
      <c r="M1502" s="66"/>
      <c r="N1502" s="66"/>
      <c r="R1502" s="72"/>
    </row>
    <row r="1503" spans="1:22" ht="18.75" customHeight="1" x14ac:dyDescent="0.2">
      <c r="A1503" s="70">
        <v>42022</v>
      </c>
      <c r="B1503" s="70">
        <v>42036</v>
      </c>
      <c r="C1503" s="71">
        <v>33508</v>
      </c>
      <c r="D1503" s="72" t="s">
        <v>395</v>
      </c>
      <c r="E1503" s="72" t="s">
        <v>19</v>
      </c>
      <c r="F1503" s="72" t="s">
        <v>793</v>
      </c>
      <c r="G1503" s="72" t="s">
        <v>358</v>
      </c>
      <c r="H1503" s="74" t="s">
        <v>349</v>
      </c>
      <c r="I1503" s="107">
        <v>59.94</v>
      </c>
      <c r="J1503" s="76"/>
      <c r="K1503" s="76">
        <v>48.8</v>
      </c>
      <c r="L1503" s="76"/>
      <c r="M1503" s="70">
        <v>42278</v>
      </c>
      <c r="N1503" s="68">
        <v>42451</v>
      </c>
      <c r="O1503" s="72" t="s">
        <v>19</v>
      </c>
      <c r="P1503" s="72" t="s">
        <v>793</v>
      </c>
      <c r="Q1503" s="72" t="s">
        <v>358</v>
      </c>
      <c r="R1503" s="72" t="s">
        <v>349</v>
      </c>
      <c r="S1503" s="72"/>
    </row>
    <row r="1504" spans="1:22" ht="18.75" customHeight="1" x14ac:dyDescent="0.2">
      <c r="A1504" s="79"/>
      <c r="B1504" s="79"/>
      <c r="C1504" s="80"/>
      <c r="D1504" s="66"/>
      <c r="E1504" s="66" t="s">
        <v>21</v>
      </c>
      <c r="F1504" s="66" t="s">
        <v>1561</v>
      </c>
      <c r="G1504" s="66" t="s">
        <v>1562</v>
      </c>
      <c r="H1504" s="82" t="s">
        <v>349</v>
      </c>
      <c r="I1504" s="115">
        <v>40.06</v>
      </c>
      <c r="J1504" s="84"/>
      <c r="K1504" s="85"/>
      <c r="L1504" s="66"/>
      <c r="M1504" s="66"/>
      <c r="N1504" s="66"/>
      <c r="R1504" s="72"/>
    </row>
    <row r="1505" spans="1:19" ht="18.75" customHeight="1" x14ac:dyDescent="0.2">
      <c r="A1505" s="79"/>
      <c r="B1505" s="79"/>
      <c r="C1505" s="80"/>
      <c r="D1505" s="66"/>
      <c r="E1505" s="86"/>
      <c r="F1505" s="66"/>
      <c r="G1505" s="66" t="s">
        <v>353</v>
      </c>
      <c r="H1505" s="82"/>
      <c r="I1505" s="84"/>
      <c r="J1505" s="84"/>
      <c r="K1505" s="85"/>
      <c r="L1505" s="66"/>
      <c r="M1505" s="66"/>
      <c r="N1505" s="66"/>
      <c r="R1505" s="72"/>
    </row>
    <row r="1506" spans="1:19" ht="18.75" customHeight="1" x14ac:dyDescent="0.2">
      <c r="A1506" s="70">
        <v>42120</v>
      </c>
      <c r="B1506" s="70">
        <v>42134</v>
      </c>
      <c r="C1506" s="71">
        <v>14104</v>
      </c>
      <c r="D1506" s="72" t="s">
        <v>773</v>
      </c>
      <c r="E1506" s="72" t="s">
        <v>774</v>
      </c>
      <c r="F1506" s="72" t="s">
        <v>774</v>
      </c>
      <c r="G1506" s="72" t="s">
        <v>695</v>
      </c>
      <c r="H1506" s="74" t="s">
        <v>349</v>
      </c>
      <c r="I1506" s="107">
        <v>86.92</v>
      </c>
      <c r="J1506" s="76"/>
      <c r="K1506" s="76">
        <v>37.49</v>
      </c>
      <c r="L1506" s="76"/>
      <c r="M1506" s="70">
        <v>42187</v>
      </c>
      <c r="N1506" s="78">
        <v>45108</v>
      </c>
      <c r="O1506" s="72" t="s">
        <v>774</v>
      </c>
      <c r="P1506" s="72" t="s">
        <v>774</v>
      </c>
      <c r="Q1506" s="72" t="s">
        <v>695</v>
      </c>
      <c r="R1506" s="72" t="s">
        <v>349</v>
      </c>
      <c r="S1506" s="111"/>
    </row>
    <row r="1507" spans="1:19" ht="18.75" customHeight="1" x14ac:dyDescent="0.2">
      <c r="A1507" s="79"/>
      <c r="B1507" s="79"/>
      <c r="C1507" s="80"/>
      <c r="D1507" s="66"/>
      <c r="E1507" s="86"/>
      <c r="F1507" s="66"/>
      <c r="G1507" s="66" t="s">
        <v>353</v>
      </c>
      <c r="H1507" s="82"/>
      <c r="I1507" s="84"/>
      <c r="J1507" s="84"/>
      <c r="K1507" s="85"/>
      <c r="L1507" s="66"/>
      <c r="M1507" s="66"/>
      <c r="N1507" s="66"/>
      <c r="R1507" s="72"/>
    </row>
    <row r="1508" spans="1:19" ht="18.75" customHeight="1" x14ac:dyDescent="0.2">
      <c r="A1508" s="70">
        <v>42120</v>
      </c>
      <c r="B1508" s="70">
        <v>42134</v>
      </c>
      <c r="C1508" s="71">
        <v>33702</v>
      </c>
      <c r="D1508" s="72" t="s">
        <v>800</v>
      </c>
      <c r="E1508" s="169" t="s">
        <v>21</v>
      </c>
      <c r="F1508" s="169" t="s">
        <v>801</v>
      </c>
      <c r="G1508" s="169" t="s">
        <v>754</v>
      </c>
      <c r="H1508" s="74" t="s">
        <v>349</v>
      </c>
      <c r="I1508" s="170">
        <v>59.18</v>
      </c>
      <c r="J1508" s="76"/>
      <c r="K1508" s="76">
        <v>48.14</v>
      </c>
      <c r="L1508" s="76"/>
      <c r="M1508" s="70">
        <v>42339</v>
      </c>
      <c r="N1508" s="78">
        <v>45260</v>
      </c>
      <c r="O1508" s="72" t="s">
        <v>21</v>
      </c>
      <c r="P1508" s="72" t="s">
        <v>801</v>
      </c>
      <c r="Q1508" s="72" t="s">
        <v>754</v>
      </c>
      <c r="R1508" s="72" t="s">
        <v>349</v>
      </c>
      <c r="S1508" s="72"/>
    </row>
    <row r="1509" spans="1:19" ht="18.75" customHeight="1" x14ac:dyDescent="0.2">
      <c r="A1509" s="79"/>
      <c r="B1509" s="79"/>
      <c r="C1509" s="80"/>
      <c r="D1509" s="66"/>
      <c r="E1509" s="171" t="s">
        <v>19</v>
      </c>
      <c r="F1509" s="171" t="s">
        <v>1563</v>
      </c>
      <c r="G1509" s="171" t="s">
        <v>389</v>
      </c>
      <c r="H1509" s="82" t="s">
        <v>349</v>
      </c>
      <c r="I1509" s="172">
        <v>40.82</v>
      </c>
      <c r="J1509" s="84"/>
      <c r="K1509" s="85"/>
      <c r="L1509" s="66"/>
      <c r="M1509" s="66"/>
      <c r="N1509" s="66"/>
      <c r="R1509" s="72"/>
    </row>
    <row r="1510" spans="1:19" ht="18.75" customHeight="1" x14ac:dyDescent="0.2">
      <c r="A1510" s="79"/>
      <c r="B1510" s="79"/>
      <c r="C1510" s="80"/>
      <c r="D1510" s="66"/>
      <c r="E1510" s="86"/>
      <c r="F1510" s="66"/>
      <c r="G1510" s="66" t="s">
        <v>353</v>
      </c>
      <c r="H1510" s="82"/>
      <c r="I1510" s="84"/>
      <c r="J1510" s="84"/>
      <c r="K1510" s="85"/>
      <c r="L1510" s="66"/>
      <c r="M1510" s="66"/>
      <c r="N1510" s="66"/>
      <c r="R1510" s="72"/>
    </row>
    <row r="1511" spans="1:19" ht="18.75" customHeight="1" x14ac:dyDescent="0.2">
      <c r="A1511" s="70">
        <v>42120</v>
      </c>
      <c r="B1511" s="70">
        <v>42134</v>
      </c>
      <c r="C1511" s="71">
        <v>33704</v>
      </c>
      <c r="D1511" s="72" t="s">
        <v>1051</v>
      </c>
      <c r="E1511" s="169" t="s">
        <v>393</v>
      </c>
      <c r="F1511" s="169" t="s">
        <v>393</v>
      </c>
      <c r="G1511" s="169" t="s">
        <v>1564</v>
      </c>
      <c r="H1511" s="74" t="s">
        <v>419</v>
      </c>
      <c r="I1511" s="170">
        <v>56.66</v>
      </c>
      <c r="J1511" s="76"/>
      <c r="K1511" s="76">
        <v>48.39</v>
      </c>
      <c r="L1511" s="76"/>
      <c r="M1511" s="70">
        <v>42248</v>
      </c>
      <c r="N1511" s="78">
        <v>45169</v>
      </c>
      <c r="O1511" s="72" t="s">
        <v>1246</v>
      </c>
      <c r="P1511" s="72" t="s">
        <v>1246</v>
      </c>
      <c r="Q1511" s="72" t="s">
        <v>1247</v>
      </c>
      <c r="R1511" s="72" t="s">
        <v>349</v>
      </c>
      <c r="S1511" s="111"/>
    </row>
    <row r="1512" spans="1:19" ht="18.75" customHeight="1" x14ac:dyDescent="0.2">
      <c r="A1512" s="79"/>
      <c r="B1512" s="79"/>
      <c r="C1512" s="80"/>
      <c r="D1512" s="66"/>
      <c r="E1512" s="171" t="s">
        <v>19</v>
      </c>
      <c r="F1512" s="171" t="s">
        <v>1246</v>
      </c>
      <c r="G1512" s="171" t="s">
        <v>1247</v>
      </c>
      <c r="H1512" s="82" t="s">
        <v>349</v>
      </c>
      <c r="I1512" s="172">
        <v>43.34</v>
      </c>
      <c r="J1512" s="84"/>
      <c r="K1512" s="85"/>
      <c r="L1512" s="66"/>
      <c r="M1512" s="66"/>
      <c r="N1512" s="66"/>
      <c r="R1512" s="72"/>
    </row>
    <row r="1513" spans="1:19" ht="18.75" customHeight="1" x14ac:dyDescent="0.2">
      <c r="A1513" s="79"/>
      <c r="B1513" s="79"/>
      <c r="C1513" s="80"/>
      <c r="D1513" s="66"/>
      <c r="E1513" s="86"/>
      <c r="F1513" s="66"/>
      <c r="G1513" s="66" t="s">
        <v>353</v>
      </c>
      <c r="H1513" s="82"/>
      <c r="I1513" s="84"/>
      <c r="J1513" s="84"/>
      <c r="K1513" s="85"/>
      <c r="L1513" s="66"/>
      <c r="M1513" s="66"/>
      <c r="N1513" s="66"/>
      <c r="R1513" s="72"/>
    </row>
    <row r="1514" spans="1:19" ht="18.75" customHeight="1" x14ac:dyDescent="0.2">
      <c r="A1514" s="70">
        <v>42134</v>
      </c>
      <c r="B1514" s="70">
        <v>42148</v>
      </c>
      <c r="C1514" s="71">
        <v>33504</v>
      </c>
      <c r="D1514" s="72" t="s">
        <v>787</v>
      </c>
      <c r="E1514" s="169" t="s">
        <v>55</v>
      </c>
      <c r="F1514" s="169" t="s">
        <v>788</v>
      </c>
      <c r="G1514" s="169" t="s">
        <v>789</v>
      </c>
      <c r="H1514" s="74" t="s">
        <v>349</v>
      </c>
      <c r="I1514" s="170">
        <v>81.05</v>
      </c>
      <c r="J1514" s="76"/>
      <c r="K1514" s="76">
        <v>40.700000000000003</v>
      </c>
      <c r="L1514" s="76"/>
      <c r="M1514" s="70">
        <v>42391</v>
      </c>
      <c r="N1514" s="78">
        <v>45312</v>
      </c>
      <c r="O1514" s="72" t="s">
        <v>55</v>
      </c>
      <c r="P1514" s="72" t="s">
        <v>788</v>
      </c>
      <c r="Q1514" s="72" t="s">
        <v>789</v>
      </c>
      <c r="R1514" s="72" t="s">
        <v>349</v>
      </c>
      <c r="S1514" s="72"/>
    </row>
    <row r="1515" spans="1:19" ht="18.75" customHeight="1" x14ac:dyDescent="0.2">
      <c r="A1515" s="79"/>
      <c r="B1515" s="79"/>
      <c r="C1515" s="80"/>
      <c r="D1515" s="66"/>
      <c r="E1515" s="86"/>
      <c r="F1515" s="66"/>
      <c r="G1515" s="66" t="s">
        <v>353</v>
      </c>
      <c r="H1515" s="82"/>
      <c r="I1515" s="84"/>
      <c r="J1515" s="84"/>
      <c r="K1515" s="85"/>
      <c r="L1515" s="66"/>
      <c r="M1515" s="66"/>
      <c r="N1515" s="66"/>
      <c r="R1515" s="72"/>
    </row>
    <row r="1516" spans="1:19" ht="18.75" customHeight="1" x14ac:dyDescent="0.2">
      <c r="A1516" s="70">
        <v>42134</v>
      </c>
      <c r="B1516" s="70">
        <v>42155</v>
      </c>
      <c r="C1516" s="71">
        <v>13104</v>
      </c>
      <c r="D1516" s="72" t="s">
        <v>752</v>
      </c>
      <c r="E1516" s="169" t="s">
        <v>55</v>
      </c>
      <c r="F1516" s="169" t="s">
        <v>1110</v>
      </c>
      <c r="G1516" s="169" t="s">
        <v>629</v>
      </c>
      <c r="H1516" s="74" t="s">
        <v>349</v>
      </c>
      <c r="I1516" s="170">
        <v>83.35</v>
      </c>
      <c r="J1516" s="76"/>
      <c r="K1516" s="76">
        <v>53.53</v>
      </c>
      <c r="L1516" s="76"/>
      <c r="M1516" s="70">
        <v>42239</v>
      </c>
      <c r="N1516" s="78">
        <v>45160</v>
      </c>
      <c r="O1516" s="72" t="s">
        <v>55</v>
      </c>
      <c r="P1516" s="72" t="s">
        <v>1110</v>
      </c>
      <c r="Q1516" s="72" t="s">
        <v>629</v>
      </c>
      <c r="R1516" s="72" t="s">
        <v>349</v>
      </c>
      <c r="S1516" s="72"/>
    </row>
    <row r="1517" spans="1:19" ht="18.75" customHeight="1" x14ac:dyDescent="0.2">
      <c r="A1517" s="79"/>
      <c r="B1517" s="79"/>
      <c r="C1517" s="80"/>
      <c r="D1517" s="66"/>
      <c r="E1517" s="171" t="s">
        <v>19</v>
      </c>
      <c r="F1517" s="171" t="s">
        <v>1565</v>
      </c>
      <c r="G1517" s="171" t="s">
        <v>1274</v>
      </c>
      <c r="H1517" s="82" t="s">
        <v>349</v>
      </c>
      <c r="I1517" s="172">
        <v>16.649999999999999</v>
      </c>
      <c r="J1517" s="84"/>
      <c r="K1517" s="85"/>
      <c r="L1517" s="66"/>
      <c r="M1517" s="66"/>
      <c r="N1517" s="66"/>
      <c r="R1517" s="72"/>
    </row>
    <row r="1518" spans="1:19" ht="18.75" customHeight="1" x14ac:dyDescent="0.2">
      <c r="A1518" s="79"/>
      <c r="B1518" s="79"/>
      <c r="C1518" s="80"/>
      <c r="D1518" s="66"/>
      <c r="E1518" s="86"/>
      <c r="F1518" s="66"/>
      <c r="G1518" s="66" t="s">
        <v>353</v>
      </c>
      <c r="H1518" s="82"/>
      <c r="I1518" s="84"/>
      <c r="J1518" s="84"/>
      <c r="K1518" s="85"/>
      <c r="L1518" s="66"/>
      <c r="M1518" s="66"/>
      <c r="N1518" s="66"/>
      <c r="R1518" s="72"/>
    </row>
    <row r="1519" spans="1:19" ht="18.75" customHeight="1" x14ac:dyDescent="0.2">
      <c r="A1519" s="70">
        <v>42134</v>
      </c>
      <c r="B1519" s="70">
        <v>42155</v>
      </c>
      <c r="C1519" s="71">
        <v>33206</v>
      </c>
      <c r="D1519" s="72" t="s">
        <v>1558</v>
      </c>
      <c r="E1519" s="72" t="s">
        <v>19</v>
      </c>
      <c r="F1519" s="72" t="s">
        <v>1560</v>
      </c>
      <c r="G1519" s="72" t="s">
        <v>1400</v>
      </c>
      <c r="H1519" s="74" t="s">
        <v>349</v>
      </c>
      <c r="I1519" s="107">
        <v>46.93</v>
      </c>
      <c r="J1519" s="121">
        <v>50.3</v>
      </c>
      <c r="K1519" s="76">
        <v>54.8</v>
      </c>
      <c r="L1519" s="76">
        <v>54.1</v>
      </c>
      <c r="M1519" s="70">
        <v>42186</v>
      </c>
      <c r="N1519" s="78">
        <v>45107</v>
      </c>
      <c r="O1519" s="169" t="s">
        <v>1205</v>
      </c>
      <c r="P1519" s="169" t="s">
        <v>1205</v>
      </c>
      <c r="Q1519" s="169" t="s">
        <v>702</v>
      </c>
      <c r="R1519" s="72" t="s">
        <v>349</v>
      </c>
      <c r="S1519" s="72"/>
    </row>
    <row r="1520" spans="1:19" ht="18.75" customHeight="1" x14ac:dyDescent="0.2">
      <c r="A1520" s="79"/>
      <c r="B1520" s="79"/>
      <c r="C1520" s="80"/>
      <c r="D1520" s="66"/>
      <c r="E1520" s="66" t="s">
        <v>21</v>
      </c>
      <c r="F1520" s="66" t="s">
        <v>1566</v>
      </c>
      <c r="G1520" s="66" t="s">
        <v>1567</v>
      </c>
      <c r="H1520" s="82" t="s">
        <v>419</v>
      </c>
      <c r="I1520" s="115">
        <v>29.39</v>
      </c>
      <c r="J1520" s="123">
        <v>49.7</v>
      </c>
      <c r="K1520" s="85"/>
      <c r="L1520" s="66"/>
      <c r="M1520" s="66"/>
      <c r="N1520" s="66"/>
      <c r="R1520" s="72"/>
    </row>
    <row r="1521" spans="1:19" ht="18.75" customHeight="1" x14ac:dyDescent="0.2">
      <c r="A1521" s="79"/>
      <c r="B1521" s="79"/>
      <c r="C1521" s="80"/>
      <c r="D1521" s="66"/>
      <c r="E1521" s="66" t="s">
        <v>55</v>
      </c>
      <c r="F1521" s="66" t="s">
        <v>946</v>
      </c>
      <c r="G1521" s="66" t="s">
        <v>1567</v>
      </c>
      <c r="H1521" s="82" t="s">
        <v>419</v>
      </c>
      <c r="I1521" s="115">
        <v>23.68</v>
      </c>
      <c r="J1521" s="84"/>
      <c r="K1521" s="85"/>
      <c r="L1521" s="66"/>
      <c r="M1521" s="66"/>
      <c r="N1521" s="66"/>
      <c r="R1521" s="72"/>
    </row>
    <row r="1522" spans="1:19" ht="18.75" customHeight="1" x14ac:dyDescent="0.2">
      <c r="A1522" s="79"/>
      <c r="B1522" s="79"/>
      <c r="C1522" s="80"/>
      <c r="D1522" s="66"/>
      <c r="E1522" s="86"/>
      <c r="F1522" s="66"/>
      <c r="G1522" s="66" t="s">
        <v>353</v>
      </c>
      <c r="H1522" s="82"/>
      <c r="I1522" s="84"/>
      <c r="J1522" s="84"/>
      <c r="K1522" s="85"/>
      <c r="L1522" s="66"/>
      <c r="M1522" s="66"/>
      <c r="N1522" s="66"/>
      <c r="R1522" s="72"/>
    </row>
    <row r="1523" spans="1:19" ht="18.75" customHeight="1" x14ac:dyDescent="0.2">
      <c r="A1523" s="70">
        <v>42169</v>
      </c>
      <c r="B1523" s="70">
        <v>42183</v>
      </c>
      <c r="C1523" s="71">
        <v>13403</v>
      </c>
      <c r="D1523" s="72" t="s">
        <v>470</v>
      </c>
      <c r="E1523" s="169" t="s">
        <v>21</v>
      </c>
      <c r="F1523" s="169" t="s">
        <v>1181</v>
      </c>
      <c r="G1523" s="169" t="s">
        <v>789</v>
      </c>
      <c r="H1523" s="74" t="s">
        <v>349</v>
      </c>
      <c r="I1523" s="170">
        <v>60.36</v>
      </c>
      <c r="J1523" s="76"/>
      <c r="K1523" s="76">
        <v>42.81</v>
      </c>
      <c r="L1523" s="76"/>
      <c r="M1523" s="70">
        <v>42309</v>
      </c>
      <c r="N1523" s="78">
        <v>45230</v>
      </c>
      <c r="O1523" s="72" t="s">
        <v>21</v>
      </c>
      <c r="P1523" s="72" t="s">
        <v>1181</v>
      </c>
      <c r="Q1523" s="72" t="s">
        <v>789</v>
      </c>
      <c r="R1523" s="72" t="s">
        <v>349</v>
      </c>
      <c r="S1523" s="72"/>
    </row>
    <row r="1524" spans="1:19" ht="18.75" customHeight="1" x14ac:dyDescent="0.2">
      <c r="A1524" s="79"/>
      <c r="B1524" s="79"/>
      <c r="C1524" s="80"/>
      <c r="D1524" s="66"/>
      <c r="E1524" s="171" t="s">
        <v>19</v>
      </c>
      <c r="F1524" s="171" t="s">
        <v>1568</v>
      </c>
      <c r="G1524" s="171" t="s">
        <v>1498</v>
      </c>
      <c r="H1524" s="82" t="s">
        <v>349</v>
      </c>
      <c r="I1524" s="172">
        <v>39.64</v>
      </c>
      <c r="J1524" s="84"/>
      <c r="K1524" s="85"/>
      <c r="L1524" s="66"/>
      <c r="M1524" s="66"/>
      <c r="N1524" s="66"/>
      <c r="R1524" s="72"/>
    </row>
    <row r="1525" spans="1:19" ht="18.75" customHeight="1" x14ac:dyDescent="0.2">
      <c r="A1525" s="79"/>
      <c r="B1525" s="79"/>
      <c r="C1525" s="80"/>
      <c r="D1525" s="66"/>
      <c r="E1525" s="86"/>
      <c r="F1525" s="66"/>
      <c r="G1525" s="66" t="s">
        <v>353</v>
      </c>
      <c r="H1525" s="82"/>
      <c r="I1525" s="84"/>
      <c r="J1525" s="84"/>
      <c r="K1525" s="85"/>
      <c r="L1525" s="66"/>
      <c r="M1525" s="66"/>
      <c r="N1525" s="66"/>
      <c r="R1525" s="72"/>
    </row>
    <row r="1526" spans="1:19" ht="18.75" customHeight="1" x14ac:dyDescent="0.2">
      <c r="A1526" s="70">
        <v>42169</v>
      </c>
      <c r="B1526" s="70">
        <v>42183</v>
      </c>
      <c r="C1526" s="71">
        <v>33303</v>
      </c>
      <c r="D1526" s="72" t="s">
        <v>779</v>
      </c>
      <c r="E1526" s="169" t="s">
        <v>55</v>
      </c>
      <c r="F1526" s="169" t="s">
        <v>1569</v>
      </c>
      <c r="G1526" s="169" t="s">
        <v>1151</v>
      </c>
      <c r="H1526" s="74" t="s">
        <v>349</v>
      </c>
      <c r="I1526" s="170">
        <v>32.54</v>
      </c>
      <c r="J1526" s="173">
        <v>55.61</v>
      </c>
      <c r="K1526" s="76">
        <v>46.28</v>
      </c>
      <c r="L1526" s="76">
        <v>43.14</v>
      </c>
      <c r="M1526" s="70">
        <v>42278</v>
      </c>
      <c r="N1526" s="78">
        <v>45199</v>
      </c>
      <c r="O1526" s="72" t="s">
        <v>1243</v>
      </c>
      <c r="P1526" s="72" t="s">
        <v>781</v>
      </c>
      <c r="Q1526" s="72" t="s">
        <v>782</v>
      </c>
      <c r="R1526" s="72" t="s">
        <v>349</v>
      </c>
      <c r="S1526" s="72"/>
    </row>
    <row r="1527" spans="1:19" ht="18.75" customHeight="1" x14ac:dyDescent="0.2">
      <c r="A1527" s="79"/>
      <c r="B1527" s="79"/>
      <c r="C1527" s="80"/>
      <c r="D1527" s="66"/>
      <c r="E1527" s="171" t="s">
        <v>19</v>
      </c>
      <c r="F1527" s="171" t="s">
        <v>1570</v>
      </c>
      <c r="G1527" s="171" t="s">
        <v>516</v>
      </c>
      <c r="H1527" s="82" t="s">
        <v>349</v>
      </c>
      <c r="I1527" s="172">
        <v>33.99</v>
      </c>
      <c r="J1527" s="174">
        <v>44.39</v>
      </c>
      <c r="K1527" s="85"/>
      <c r="L1527" s="66"/>
      <c r="M1527" s="66"/>
      <c r="N1527" s="66"/>
      <c r="R1527" s="72"/>
    </row>
    <row r="1528" spans="1:19" ht="18.75" customHeight="1" x14ac:dyDescent="0.2">
      <c r="A1528" s="79"/>
      <c r="B1528" s="79"/>
      <c r="C1528" s="80"/>
      <c r="D1528" s="66"/>
      <c r="E1528" s="171" t="s">
        <v>21</v>
      </c>
      <c r="F1528" s="171" t="s">
        <v>1571</v>
      </c>
      <c r="G1528" s="171" t="s">
        <v>476</v>
      </c>
      <c r="H1528" s="82" t="s">
        <v>349</v>
      </c>
      <c r="I1528" s="172">
        <v>21</v>
      </c>
      <c r="J1528" s="84"/>
      <c r="K1528" s="85"/>
      <c r="L1528" s="66"/>
      <c r="M1528" s="66"/>
      <c r="N1528" s="66"/>
      <c r="R1528" s="72"/>
    </row>
    <row r="1529" spans="1:19" ht="18.75" customHeight="1" x14ac:dyDescent="0.2">
      <c r="A1529" s="79"/>
      <c r="B1529" s="79"/>
      <c r="C1529" s="80"/>
      <c r="D1529" s="66"/>
      <c r="E1529" s="171" t="s">
        <v>34</v>
      </c>
      <c r="F1529" s="171" t="s">
        <v>1572</v>
      </c>
      <c r="G1529" s="171" t="s">
        <v>1573</v>
      </c>
      <c r="H1529" s="82" t="s">
        <v>419</v>
      </c>
      <c r="I1529" s="172">
        <v>12.46</v>
      </c>
      <c r="J1529" s="84"/>
      <c r="K1529" s="85"/>
      <c r="L1529" s="66"/>
      <c r="M1529" s="66"/>
      <c r="N1529" s="66"/>
      <c r="R1529" s="72"/>
    </row>
    <row r="1530" spans="1:19" ht="18.75" customHeight="1" x14ac:dyDescent="0.2">
      <c r="A1530" s="79"/>
      <c r="B1530" s="79"/>
      <c r="C1530" s="80"/>
      <c r="D1530" s="66"/>
      <c r="E1530" s="86"/>
      <c r="F1530" s="66"/>
      <c r="G1530" s="66" t="s">
        <v>353</v>
      </c>
      <c r="H1530" s="82"/>
      <c r="I1530" s="84"/>
      <c r="J1530" s="84"/>
      <c r="K1530" s="85"/>
      <c r="L1530" s="66"/>
      <c r="M1530" s="66"/>
      <c r="N1530" s="66"/>
      <c r="R1530" s="72"/>
    </row>
    <row r="1531" spans="1:19" ht="18.75" customHeight="1" x14ac:dyDescent="0.2">
      <c r="A1531" s="70">
        <v>42169</v>
      </c>
      <c r="B1531" s="70">
        <v>42183</v>
      </c>
      <c r="C1531" s="71">
        <v>33306</v>
      </c>
      <c r="D1531" s="72" t="s">
        <v>1026</v>
      </c>
      <c r="E1531" s="169" t="s">
        <v>19</v>
      </c>
      <c r="F1531" s="169" t="s">
        <v>1028</v>
      </c>
      <c r="G1531" s="169" t="s">
        <v>958</v>
      </c>
      <c r="H1531" s="74" t="s">
        <v>349</v>
      </c>
      <c r="I1531" s="170">
        <v>59.87</v>
      </c>
      <c r="J1531" s="76"/>
      <c r="K1531" s="76">
        <v>49.24</v>
      </c>
      <c r="L1531" s="76"/>
      <c r="M1531" s="70">
        <v>42442</v>
      </c>
      <c r="N1531" s="78">
        <v>45363</v>
      </c>
      <c r="O1531" s="72" t="s">
        <v>19</v>
      </c>
      <c r="P1531" s="72" t="s">
        <v>1028</v>
      </c>
      <c r="Q1531" s="72" t="s">
        <v>958</v>
      </c>
      <c r="R1531" s="72" t="s">
        <v>349</v>
      </c>
      <c r="S1531" s="72"/>
    </row>
    <row r="1532" spans="1:19" ht="18.75" customHeight="1" x14ac:dyDescent="0.2">
      <c r="A1532" s="79"/>
      <c r="B1532" s="79"/>
      <c r="C1532" s="80"/>
      <c r="D1532" s="66"/>
      <c r="E1532" s="171" t="s">
        <v>21</v>
      </c>
      <c r="F1532" s="171" t="s">
        <v>1574</v>
      </c>
      <c r="G1532" s="171" t="s">
        <v>1575</v>
      </c>
      <c r="H1532" s="82" t="s">
        <v>419</v>
      </c>
      <c r="I1532" s="172">
        <v>36.450000000000003</v>
      </c>
      <c r="J1532" s="84"/>
      <c r="K1532" s="85"/>
      <c r="L1532" s="66"/>
      <c r="M1532" s="66"/>
      <c r="N1532" s="66"/>
      <c r="R1532" s="72"/>
    </row>
    <row r="1533" spans="1:19" ht="18.75" customHeight="1" x14ac:dyDescent="0.2">
      <c r="A1533" s="79"/>
      <c r="B1533" s="79"/>
      <c r="C1533" s="80"/>
      <c r="D1533" s="66"/>
      <c r="E1533" s="171" t="s">
        <v>38</v>
      </c>
      <c r="F1533" s="171" t="s">
        <v>955</v>
      </c>
      <c r="G1533" s="171" t="s">
        <v>457</v>
      </c>
      <c r="H1533" s="82" t="s">
        <v>349</v>
      </c>
      <c r="I1533" s="172">
        <v>3.68</v>
      </c>
      <c r="J1533" s="84"/>
      <c r="K1533" s="85"/>
      <c r="L1533" s="66"/>
      <c r="M1533" s="66"/>
      <c r="N1533" s="66"/>
      <c r="R1533" s="72"/>
    </row>
    <row r="1534" spans="1:19" ht="18.75" customHeight="1" x14ac:dyDescent="0.2">
      <c r="A1534" s="79"/>
      <c r="B1534" s="79"/>
      <c r="C1534" s="80"/>
      <c r="D1534" s="66"/>
      <c r="E1534" s="86"/>
      <c r="F1534" s="66"/>
      <c r="G1534" s="66" t="s">
        <v>353</v>
      </c>
      <c r="H1534" s="82"/>
      <c r="I1534" s="84"/>
      <c r="J1534" s="84"/>
      <c r="K1534" s="85"/>
      <c r="L1534" s="66"/>
      <c r="M1534" s="66"/>
      <c r="N1534" s="66"/>
      <c r="R1534" s="72"/>
    </row>
    <row r="1535" spans="1:19" ht="18.75" customHeight="1" x14ac:dyDescent="0.2">
      <c r="A1535" s="70">
        <v>42176</v>
      </c>
      <c r="B1535" s="70">
        <v>42197</v>
      </c>
      <c r="C1535" s="71">
        <v>33501</v>
      </c>
      <c r="D1535" s="72" t="s">
        <v>784</v>
      </c>
      <c r="E1535" s="169" t="s">
        <v>19</v>
      </c>
      <c r="F1535" s="169" t="s">
        <v>1576</v>
      </c>
      <c r="G1535" s="169" t="s">
        <v>1577</v>
      </c>
      <c r="H1535" s="74" t="s">
        <v>349</v>
      </c>
      <c r="I1535" s="170">
        <v>67.14</v>
      </c>
      <c r="J1535" s="76"/>
      <c r="K1535" s="76">
        <v>48.94</v>
      </c>
      <c r="L1535" s="76"/>
      <c r="M1535" s="70">
        <v>42387</v>
      </c>
      <c r="N1535" s="78">
        <v>45308</v>
      </c>
      <c r="O1535" s="92" t="s">
        <v>21</v>
      </c>
      <c r="P1535" s="92" t="s">
        <v>494</v>
      </c>
      <c r="Q1535" s="92" t="s">
        <v>368</v>
      </c>
      <c r="R1535" s="72" t="s">
        <v>349</v>
      </c>
      <c r="S1535" s="72"/>
    </row>
    <row r="1536" spans="1:19" ht="18.75" customHeight="1" x14ac:dyDescent="0.2">
      <c r="A1536" s="79"/>
      <c r="B1536" s="79"/>
      <c r="C1536" s="80"/>
      <c r="D1536" s="66"/>
      <c r="E1536" s="171" t="s">
        <v>21</v>
      </c>
      <c r="F1536" s="171" t="s">
        <v>1578</v>
      </c>
      <c r="G1536" s="171" t="s">
        <v>1579</v>
      </c>
      <c r="H1536" s="82" t="s">
        <v>419</v>
      </c>
      <c r="I1536" s="172">
        <v>32.86</v>
      </c>
      <c r="J1536" s="84"/>
      <c r="K1536" s="85"/>
      <c r="L1536" s="66"/>
      <c r="M1536" s="66"/>
      <c r="N1536" s="66"/>
      <c r="R1536" s="72"/>
    </row>
    <row r="1537" spans="1:19" ht="18.75" customHeight="1" x14ac:dyDescent="0.2">
      <c r="A1537" s="79"/>
      <c r="B1537" s="79"/>
      <c r="C1537" s="80"/>
      <c r="D1537" s="66"/>
      <c r="E1537" s="86"/>
      <c r="F1537" s="66"/>
      <c r="G1537" s="66" t="s">
        <v>353</v>
      </c>
      <c r="H1537" s="82"/>
      <c r="I1537" s="84"/>
      <c r="J1537" s="84"/>
      <c r="K1537" s="85"/>
      <c r="L1537" s="66"/>
      <c r="M1537" s="66"/>
      <c r="N1537" s="66"/>
      <c r="R1537" s="72"/>
    </row>
    <row r="1538" spans="1:19" ht="18.75" customHeight="1" x14ac:dyDescent="0.2">
      <c r="A1538" s="70">
        <v>42309</v>
      </c>
      <c r="B1538" s="70">
        <v>42330</v>
      </c>
      <c r="C1538" s="71">
        <v>33102</v>
      </c>
      <c r="D1538" s="72" t="s">
        <v>834</v>
      </c>
      <c r="E1538" s="72" t="s">
        <v>19</v>
      </c>
      <c r="F1538" s="72" t="s">
        <v>1580</v>
      </c>
      <c r="G1538" s="72" t="s">
        <v>1304</v>
      </c>
      <c r="H1538" s="74" t="s">
        <v>349</v>
      </c>
      <c r="I1538" s="107">
        <v>29.95</v>
      </c>
      <c r="J1538" s="121">
        <v>52.4</v>
      </c>
      <c r="K1538" s="76">
        <v>51.87</v>
      </c>
      <c r="L1538" s="76">
        <v>48.48</v>
      </c>
      <c r="M1538" s="70">
        <v>42401</v>
      </c>
      <c r="N1538" s="78">
        <v>45322</v>
      </c>
      <c r="O1538" s="72" t="s">
        <v>21</v>
      </c>
      <c r="P1538" s="72" t="s">
        <v>726</v>
      </c>
      <c r="Q1538" s="72" t="s">
        <v>423</v>
      </c>
      <c r="R1538" s="72" t="s">
        <v>349</v>
      </c>
      <c r="S1538" s="72"/>
    </row>
    <row r="1539" spans="1:19" ht="18.75" customHeight="1" x14ac:dyDescent="0.2">
      <c r="A1539" s="79"/>
      <c r="B1539" s="79"/>
      <c r="C1539" s="80"/>
      <c r="D1539" s="66"/>
      <c r="E1539" s="66" t="s">
        <v>21</v>
      </c>
      <c r="F1539" s="66" t="s">
        <v>276</v>
      </c>
      <c r="G1539" s="66" t="s">
        <v>899</v>
      </c>
      <c r="H1539" s="82" t="s">
        <v>349</v>
      </c>
      <c r="I1539" s="115">
        <v>32.520000000000003</v>
      </c>
      <c r="J1539" s="123">
        <v>47.6</v>
      </c>
      <c r="K1539" s="85"/>
      <c r="L1539" s="66"/>
      <c r="M1539" s="66"/>
      <c r="N1539" s="66"/>
      <c r="R1539" s="72"/>
    </row>
    <row r="1540" spans="1:19" ht="18.75" customHeight="1" x14ac:dyDescent="0.2">
      <c r="A1540" s="79"/>
      <c r="B1540" s="79"/>
      <c r="C1540" s="80"/>
      <c r="D1540" s="66"/>
      <c r="E1540" s="66" t="s">
        <v>541</v>
      </c>
      <c r="F1540" s="66" t="s">
        <v>541</v>
      </c>
      <c r="G1540" s="66" t="s">
        <v>348</v>
      </c>
      <c r="H1540" s="82" t="s">
        <v>349</v>
      </c>
      <c r="I1540" s="115">
        <v>20.88</v>
      </c>
      <c r="J1540" s="84"/>
      <c r="K1540" s="85"/>
      <c r="L1540" s="66"/>
      <c r="M1540" s="66"/>
      <c r="N1540" s="66"/>
      <c r="R1540" s="72"/>
    </row>
    <row r="1541" spans="1:19" ht="18.75" customHeight="1" x14ac:dyDescent="0.2">
      <c r="A1541" s="79"/>
      <c r="B1541" s="79"/>
      <c r="C1541" s="80"/>
      <c r="D1541" s="66"/>
      <c r="E1541" s="66" t="s">
        <v>1581</v>
      </c>
      <c r="F1541" s="66" t="s">
        <v>1582</v>
      </c>
      <c r="G1541" s="66" t="s">
        <v>476</v>
      </c>
      <c r="H1541" s="82" t="s">
        <v>349</v>
      </c>
      <c r="I1541" s="115">
        <v>12.2</v>
      </c>
      <c r="J1541" s="84"/>
      <c r="K1541" s="85"/>
      <c r="L1541" s="66"/>
      <c r="M1541" s="66"/>
      <c r="N1541" s="66"/>
      <c r="R1541" s="72"/>
    </row>
    <row r="1542" spans="1:19" ht="18.75" customHeight="1" x14ac:dyDescent="0.2">
      <c r="A1542" s="79"/>
      <c r="B1542" s="79"/>
      <c r="C1542" s="80"/>
      <c r="D1542" s="66"/>
      <c r="E1542" s="66" t="s">
        <v>1583</v>
      </c>
      <c r="F1542" s="66" t="s">
        <v>1583</v>
      </c>
      <c r="G1542" s="66" t="s">
        <v>383</v>
      </c>
      <c r="H1542" s="82" t="s">
        <v>349</v>
      </c>
      <c r="I1542" s="115">
        <v>4.45</v>
      </c>
      <c r="J1542" s="84"/>
      <c r="K1542" s="85"/>
      <c r="L1542" s="66"/>
      <c r="M1542" s="66"/>
      <c r="N1542" s="66"/>
      <c r="R1542" s="72"/>
    </row>
    <row r="1543" spans="1:19" ht="18.75" customHeight="1" x14ac:dyDescent="0.2">
      <c r="A1543" s="79"/>
      <c r="B1543" s="79"/>
      <c r="C1543" s="80"/>
      <c r="D1543" s="66"/>
      <c r="E1543" s="86"/>
      <c r="F1543" s="66"/>
      <c r="G1543" s="66" t="s">
        <v>353</v>
      </c>
      <c r="H1543" s="82"/>
      <c r="I1543" s="84"/>
      <c r="J1543" s="84"/>
      <c r="K1543" s="85"/>
      <c r="L1543" s="66"/>
      <c r="M1543" s="66"/>
      <c r="N1543" s="66"/>
      <c r="R1543" s="72"/>
    </row>
    <row r="1544" spans="1:19" ht="18.75" customHeight="1" x14ac:dyDescent="0.2">
      <c r="A1544" s="70">
        <v>42330</v>
      </c>
      <c r="B1544" s="70">
        <v>42344</v>
      </c>
      <c r="C1544" s="71">
        <v>34003</v>
      </c>
      <c r="D1544" s="72" t="s">
        <v>438</v>
      </c>
      <c r="E1544" s="72" t="s">
        <v>19</v>
      </c>
      <c r="F1544" s="72" t="s">
        <v>1261</v>
      </c>
      <c r="G1544" s="72" t="s">
        <v>1262</v>
      </c>
      <c r="H1544" s="74" t="s">
        <v>419</v>
      </c>
      <c r="I1544" s="107">
        <v>83.59</v>
      </c>
      <c r="J1544" s="76"/>
      <c r="K1544" s="76">
        <v>25.18</v>
      </c>
      <c r="L1544" s="76"/>
      <c r="M1544" s="70">
        <v>42444</v>
      </c>
      <c r="N1544" s="78">
        <v>44681</v>
      </c>
      <c r="O1544" s="72" t="s">
        <v>19</v>
      </c>
      <c r="P1544" s="72" t="s">
        <v>1261</v>
      </c>
      <c r="Q1544" s="72" t="s">
        <v>1262</v>
      </c>
      <c r="R1544" s="72" t="s">
        <v>419</v>
      </c>
      <c r="S1544" s="72"/>
    </row>
    <row r="1545" spans="1:19" ht="18.75" customHeight="1" x14ac:dyDescent="0.2">
      <c r="A1545" s="79"/>
      <c r="B1545" s="79"/>
      <c r="C1545" s="80"/>
      <c r="D1545" s="66"/>
      <c r="E1545" s="86"/>
      <c r="F1545" s="66"/>
      <c r="G1545" s="66" t="s">
        <v>353</v>
      </c>
      <c r="H1545" s="82"/>
      <c r="I1545" s="84"/>
      <c r="J1545" s="84"/>
      <c r="K1545" s="85"/>
      <c r="L1545" s="66"/>
      <c r="M1545" s="66"/>
      <c r="N1545" s="66"/>
      <c r="R1545" s="72"/>
    </row>
    <row r="1546" spans="1:19" ht="18.75" customHeight="1" x14ac:dyDescent="0.2">
      <c r="A1546" s="70">
        <v>42386</v>
      </c>
      <c r="B1546" s="70">
        <v>42400</v>
      </c>
      <c r="C1546" s="71">
        <v>33202</v>
      </c>
      <c r="D1546" s="72" t="s">
        <v>944</v>
      </c>
      <c r="E1546" s="72" t="s">
        <v>55</v>
      </c>
      <c r="F1546" s="72" t="s">
        <v>1584</v>
      </c>
      <c r="G1546" s="72" t="s">
        <v>477</v>
      </c>
      <c r="H1546" s="74" t="s">
        <v>349</v>
      </c>
      <c r="I1546" s="107">
        <v>33.119999999999997</v>
      </c>
      <c r="J1546" s="121">
        <v>52.12</v>
      </c>
      <c r="K1546" s="76">
        <v>50.549900000000001</v>
      </c>
      <c r="L1546" s="76">
        <v>47.32</v>
      </c>
      <c r="M1546" s="70">
        <v>42430</v>
      </c>
      <c r="N1546" s="78">
        <v>45351</v>
      </c>
      <c r="O1546" s="74" t="s">
        <v>21</v>
      </c>
      <c r="P1546" s="74" t="s">
        <v>945</v>
      </c>
      <c r="Q1546" s="74" t="s">
        <v>348</v>
      </c>
      <c r="R1546" s="72" t="s">
        <v>349</v>
      </c>
      <c r="S1546" s="72"/>
    </row>
    <row r="1547" spans="1:19" ht="18.75" customHeight="1" x14ac:dyDescent="0.2">
      <c r="A1547" s="79"/>
      <c r="B1547" s="79"/>
      <c r="C1547" s="80"/>
      <c r="D1547" s="66"/>
      <c r="E1547" s="66" t="s">
        <v>21</v>
      </c>
      <c r="F1547" s="66" t="s">
        <v>1585</v>
      </c>
      <c r="G1547" s="66" t="s">
        <v>477</v>
      </c>
      <c r="H1547" s="82" t="s">
        <v>349</v>
      </c>
      <c r="I1547" s="115">
        <v>35.71</v>
      </c>
      <c r="J1547" s="123">
        <v>47.88</v>
      </c>
      <c r="K1547" s="85"/>
      <c r="L1547" s="66"/>
      <c r="M1547" s="66"/>
      <c r="N1547" s="66"/>
      <c r="R1547" s="72"/>
    </row>
    <row r="1548" spans="1:19" ht="18.75" customHeight="1" x14ac:dyDescent="0.2">
      <c r="A1548" s="79"/>
      <c r="B1548" s="79"/>
      <c r="C1548" s="80"/>
      <c r="D1548" s="66"/>
      <c r="E1548" s="66" t="s">
        <v>19</v>
      </c>
      <c r="F1548" s="66" t="s">
        <v>1328</v>
      </c>
      <c r="G1548" s="66" t="s">
        <v>894</v>
      </c>
      <c r="H1548" s="82" t="s">
        <v>419</v>
      </c>
      <c r="I1548" s="115">
        <v>29.32</v>
      </c>
      <c r="J1548" s="84"/>
      <c r="K1548" s="85"/>
      <c r="L1548" s="66"/>
      <c r="M1548" s="66"/>
      <c r="N1548" s="66"/>
      <c r="R1548" s="72"/>
    </row>
    <row r="1549" spans="1:19" ht="18.75" customHeight="1" x14ac:dyDescent="0.2">
      <c r="A1549" s="79"/>
      <c r="B1549" s="79"/>
      <c r="C1549" s="80"/>
      <c r="D1549" s="66"/>
      <c r="E1549" s="66" t="s">
        <v>34</v>
      </c>
      <c r="F1549" s="66" t="s">
        <v>1586</v>
      </c>
      <c r="G1549" s="66" t="s">
        <v>1262</v>
      </c>
      <c r="H1549" s="82" t="s">
        <v>419</v>
      </c>
      <c r="I1549" s="115">
        <v>1.85</v>
      </c>
      <c r="J1549" s="84"/>
      <c r="K1549" s="85"/>
      <c r="L1549" s="66"/>
      <c r="M1549" s="66"/>
      <c r="N1549" s="66"/>
      <c r="R1549" s="72"/>
    </row>
    <row r="1550" spans="1:19" ht="18.75" customHeight="1" x14ac:dyDescent="0.2">
      <c r="A1550" s="79"/>
      <c r="B1550" s="79"/>
      <c r="C1550" s="80"/>
      <c r="D1550" s="66"/>
      <c r="E1550" s="86"/>
      <c r="F1550" s="66"/>
      <c r="G1550" s="66" t="s">
        <v>353</v>
      </c>
      <c r="H1550" s="82"/>
      <c r="I1550" s="84"/>
      <c r="J1550" s="84"/>
      <c r="K1550" s="85"/>
      <c r="L1550" s="66"/>
      <c r="M1550" s="66"/>
      <c r="N1550" s="66"/>
      <c r="R1550" s="72"/>
    </row>
    <row r="1551" spans="1:19" ht="18.75" customHeight="1" x14ac:dyDescent="0.2">
      <c r="A1551" s="70">
        <v>42442</v>
      </c>
      <c r="B1551" s="70">
        <v>42463</v>
      </c>
      <c r="C1551" s="71">
        <v>13401</v>
      </c>
      <c r="D1551" s="72" t="s">
        <v>836</v>
      </c>
      <c r="E1551" s="169" t="s">
        <v>55</v>
      </c>
      <c r="F1551" s="169" t="s">
        <v>1587</v>
      </c>
      <c r="G1551" s="169" t="s">
        <v>444</v>
      </c>
      <c r="H1551" s="74" t="s">
        <v>349</v>
      </c>
      <c r="I1551" s="170">
        <v>33.17</v>
      </c>
      <c r="J1551" s="173">
        <v>50.89</v>
      </c>
      <c r="K1551" s="76">
        <v>67.64</v>
      </c>
      <c r="L1551" s="76">
        <v>49.76</v>
      </c>
      <c r="M1551" s="70">
        <v>42602</v>
      </c>
      <c r="N1551" s="78">
        <v>45523</v>
      </c>
      <c r="O1551" s="72" t="s">
        <v>21</v>
      </c>
      <c r="P1551" s="72" t="s">
        <v>1138</v>
      </c>
      <c r="Q1551" s="72" t="s">
        <v>389</v>
      </c>
      <c r="R1551" s="72" t="s">
        <v>349</v>
      </c>
      <c r="S1551" s="72"/>
    </row>
    <row r="1552" spans="1:19" ht="18.75" customHeight="1" x14ac:dyDescent="0.2">
      <c r="A1552" s="79"/>
      <c r="B1552" s="79"/>
      <c r="C1552" s="80"/>
      <c r="D1552" s="66"/>
      <c r="E1552" s="171" t="s">
        <v>21</v>
      </c>
      <c r="F1552" s="171" t="s">
        <v>1138</v>
      </c>
      <c r="G1552" s="171" t="s">
        <v>1588</v>
      </c>
      <c r="H1552" s="82" t="s">
        <v>349</v>
      </c>
      <c r="I1552" s="172">
        <v>42.43</v>
      </c>
      <c r="J1552" s="174">
        <v>49.11</v>
      </c>
      <c r="K1552" s="85"/>
      <c r="L1552" s="66"/>
      <c r="M1552" s="66"/>
      <c r="N1552" s="66"/>
      <c r="R1552" s="72"/>
    </row>
    <row r="1553" spans="1:19" ht="18.75" customHeight="1" x14ac:dyDescent="0.2">
      <c r="A1553" s="79"/>
      <c r="B1553" s="79"/>
      <c r="C1553" s="80"/>
      <c r="D1553" s="66"/>
      <c r="E1553" s="171" t="s">
        <v>19</v>
      </c>
      <c r="F1553" s="171" t="s">
        <v>1589</v>
      </c>
      <c r="G1553" s="171" t="s">
        <v>1333</v>
      </c>
      <c r="H1553" s="82" t="s">
        <v>349</v>
      </c>
      <c r="I1553" s="172">
        <v>18.73</v>
      </c>
      <c r="J1553" s="84"/>
      <c r="K1553" s="85"/>
      <c r="L1553" s="66"/>
      <c r="M1553" s="66"/>
      <c r="N1553" s="66"/>
      <c r="R1553" s="72"/>
    </row>
    <row r="1554" spans="1:19" ht="18.75" customHeight="1" x14ac:dyDescent="0.2">
      <c r="A1554" s="79"/>
      <c r="B1554" s="79"/>
      <c r="C1554" s="80"/>
      <c r="D1554" s="66"/>
      <c r="E1554" s="171" t="s">
        <v>1590</v>
      </c>
      <c r="F1554" s="171" t="s">
        <v>1590</v>
      </c>
      <c r="G1554" s="171" t="s">
        <v>1089</v>
      </c>
      <c r="H1554" s="82" t="s">
        <v>419</v>
      </c>
      <c r="I1554" s="172">
        <v>5.67</v>
      </c>
      <c r="J1554" s="84"/>
      <c r="K1554" s="85"/>
      <c r="L1554" s="66"/>
      <c r="M1554" s="66"/>
      <c r="N1554" s="66"/>
      <c r="R1554" s="72"/>
    </row>
    <row r="1555" spans="1:19" ht="18.75" customHeight="1" x14ac:dyDescent="0.2">
      <c r="A1555" s="79"/>
      <c r="B1555" s="79"/>
      <c r="C1555" s="80"/>
      <c r="D1555" s="66"/>
      <c r="E1555" s="86"/>
      <c r="F1555" s="66"/>
      <c r="G1555" s="66" t="s">
        <v>353</v>
      </c>
      <c r="H1555" s="82"/>
      <c r="I1555" s="84"/>
      <c r="J1555" s="84"/>
      <c r="K1555" s="85"/>
      <c r="L1555" s="66"/>
      <c r="M1555" s="66"/>
      <c r="N1555" s="66"/>
      <c r="R1555" s="72"/>
    </row>
    <row r="1556" spans="1:19" ht="18.75" customHeight="1" x14ac:dyDescent="0.2">
      <c r="A1556" s="70">
        <v>42442</v>
      </c>
      <c r="B1556" s="70">
        <v>42463</v>
      </c>
      <c r="C1556" s="71">
        <v>13402</v>
      </c>
      <c r="D1556" s="72" t="s">
        <v>139</v>
      </c>
      <c r="E1556" s="169" t="s">
        <v>1591</v>
      </c>
      <c r="F1556" s="169" t="s">
        <v>1265</v>
      </c>
      <c r="G1556" s="169" t="s">
        <v>444</v>
      </c>
      <c r="H1556" s="74" t="s">
        <v>349</v>
      </c>
      <c r="I1556" s="170">
        <v>38.229999999999997</v>
      </c>
      <c r="J1556" s="173">
        <v>53.19</v>
      </c>
      <c r="K1556" s="76">
        <v>66.59</v>
      </c>
      <c r="L1556" s="76">
        <v>44.14</v>
      </c>
      <c r="M1556" s="70">
        <v>42658</v>
      </c>
      <c r="N1556" s="78">
        <v>45579</v>
      </c>
      <c r="O1556" s="72" t="s">
        <v>1144</v>
      </c>
      <c r="P1556" s="72" t="s">
        <v>1265</v>
      </c>
      <c r="Q1556" s="72" t="s">
        <v>440</v>
      </c>
      <c r="R1556" s="72" t="s">
        <v>349</v>
      </c>
      <c r="S1556" s="72"/>
    </row>
    <row r="1557" spans="1:19" ht="18.75" customHeight="1" x14ac:dyDescent="0.2">
      <c r="A1557" s="79"/>
      <c r="B1557" s="79"/>
      <c r="C1557" s="80"/>
      <c r="D1557" s="66"/>
      <c r="E1557" s="171" t="s">
        <v>19</v>
      </c>
      <c r="F1557" s="171" t="s">
        <v>541</v>
      </c>
      <c r="G1557" s="171" t="s">
        <v>1592</v>
      </c>
      <c r="H1557" s="82" t="s">
        <v>349</v>
      </c>
      <c r="I1557" s="172">
        <v>23.74</v>
      </c>
      <c r="J1557" s="174">
        <v>46.81</v>
      </c>
      <c r="K1557" s="85"/>
      <c r="L1557" s="66"/>
      <c r="M1557" s="66"/>
      <c r="N1557" s="66"/>
      <c r="R1557" s="72"/>
    </row>
    <row r="1558" spans="1:19" ht="18.75" customHeight="1" x14ac:dyDescent="0.2">
      <c r="A1558" s="79"/>
      <c r="B1558" s="79"/>
      <c r="C1558" s="80"/>
      <c r="D1558" s="66"/>
      <c r="E1558" s="171" t="s">
        <v>21</v>
      </c>
      <c r="F1558" s="171" t="s">
        <v>1593</v>
      </c>
      <c r="G1558" s="171" t="s">
        <v>1594</v>
      </c>
      <c r="H1558" s="82" t="s">
        <v>419</v>
      </c>
      <c r="I1558" s="172">
        <v>21.43</v>
      </c>
      <c r="J1558" s="84"/>
      <c r="K1558" s="85"/>
      <c r="L1558" s="66"/>
      <c r="M1558" s="66"/>
      <c r="N1558" s="66"/>
      <c r="R1558" s="72"/>
    </row>
    <row r="1559" spans="1:19" ht="18.75" customHeight="1" x14ac:dyDescent="0.2">
      <c r="A1559" s="79"/>
      <c r="B1559" s="79"/>
      <c r="C1559" s="80"/>
      <c r="D1559" s="66"/>
      <c r="E1559" s="171" t="s">
        <v>1595</v>
      </c>
      <c r="F1559" s="171" t="s">
        <v>1595</v>
      </c>
      <c r="G1559" s="171" t="s">
        <v>469</v>
      </c>
      <c r="H1559" s="82" t="s">
        <v>349</v>
      </c>
      <c r="I1559" s="172">
        <v>16.61</v>
      </c>
      <c r="J1559" s="84"/>
      <c r="K1559" s="85"/>
      <c r="L1559" s="66"/>
      <c r="M1559" s="66"/>
      <c r="N1559" s="66"/>
      <c r="R1559" s="72"/>
    </row>
    <row r="1560" spans="1:19" ht="18.75" customHeight="1" x14ac:dyDescent="0.2">
      <c r="A1560" s="79"/>
      <c r="B1560" s="79"/>
      <c r="C1560" s="80"/>
      <c r="D1560" s="66"/>
      <c r="E1560" s="86"/>
      <c r="F1560" s="66"/>
      <c r="G1560" s="66" t="s">
        <v>353</v>
      </c>
      <c r="H1560" s="82"/>
      <c r="I1560" s="84"/>
      <c r="J1560" s="84"/>
      <c r="K1560" s="85"/>
      <c r="L1560" s="66"/>
      <c r="M1560" s="66"/>
      <c r="N1560" s="66"/>
      <c r="R1560" s="72"/>
    </row>
    <row r="1561" spans="1:19" ht="18.75" customHeight="1" x14ac:dyDescent="0.2">
      <c r="A1561" s="70">
        <v>42442</v>
      </c>
      <c r="B1561" s="70">
        <v>42463</v>
      </c>
      <c r="C1561" s="71">
        <v>13505</v>
      </c>
      <c r="D1561" s="72" t="s">
        <v>828</v>
      </c>
      <c r="E1561" s="169" t="s">
        <v>21</v>
      </c>
      <c r="F1561" s="169" t="s">
        <v>1596</v>
      </c>
      <c r="G1561" s="169" t="s">
        <v>1264</v>
      </c>
      <c r="H1561" s="74" t="s">
        <v>349</v>
      </c>
      <c r="I1561" s="170">
        <v>75.47</v>
      </c>
      <c r="J1561" s="76"/>
      <c r="K1561" s="76">
        <v>66.81</v>
      </c>
      <c r="L1561" s="76"/>
      <c r="M1561" s="70">
        <v>42494</v>
      </c>
      <c r="N1561" s="78">
        <v>44651</v>
      </c>
      <c r="O1561" s="72" t="s">
        <v>21</v>
      </c>
      <c r="P1561" s="72" t="s">
        <v>829</v>
      </c>
      <c r="Q1561" s="72" t="s">
        <v>1264</v>
      </c>
      <c r="R1561" s="72" t="s">
        <v>349</v>
      </c>
      <c r="S1561" s="72"/>
    </row>
    <row r="1562" spans="1:19" ht="18.75" customHeight="1" x14ac:dyDescent="0.2">
      <c r="A1562" s="79"/>
      <c r="B1562" s="79"/>
      <c r="C1562" s="80"/>
      <c r="D1562" s="66"/>
      <c r="E1562" s="86"/>
      <c r="F1562" s="66"/>
      <c r="G1562" s="66" t="s">
        <v>353</v>
      </c>
      <c r="H1562" s="82"/>
      <c r="I1562" s="84"/>
      <c r="J1562" s="84"/>
      <c r="K1562" s="85"/>
      <c r="L1562" s="66"/>
      <c r="M1562" s="66"/>
      <c r="N1562" s="66"/>
      <c r="R1562" s="72"/>
    </row>
    <row r="1563" spans="1:19" ht="18.75" customHeight="1" x14ac:dyDescent="0.2">
      <c r="A1563" s="70">
        <v>42442</v>
      </c>
      <c r="B1563" s="70">
        <v>42463</v>
      </c>
      <c r="C1563" s="71">
        <v>14302</v>
      </c>
      <c r="D1563" s="72" t="s">
        <v>810</v>
      </c>
      <c r="E1563" s="169" t="s">
        <v>21</v>
      </c>
      <c r="F1563" s="169" t="s">
        <v>367</v>
      </c>
      <c r="G1563" s="169" t="s">
        <v>389</v>
      </c>
      <c r="H1563" s="74" t="s">
        <v>349</v>
      </c>
      <c r="I1563" s="170">
        <v>79.650000000000006</v>
      </c>
      <c r="J1563" s="76"/>
      <c r="K1563" s="76">
        <v>70.63</v>
      </c>
      <c r="L1563" s="76"/>
      <c r="M1563" s="70">
        <v>42614</v>
      </c>
      <c r="N1563" s="78">
        <v>44469</v>
      </c>
      <c r="O1563" s="72" t="s">
        <v>367</v>
      </c>
      <c r="P1563" s="72" t="s">
        <v>367</v>
      </c>
      <c r="Q1563" s="72" t="s">
        <v>389</v>
      </c>
      <c r="R1563" s="72" t="s">
        <v>349</v>
      </c>
      <c r="S1563" s="111"/>
    </row>
    <row r="1564" spans="1:19" ht="18.75" customHeight="1" x14ac:dyDescent="0.2">
      <c r="A1564" s="79"/>
      <c r="B1564" s="79"/>
      <c r="C1564" s="80"/>
      <c r="D1564" s="66"/>
      <c r="E1564" s="86"/>
      <c r="F1564" s="66"/>
      <c r="G1564" s="66" t="s">
        <v>353</v>
      </c>
      <c r="H1564" s="82"/>
      <c r="I1564" s="84"/>
      <c r="J1564" s="84"/>
      <c r="K1564" s="85"/>
      <c r="L1564" s="66"/>
      <c r="M1564" s="66"/>
      <c r="N1564" s="66"/>
      <c r="R1564" s="72"/>
    </row>
    <row r="1565" spans="1:19" ht="18.75" customHeight="1" x14ac:dyDescent="0.2">
      <c r="A1565" s="70">
        <v>42442</v>
      </c>
      <c r="B1565" s="70">
        <v>42463</v>
      </c>
      <c r="C1565" s="71">
        <v>23503</v>
      </c>
      <c r="D1565" s="72" t="s">
        <v>1071</v>
      </c>
      <c r="E1565" s="169" t="s">
        <v>19</v>
      </c>
      <c r="F1565" s="169" t="s">
        <v>1271</v>
      </c>
      <c r="G1565" s="169" t="s">
        <v>416</v>
      </c>
      <c r="H1565" s="74" t="s">
        <v>349</v>
      </c>
      <c r="I1565" s="170">
        <v>67.489999999999995</v>
      </c>
      <c r="J1565" s="76"/>
      <c r="K1565" s="76">
        <v>65.510000000000005</v>
      </c>
      <c r="L1565" s="76"/>
      <c r="M1565" s="70">
        <v>42644</v>
      </c>
      <c r="N1565" s="78">
        <v>45565</v>
      </c>
      <c r="O1565" s="72" t="s">
        <v>19</v>
      </c>
      <c r="P1565" s="72" t="s">
        <v>1271</v>
      </c>
      <c r="Q1565" s="72" t="s">
        <v>416</v>
      </c>
      <c r="R1565" s="72" t="s">
        <v>349</v>
      </c>
      <c r="S1565" s="72"/>
    </row>
    <row r="1566" spans="1:19" ht="18.75" customHeight="1" x14ac:dyDescent="0.2">
      <c r="A1566" s="79"/>
      <c r="B1566" s="79"/>
      <c r="C1566" s="80"/>
      <c r="D1566" s="66"/>
      <c r="E1566" s="171" t="s">
        <v>34</v>
      </c>
      <c r="F1566" s="171" t="s">
        <v>1597</v>
      </c>
      <c r="G1566" s="171" t="s">
        <v>1287</v>
      </c>
      <c r="H1566" s="82" t="s">
        <v>349</v>
      </c>
      <c r="I1566" s="172">
        <v>32.51</v>
      </c>
      <c r="J1566" s="84"/>
      <c r="K1566" s="85"/>
      <c r="L1566" s="66"/>
      <c r="M1566" s="66"/>
      <c r="N1566" s="66"/>
      <c r="R1566" s="72"/>
    </row>
    <row r="1567" spans="1:19" ht="18.75" customHeight="1" x14ac:dyDescent="0.2">
      <c r="A1567" s="79"/>
      <c r="B1567" s="79"/>
      <c r="C1567" s="80"/>
      <c r="D1567" s="66"/>
      <c r="E1567" s="86"/>
      <c r="F1567" s="66"/>
      <c r="G1567" s="66" t="s">
        <v>353</v>
      </c>
      <c r="H1567" s="82"/>
      <c r="I1567" s="84"/>
      <c r="J1567" s="84"/>
      <c r="K1567" s="85"/>
      <c r="L1567" s="66"/>
      <c r="M1567" s="66"/>
      <c r="N1567" s="66"/>
      <c r="R1567" s="72"/>
    </row>
    <row r="1568" spans="1:19" ht="18.75" customHeight="1" x14ac:dyDescent="0.2">
      <c r="A1568" s="70">
        <v>42442</v>
      </c>
      <c r="B1568" s="70">
        <v>42463</v>
      </c>
      <c r="C1568" s="71">
        <v>33201</v>
      </c>
      <c r="D1568" s="72" t="s">
        <v>390</v>
      </c>
      <c r="E1568" s="169" t="s">
        <v>19</v>
      </c>
      <c r="F1568" s="169" t="s">
        <v>1598</v>
      </c>
      <c r="G1568" s="169" t="s">
        <v>389</v>
      </c>
      <c r="H1568" s="74" t="s">
        <v>349</v>
      </c>
      <c r="I1568" s="170">
        <v>76.91</v>
      </c>
      <c r="J1568" s="76"/>
      <c r="K1568" s="76">
        <v>75.16</v>
      </c>
      <c r="L1568" s="76"/>
      <c r="M1568" s="70">
        <v>42491</v>
      </c>
      <c r="N1568" s="78">
        <v>45412</v>
      </c>
      <c r="O1568" s="72" t="s">
        <v>19</v>
      </c>
      <c r="P1568" s="72" t="s">
        <v>541</v>
      </c>
      <c r="Q1568" s="72" t="s">
        <v>593</v>
      </c>
      <c r="R1568" s="72" t="s">
        <v>349</v>
      </c>
      <c r="S1568" s="72"/>
    </row>
    <row r="1569" spans="1:19" ht="18.75" customHeight="1" x14ac:dyDescent="0.2">
      <c r="A1569" s="79"/>
      <c r="B1569" s="79"/>
      <c r="C1569" s="80"/>
      <c r="D1569" s="66"/>
      <c r="E1569" s="86"/>
      <c r="F1569" s="66"/>
      <c r="G1569" s="66" t="s">
        <v>353</v>
      </c>
      <c r="H1569" s="82"/>
      <c r="I1569" s="84"/>
      <c r="J1569" s="84"/>
      <c r="K1569" s="85"/>
      <c r="L1569" s="66"/>
      <c r="M1569" s="66"/>
      <c r="N1569" s="66"/>
      <c r="R1569" s="72"/>
    </row>
    <row r="1570" spans="1:19" ht="18.75" customHeight="1" x14ac:dyDescent="0.2">
      <c r="A1570" s="70">
        <v>42442</v>
      </c>
      <c r="B1570" s="70">
        <v>42463</v>
      </c>
      <c r="C1570" s="71">
        <v>33508</v>
      </c>
      <c r="D1570" s="72" t="s">
        <v>395</v>
      </c>
      <c r="E1570" s="169" t="s">
        <v>19</v>
      </c>
      <c r="F1570" s="169" t="s">
        <v>1599</v>
      </c>
      <c r="G1570" s="169" t="s">
        <v>547</v>
      </c>
      <c r="H1570" s="74" t="s">
        <v>349</v>
      </c>
      <c r="I1570" s="170">
        <v>65.849999999999994</v>
      </c>
      <c r="J1570" s="76"/>
      <c r="K1570" s="76">
        <v>71.61</v>
      </c>
      <c r="L1570" s="76"/>
      <c r="M1570" s="70">
        <v>42452</v>
      </c>
      <c r="N1570" s="78">
        <v>43738</v>
      </c>
      <c r="O1570" s="72" t="s">
        <v>19</v>
      </c>
      <c r="P1570" s="72" t="s">
        <v>793</v>
      </c>
      <c r="Q1570" s="72" t="s">
        <v>358</v>
      </c>
      <c r="R1570" s="72" t="s">
        <v>349</v>
      </c>
      <c r="S1570" s="72"/>
    </row>
    <row r="1571" spans="1:19" ht="18.75" customHeight="1" x14ac:dyDescent="0.2">
      <c r="A1571" s="79"/>
      <c r="B1571" s="79"/>
      <c r="C1571" s="80"/>
      <c r="D1571" s="66"/>
      <c r="E1571" s="171" t="s">
        <v>55</v>
      </c>
      <c r="F1571" s="171" t="s">
        <v>746</v>
      </c>
      <c r="G1571" s="171" t="s">
        <v>1600</v>
      </c>
      <c r="H1571" s="82" t="s">
        <v>419</v>
      </c>
      <c r="I1571" s="172">
        <v>22.42</v>
      </c>
      <c r="J1571" s="84"/>
      <c r="K1571" s="85"/>
      <c r="L1571" s="66"/>
      <c r="M1571" s="66"/>
      <c r="N1571" s="66"/>
      <c r="R1571" s="72"/>
    </row>
    <row r="1572" spans="1:19" ht="18.75" customHeight="1" x14ac:dyDescent="0.2">
      <c r="A1572" s="79"/>
      <c r="B1572" s="79"/>
      <c r="C1572" s="80"/>
      <c r="D1572" s="66"/>
      <c r="E1572" s="171" t="s">
        <v>21</v>
      </c>
      <c r="F1572" s="171" t="s">
        <v>1601</v>
      </c>
      <c r="G1572" s="171" t="s">
        <v>1400</v>
      </c>
      <c r="H1572" s="82" t="s">
        <v>349</v>
      </c>
      <c r="I1572" s="172">
        <v>11.73</v>
      </c>
      <c r="J1572" s="84"/>
      <c r="K1572" s="85"/>
      <c r="L1572" s="66"/>
      <c r="M1572" s="66"/>
      <c r="N1572" s="66"/>
      <c r="R1572" s="72"/>
    </row>
    <row r="1573" spans="1:19" ht="18.75" customHeight="1" x14ac:dyDescent="0.2">
      <c r="A1573" s="79"/>
      <c r="B1573" s="79"/>
      <c r="C1573" s="80"/>
      <c r="D1573" s="66"/>
      <c r="E1573" s="86"/>
      <c r="F1573" s="66"/>
      <c r="G1573" s="66" t="s">
        <v>353</v>
      </c>
      <c r="H1573" s="82"/>
      <c r="I1573" s="84"/>
      <c r="J1573" s="84"/>
      <c r="K1573" s="85"/>
      <c r="L1573" s="66"/>
      <c r="M1573" s="66"/>
      <c r="N1573" s="66"/>
      <c r="R1573" s="72"/>
    </row>
    <row r="1574" spans="1:19" ht="18.75" customHeight="1" x14ac:dyDescent="0.2">
      <c r="A1574" s="70">
        <v>42442</v>
      </c>
      <c r="B1574" s="70">
        <v>42463</v>
      </c>
      <c r="C1574" s="71">
        <v>33905</v>
      </c>
      <c r="D1574" s="72" t="s">
        <v>844</v>
      </c>
      <c r="E1574" s="169" t="s">
        <v>1602</v>
      </c>
      <c r="F1574" s="169" t="s">
        <v>261</v>
      </c>
      <c r="G1574" s="169" t="s">
        <v>1603</v>
      </c>
      <c r="H1574" s="74" t="s">
        <v>419</v>
      </c>
      <c r="I1574" s="170">
        <v>31.3</v>
      </c>
      <c r="J1574" s="173">
        <v>62.27</v>
      </c>
      <c r="K1574" s="76">
        <v>72.91</v>
      </c>
      <c r="L1574" s="76">
        <v>51.58</v>
      </c>
      <c r="M1574" s="70">
        <v>42644</v>
      </c>
      <c r="N1574" s="78">
        <v>43646</v>
      </c>
      <c r="O1574" s="72" t="s">
        <v>21</v>
      </c>
      <c r="P1574" s="72" t="s">
        <v>1277</v>
      </c>
      <c r="Q1574" s="72" t="s">
        <v>1005</v>
      </c>
      <c r="R1574" s="72" t="s">
        <v>349</v>
      </c>
      <c r="S1574" s="72"/>
    </row>
    <row r="1575" spans="1:19" ht="18.75" customHeight="1" x14ac:dyDescent="0.2">
      <c r="A1575" s="79"/>
      <c r="B1575" s="79"/>
      <c r="C1575" s="80"/>
      <c r="D1575" s="66"/>
      <c r="E1575" s="171" t="s">
        <v>1277</v>
      </c>
      <c r="F1575" s="171" t="s">
        <v>1277</v>
      </c>
      <c r="G1575" s="171" t="s">
        <v>1005</v>
      </c>
      <c r="H1575" s="82" t="s">
        <v>349</v>
      </c>
      <c r="I1575" s="172">
        <v>34.04</v>
      </c>
      <c r="J1575" s="174">
        <v>37.729999999999997</v>
      </c>
      <c r="K1575" s="85"/>
      <c r="L1575" s="66"/>
      <c r="M1575" s="66"/>
      <c r="N1575" s="66"/>
      <c r="R1575" s="72"/>
    </row>
    <row r="1576" spans="1:19" ht="18.75" customHeight="1" x14ac:dyDescent="0.2">
      <c r="A1576" s="79"/>
      <c r="B1576" s="79"/>
      <c r="C1576" s="80"/>
      <c r="D1576" s="66"/>
      <c r="E1576" s="171" t="s">
        <v>19</v>
      </c>
      <c r="F1576" s="171" t="s">
        <v>1604</v>
      </c>
      <c r="G1576" s="171" t="s">
        <v>1605</v>
      </c>
      <c r="H1576" s="82" t="s">
        <v>349</v>
      </c>
      <c r="I1576" s="172">
        <v>27.48</v>
      </c>
      <c r="J1576" s="84"/>
      <c r="K1576" s="85"/>
      <c r="L1576" s="66"/>
      <c r="M1576" s="66"/>
      <c r="N1576" s="66"/>
      <c r="R1576" s="72"/>
    </row>
    <row r="1577" spans="1:19" ht="18.75" customHeight="1" x14ac:dyDescent="0.2">
      <c r="A1577" s="79"/>
      <c r="B1577" s="79"/>
      <c r="C1577" s="80"/>
      <c r="D1577" s="66"/>
      <c r="E1577" s="171" t="s">
        <v>38</v>
      </c>
      <c r="F1577" s="171" t="s">
        <v>1606</v>
      </c>
      <c r="G1577" s="171" t="s">
        <v>1607</v>
      </c>
      <c r="H1577" s="82" t="s">
        <v>419</v>
      </c>
      <c r="I1577" s="172">
        <v>7.18</v>
      </c>
      <c r="J1577" s="84"/>
      <c r="K1577" s="85"/>
      <c r="L1577" s="66"/>
      <c r="M1577" s="66"/>
      <c r="N1577" s="66"/>
      <c r="R1577" s="72"/>
    </row>
    <row r="1578" spans="1:19" ht="18.75" customHeight="1" x14ac:dyDescent="0.2">
      <c r="A1578" s="79"/>
      <c r="B1578" s="79"/>
      <c r="C1578" s="80"/>
      <c r="D1578" s="66"/>
      <c r="E1578" s="86"/>
      <c r="F1578" s="66"/>
      <c r="G1578" s="66" t="s">
        <v>353</v>
      </c>
      <c r="H1578" s="82"/>
      <c r="I1578" s="84"/>
      <c r="J1578" s="84"/>
      <c r="K1578" s="85"/>
      <c r="L1578" s="66"/>
      <c r="M1578" s="66"/>
      <c r="N1578" s="66"/>
      <c r="R1578" s="72"/>
    </row>
    <row r="1579" spans="1:19" ht="18.75" customHeight="1" x14ac:dyDescent="0.2">
      <c r="A1579" s="70">
        <v>42533</v>
      </c>
      <c r="B1579" s="70">
        <v>42181</v>
      </c>
      <c r="C1579" s="71">
        <v>13703</v>
      </c>
      <c r="D1579" s="72" t="s">
        <v>1141</v>
      </c>
      <c r="E1579" s="169" t="s">
        <v>19</v>
      </c>
      <c r="F1579" s="169" t="s">
        <v>1608</v>
      </c>
      <c r="G1579" s="169" t="s">
        <v>474</v>
      </c>
      <c r="H1579" s="74" t="s">
        <v>349</v>
      </c>
      <c r="I1579" s="170">
        <v>70.53</v>
      </c>
      <c r="J1579" s="76"/>
      <c r="K1579" s="76">
        <v>42.23</v>
      </c>
      <c r="L1579" s="76"/>
      <c r="M1579" s="70">
        <v>42736</v>
      </c>
      <c r="N1579" s="78">
        <v>45657</v>
      </c>
      <c r="O1579" s="72" t="s">
        <v>19</v>
      </c>
      <c r="P1579" s="72" t="s">
        <v>1288</v>
      </c>
      <c r="Q1579" s="72" t="s">
        <v>993</v>
      </c>
      <c r="R1579" s="72" t="s">
        <v>349</v>
      </c>
      <c r="S1579" s="72"/>
    </row>
    <row r="1580" spans="1:19" ht="18.75" customHeight="1" x14ac:dyDescent="0.2">
      <c r="A1580" s="79"/>
      <c r="B1580" s="79"/>
      <c r="C1580" s="80"/>
      <c r="D1580" s="66"/>
      <c r="E1580" s="171" t="s">
        <v>34</v>
      </c>
      <c r="F1580" s="171" t="s">
        <v>276</v>
      </c>
      <c r="G1580" s="171" t="s">
        <v>915</v>
      </c>
      <c r="H1580" s="82" t="s">
        <v>349</v>
      </c>
      <c r="I1580" s="172">
        <v>29.47</v>
      </c>
      <c r="J1580" s="84"/>
      <c r="K1580" s="85"/>
      <c r="L1580" s="66"/>
      <c r="M1580" s="66"/>
      <c r="N1580" s="66"/>
      <c r="R1580" s="72"/>
    </row>
    <row r="1581" spans="1:19" ht="18.75" customHeight="1" x14ac:dyDescent="0.2">
      <c r="A1581" s="79"/>
      <c r="B1581" s="79"/>
      <c r="C1581" s="80"/>
      <c r="D1581" s="66"/>
      <c r="E1581" s="86"/>
      <c r="F1581" s="66"/>
      <c r="G1581" s="66" t="s">
        <v>353</v>
      </c>
      <c r="H1581" s="82"/>
      <c r="I1581" s="84"/>
      <c r="J1581" s="84"/>
      <c r="K1581" s="85"/>
      <c r="L1581" s="66"/>
      <c r="M1581" s="66"/>
      <c r="N1581" s="66"/>
      <c r="R1581" s="72"/>
    </row>
    <row r="1582" spans="1:19" ht="18.75" customHeight="1" x14ac:dyDescent="0.2">
      <c r="A1582" s="70">
        <v>42631</v>
      </c>
      <c r="B1582" s="70">
        <v>42645</v>
      </c>
      <c r="C1582" s="71" t="s">
        <v>1609</v>
      </c>
      <c r="D1582" s="72" t="s">
        <v>1610</v>
      </c>
      <c r="E1582" s="169" t="s">
        <v>21</v>
      </c>
      <c r="F1582" s="169" t="s">
        <v>1217</v>
      </c>
      <c r="G1582" s="169" t="s">
        <v>444</v>
      </c>
      <c r="H1582" s="74" t="s">
        <v>349</v>
      </c>
      <c r="I1582" s="170">
        <v>69.2</v>
      </c>
      <c r="J1582" s="76"/>
      <c r="K1582" s="76">
        <v>47.09</v>
      </c>
      <c r="L1582" s="76"/>
      <c r="M1582" s="70">
        <v>42736</v>
      </c>
      <c r="N1582" s="78">
        <v>45382</v>
      </c>
      <c r="O1582" s="169" t="s">
        <v>21</v>
      </c>
      <c r="P1582" s="169" t="s">
        <v>1217</v>
      </c>
      <c r="Q1582" s="169" t="s">
        <v>444</v>
      </c>
      <c r="R1582" s="72" t="s">
        <v>349</v>
      </c>
      <c r="S1582" s="72" t="s">
        <v>1352</v>
      </c>
    </row>
    <row r="1583" spans="1:19" ht="18.75" customHeight="1" x14ac:dyDescent="0.2">
      <c r="A1583" s="79"/>
      <c r="B1583" s="79"/>
      <c r="C1583" s="80"/>
      <c r="D1583" s="66"/>
      <c r="E1583" s="171" t="s">
        <v>19</v>
      </c>
      <c r="F1583" s="171" t="s">
        <v>1611</v>
      </c>
      <c r="G1583" s="171" t="s">
        <v>829</v>
      </c>
      <c r="H1583" s="82" t="s">
        <v>349</v>
      </c>
      <c r="I1583" s="172">
        <v>30.8</v>
      </c>
      <c r="J1583" s="84"/>
      <c r="K1583" s="85"/>
      <c r="L1583" s="66"/>
      <c r="M1583" s="66"/>
      <c r="N1583" s="66"/>
      <c r="R1583" s="72"/>
    </row>
    <row r="1584" spans="1:19" ht="18.75" customHeight="1" x14ac:dyDescent="0.2">
      <c r="A1584" s="79"/>
      <c r="B1584" s="79"/>
      <c r="C1584" s="80"/>
      <c r="D1584" s="66"/>
      <c r="E1584" s="86"/>
      <c r="F1584" s="66"/>
      <c r="G1584" s="66" t="s">
        <v>353</v>
      </c>
      <c r="H1584" s="82"/>
      <c r="I1584" s="84"/>
      <c r="J1584" s="84"/>
      <c r="K1584" s="85"/>
      <c r="L1584" s="66"/>
      <c r="M1584" s="66"/>
      <c r="N1584" s="66"/>
      <c r="R1584" s="72"/>
    </row>
    <row r="1585" spans="1:19" ht="18.75" customHeight="1" x14ac:dyDescent="0.2">
      <c r="A1585" s="70">
        <v>42638</v>
      </c>
      <c r="B1585" s="70">
        <v>42652</v>
      </c>
      <c r="C1585" s="71">
        <v>14006</v>
      </c>
      <c r="D1585" s="72" t="s">
        <v>856</v>
      </c>
      <c r="E1585" s="169" t="s">
        <v>19</v>
      </c>
      <c r="F1585" s="169" t="s">
        <v>771</v>
      </c>
      <c r="G1585" s="169" t="s">
        <v>476</v>
      </c>
      <c r="H1585" s="74" t="s">
        <v>349</v>
      </c>
      <c r="I1585" s="170">
        <v>89.58</v>
      </c>
      <c r="J1585" s="76"/>
      <c r="K1585" s="76">
        <v>39.76</v>
      </c>
      <c r="L1585" s="76"/>
      <c r="M1585" s="70">
        <v>42856</v>
      </c>
      <c r="N1585" s="78">
        <v>45777</v>
      </c>
      <c r="O1585" s="72" t="s">
        <v>19</v>
      </c>
      <c r="P1585" s="72" t="s">
        <v>771</v>
      </c>
      <c r="Q1585" s="72" t="s">
        <v>476</v>
      </c>
      <c r="R1585" s="72" t="s">
        <v>349</v>
      </c>
      <c r="S1585" s="72"/>
    </row>
    <row r="1586" spans="1:19" ht="18.75" customHeight="1" x14ac:dyDescent="0.2">
      <c r="A1586" s="79"/>
      <c r="B1586" s="79"/>
      <c r="C1586" s="80"/>
      <c r="D1586" s="66"/>
      <c r="E1586" s="86"/>
      <c r="F1586" s="66"/>
      <c r="G1586" s="66" t="s">
        <v>353</v>
      </c>
      <c r="H1586" s="82"/>
      <c r="I1586" s="84"/>
      <c r="J1586" s="84"/>
      <c r="K1586" s="85"/>
      <c r="L1586" s="66"/>
      <c r="M1586" s="66"/>
      <c r="N1586" s="66"/>
      <c r="R1586" s="72"/>
    </row>
    <row r="1587" spans="1:19" ht="18.75" customHeight="1" x14ac:dyDescent="0.2">
      <c r="A1587" s="70">
        <v>42638</v>
      </c>
      <c r="B1587" s="70">
        <v>42652</v>
      </c>
      <c r="C1587" s="71">
        <v>33404</v>
      </c>
      <c r="D1587" s="72" t="s">
        <v>863</v>
      </c>
      <c r="E1587" s="169" t="s">
        <v>21</v>
      </c>
      <c r="F1587" s="169" t="s">
        <v>1280</v>
      </c>
      <c r="G1587" s="169" t="s">
        <v>695</v>
      </c>
      <c r="H1587" s="74" t="s">
        <v>349</v>
      </c>
      <c r="I1587" s="170">
        <v>54.46</v>
      </c>
      <c r="J1587" s="76"/>
      <c r="K1587" s="76">
        <v>46.91</v>
      </c>
      <c r="L1587" s="76"/>
      <c r="M1587" s="70">
        <v>42826</v>
      </c>
      <c r="N1587" s="78">
        <v>45747</v>
      </c>
      <c r="O1587" s="72" t="s">
        <v>21</v>
      </c>
      <c r="P1587" s="72" t="s">
        <v>1280</v>
      </c>
      <c r="Q1587" s="72" t="s">
        <v>695</v>
      </c>
      <c r="R1587" s="72" t="s">
        <v>349</v>
      </c>
      <c r="S1587" s="72"/>
    </row>
    <row r="1588" spans="1:19" ht="18.75" customHeight="1" x14ac:dyDescent="0.2">
      <c r="A1588" s="79"/>
      <c r="B1588" s="79"/>
      <c r="C1588" s="80"/>
      <c r="D1588" s="66"/>
      <c r="E1588" s="171" t="s">
        <v>19</v>
      </c>
      <c r="F1588" s="171" t="s">
        <v>1612</v>
      </c>
      <c r="G1588" s="171" t="s">
        <v>383</v>
      </c>
      <c r="H1588" s="82" t="s">
        <v>349</v>
      </c>
      <c r="I1588" s="172">
        <v>45.54</v>
      </c>
      <c r="J1588" s="84"/>
      <c r="K1588" s="85"/>
      <c r="L1588" s="66"/>
      <c r="M1588" s="66"/>
      <c r="N1588" s="66"/>
      <c r="R1588" s="72"/>
    </row>
    <row r="1589" spans="1:19" ht="18.75" customHeight="1" x14ac:dyDescent="0.2">
      <c r="A1589" s="79"/>
      <c r="B1589" s="79"/>
      <c r="C1589" s="80"/>
      <c r="D1589" s="66"/>
      <c r="E1589" s="171"/>
      <c r="F1589" s="171"/>
      <c r="G1589" s="171"/>
      <c r="H1589" s="82"/>
      <c r="I1589" s="172"/>
      <c r="J1589" s="84"/>
      <c r="K1589" s="85"/>
      <c r="L1589" s="66"/>
      <c r="M1589" s="66"/>
      <c r="N1589" s="66"/>
      <c r="R1589" s="72"/>
    </row>
    <row r="1590" spans="1:19" ht="18.75" customHeight="1" x14ac:dyDescent="0.2">
      <c r="A1590" s="70">
        <v>42701</v>
      </c>
      <c r="B1590" s="70">
        <v>42715</v>
      </c>
      <c r="C1590" s="71" t="s">
        <v>1613</v>
      </c>
      <c r="D1590" s="72" t="s">
        <v>878</v>
      </c>
      <c r="E1590" s="169" t="s">
        <v>19</v>
      </c>
      <c r="F1590" s="169" t="s">
        <v>1614</v>
      </c>
      <c r="G1590" s="169" t="s">
        <v>383</v>
      </c>
      <c r="H1590" s="74" t="s">
        <v>349</v>
      </c>
      <c r="I1590" s="170">
        <v>52.1</v>
      </c>
      <c r="J1590" s="76"/>
      <c r="K1590" s="76">
        <v>48.33</v>
      </c>
      <c r="L1590" s="72"/>
      <c r="M1590" s="134">
        <v>42826</v>
      </c>
      <c r="N1590" s="134">
        <v>45747</v>
      </c>
      <c r="O1590" s="101" t="s">
        <v>19</v>
      </c>
      <c r="P1590" s="101" t="s">
        <v>879</v>
      </c>
      <c r="Q1590" s="101" t="s">
        <v>348</v>
      </c>
      <c r="R1590" s="72" t="s">
        <v>349</v>
      </c>
    </row>
    <row r="1591" spans="1:19" ht="18.75" customHeight="1" x14ac:dyDescent="0.2">
      <c r="A1591" s="79"/>
      <c r="B1591" s="79"/>
      <c r="C1591" s="80"/>
      <c r="D1591" s="66"/>
      <c r="E1591" s="171" t="s">
        <v>21</v>
      </c>
      <c r="F1591" s="171" t="s">
        <v>796</v>
      </c>
      <c r="G1591" s="171" t="s">
        <v>1117</v>
      </c>
      <c r="H1591" s="82" t="s">
        <v>349</v>
      </c>
      <c r="I1591" s="172">
        <v>47.6</v>
      </c>
      <c r="J1591" s="84"/>
      <c r="K1591" s="85"/>
      <c r="L1591" s="66"/>
      <c r="M1591" s="66"/>
      <c r="N1591" s="66"/>
      <c r="R1591" s="72"/>
    </row>
    <row r="1592" spans="1:19" ht="18.75" customHeight="1" x14ac:dyDescent="0.2">
      <c r="A1592" s="79"/>
      <c r="B1592" s="79"/>
      <c r="C1592" s="80"/>
      <c r="D1592" s="66"/>
      <c r="E1592" s="171"/>
      <c r="F1592" s="171"/>
      <c r="G1592" s="171"/>
      <c r="H1592" s="82"/>
      <c r="I1592" s="172"/>
      <c r="J1592" s="84"/>
      <c r="K1592" s="85"/>
      <c r="L1592" s="66"/>
      <c r="M1592" s="66"/>
      <c r="N1592" s="66"/>
      <c r="R1592" s="72"/>
    </row>
    <row r="1593" spans="1:19" ht="18.75" customHeight="1" x14ac:dyDescent="0.2">
      <c r="A1593" s="70">
        <v>42708</v>
      </c>
      <c r="B1593" s="70">
        <v>42722</v>
      </c>
      <c r="C1593" s="71">
        <v>33609</v>
      </c>
      <c r="D1593" s="72" t="s">
        <v>1615</v>
      </c>
      <c r="E1593" s="169" t="s">
        <v>19</v>
      </c>
      <c r="F1593" s="169" t="s">
        <v>1616</v>
      </c>
      <c r="G1593" s="169" t="s">
        <v>899</v>
      </c>
      <c r="H1593" s="74" t="s">
        <v>349</v>
      </c>
      <c r="I1593" s="170">
        <v>46.22</v>
      </c>
      <c r="J1593" s="76">
        <v>68.540000000000006</v>
      </c>
      <c r="K1593" s="76">
        <v>49.09</v>
      </c>
      <c r="L1593" s="76">
        <v>41.97</v>
      </c>
      <c r="M1593" s="134">
        <v>42736</v>
      </c>
      <c r="N1593" s="134">
        <v>45657</v>
      </c>
      <c r="O1593" s="101" t="s">
        <v>19</v>
      </c>
      <c r="P1593" s="101"/>
      <c r="Q1593" s="101"/>
      <c r="R1593" s="72"/>
      <c r="S1593" s="72" t="s">
        <v>1617</v>
      </c>
    </row>
    <row r="1594" spans="1:19" ht="18.75" customHeight="1" x14ac:dyDescent="0.2">
      <c r="A1594" s="79"/>
      <c r="B1594" s="79"/>
      <c r="C1594" s="80"/>
      <c r="D1594" s="66"/>
      <c r="E1594" s="171" t="s">
        <v>21</v>
      </c>
      <c r="F1594" s="171" t="s">
        <v>1618</v>
      </c>
      <c r="G1594" s="171" t="s">
        <v>423</v>
      </c>
      <c r="H1594" s="82" t="s">
        <v>349</v>
      </c>
      <c r="I1594" s="172">
        <v>30.11</v>
      </c>
      <c r="J1594" s="84"/>
      <c r="K1594" s="85"/>
      <c r="L1594" s="66"/>
      <c r="M1594" s="66"/>
      <c r="N1594" s="66"/>
      <c r="R1594" s="72"/>
    </row>
    <row r="1595" spans="1:19" ht="18.75" customHeight="1" x14ac:dyDescent="0.2">
      <c r="A1595" s="79"/>
      <c r="B1595" s="79"/>
      <c r="C1595" s="80"/>
      <c r="D1595" s="66"/>
      <c r="E1595" s="171" t="s">
        <v>34</v>
      </c>
      <c r="F1595" s="171" t="s">
        <v>744</v>
      </c>
      <c r="G1595" s="171" t="s">
        <v>1188</v>
      </c>
      <c r="H1595" s="82" t="s">
        <v>349</v>
      </c>
      <c r="I1595" s="172">
        <v>9.91</v>
      </c>
      <c r="J1595" s="84"/>
      <c r="K1595" s="85"/>
      <c r="L1595" s="66"/>
      <c r="M1595" s="66"/>
      <c r="N1595" s="66"/>
      <c r="R1595" s="72"/>
    </row>
    <row r="1596" spans="1:19" ht="18.75" customHeight="1" x14ac:dyDescent="0.2">
      <c r="A1596" s="79"/>
      <c r="B1596" s="79"/>
      <c r="C1596" s="80"/>
      <c r="D1596" s="66"/>
      <c r="E1596" s="171" t="s">
        <v>210</v>
      </c>
      <c r="F1596" s="171" t="s">
        <v>646</v>
      </c>
      <c r="G1596" s="171" t="s">
        <v>1619</v>
      </c>
      <c r="H1596" s="82" t="s">
        <v>349</v>
      </c>
      <c r="I1596" s="172">
        <v>5.67</v>
      </c>
      <c r="J1596" s="84"/>
      <c r="K1596" s="85"/>
      <c r="L1596" s="66"/>
      <c r="M1596" s="66"/>
      <c r="N1596" s="66"/>
      <c r="R1596" s="72"/>
    </row>
    <row r="1597" spans="1:19" ht="18.75" customHeight="1" x14ac:dyDescent="0.2">
      <c r="A1597" s="79"/>
      <c r="B1597" s="79"/>
      <c r="C1597" s="80"/>
      <c r="D1597" s="66"/>
      <c r="E1597" s="86" t="s">
        <v>55</v>
      </c>
      <c r="F1597" s="66" t="s">
        <v>443</v>
      </c>
      <c r="G1597" s="66" t="s">
        <v>1620</v>
      </c>
      <c r="H1597" s="74" t="s">
        <v>349</v>
      </c>
      <c r="I1597" s="123">
        <v>8.08</v>
      </c>
      <c r="J1597" s="84"/>
      <c r="K1597" s="91"/>
      <c r="L1597" s="66"/>
      <c r="M1597" s="66"/>
      <c r="N1597" s="66"/>
      <c r="R1597" s="72"/>
    </row>
    <row r="1598" spans="1:19" ht="18.75" customHeight="1" x14ac:dyDescent="0.2">
      <c r="A1598" s="79"/>
      <c r="B1598" s="79"/>
      <c r="C1598" s="80"/>
      <c r="D1598" s="66"/>
      <c r="E1598" s="86"/>
      <c r="F1598" s="66"/>
      <c r="G1598" s="66"/>
      <c r="H1598" s="74"/>
      <c r="I1598" s="123"/>
      <c r="J1598" s="84"/>
      <c r="K1598" s="91"/>
      <c r="L1598" s="66"/>
      <c r="M1598" s="66"/>
      <c r="N1598" s="66"/>
      <c r="R1598" s="72"/>
    </row>
    <row r="1599" spans="1:19" ht="18.75" customHeight="1" x14ac:dyDescent="0.2">
      <c r="A1599" s="70">
        <v>42799</v>
      </c>
      <c r="B1599" s="70">
        <v>42813</v>
      </c>
      <c r="C1599" s="71" t="s">
        <v>1621</v>
      </c>
      <c r="D1599" s="72" t="s">
        <v>566</v>
      </c>
      <c r="E1599" s="145" t="s">
        <v>19</v>
      </c>
      <c r="F1599" s="72" t="s">
        <v>1622</v>
      </c>
      <c r="G1599" s="72" t="s">
        <v>1082</v>
      </c>
      <c r="H1599" s="74" t="s">
        <v>349</v>
      </c>
      <c r="I1599" s="170">
        <v>52.43</v>
      </c>
      <c r="J1599" s="76"/>
      <c r="K1599" s="76">
        <v>49.7</v>
      </c>
      <c r="L1599" s="72"/>
      <c r="M1599" s="134">
        <v>42948</v>
      </c>
      <c r="N1599" s="134">
        <v>45869</v>
      </c>
      <c r="O1599" s="101" t="s">
        <v>21</v>
      </c>
      <c r="P1599" s="101" t="s">
        <v>261</v>
      </c>
      <c r="Q1599" s="101" t="s">
        <v>1340</v>
      </c>
      <c r="R1599" s="72" t="s">
        <v>419</v>
      </c>
    </row>
    <row r="1600" spans="1:19" ht="18.75" customHeight="1" x14ac:dyDescent="0.2">
      <c r="A1600" s="79"/>
      <c r="B1600" s="79"/>
      <c r="C1600" s="80"/>
      <c r="D1600" s="66"/>
      <c r="E1600" s="86" t="s">
        <v>21</v>
      </c>
      <c r="F1600" s="66" t="s">
        <v>443</v>
      </c>
      <c r="G1600" s="66" t="s">
        <v>776</v>
      </c>
      <c r="H1600" s="74" t="s">
        <v>349</v>
      </c>
      <c r="I1600" s="172">
        <v>35.82</v>
      </c>
      <c r="J1600" s="84"/>
      <c r="K1600" s="91"/>
      <c r="L1600" s="66"/>
      <c r="M1600" s="66"/>
      <c r="N1600" s="66"/>
      <c r="R1600" s="72"/>
    </row>
    <row r="1601" spans="1:18" ht="18.75" customHeight="1" x14ac:dyDescent="0.2">
      <c r="A1601" s="79"/>
      <c r="B1601" s="79"/>
      <c r="C1601" s="80"/>
      <c r="D1601" s="66"/>
      <c r="E1601" s="86" t="s">
        <v>38</v>
      </c>
      <c r="F1601" s="66" t="s">
        <v>1623</v>
      </c>
      <c r="G1601" s="66" t="s">
        <v>935</v>
      </c>
      <c r="H1601" s="74" t="s">
        <v>349</v>
      </c>
      <c r="I1601" s="172">
        <v>11.75</v>
      </c>
      <c r="J1601" s="84"/>
      <c r="K1601" s="91"/>
      <c r="L1601" s="66"/>
      <c r="M1601" s="66"/>
      <c r="N1601" s="66"/>
      <c r="R1601" s="72"/>
    </row>
    <row r="1602" spans="1:18" ht="18.75" customHeight="1" x14ac:dyDescent="0.2">
      <c r="A1602" s="79"/>
      <c r="B1602" s="79"/>
      <c r="C1602" s="80"/>
      <c r="D1602" s="66"/>
      <c r="E1602" s="86"/>
      <c r="F1602" s="66"/>
      <c r="G1602" s="66"/>
      <c r="H1602" s="74"/>
      <c r="I1602" s="172"/>
      <c r="J1602" s="84"/>
      <c r="K1602" s="91"/>
      <c r="L1602" s="66"/>
      <c r="M1602" s="66"/>
      <c r="N1602" s="66"/>
      <c r="R1602" s="72"/>
    </row>
    <row r="1603" spans="1:18" ht="18.75" customHeight="1" x14ac:dyDescent="0.2">
      <c r="A1603" s="70">
        <v>42813</v>
      </c>
      <c r="B1603" s="70">
        <v>42827</v>
      </c>
      <c r="C1603" s="71" t="s">
        <v>1624</v>
      </c>
      <c r="D1603" s="72" t="s">
        <v>895</v>
      </c>
      <c r="E1603" s="145" t="s">
        <v>21</v>
      </c>
      <c r="F1603" s="72" t="s">
        <v>1303</v>
      </c>
      <c r="G1603" s="72" t="s">
        <v>1304</v>
      </c>
      <c r="H1603" s="74" t="s">
        <v>349</v>
      </c>
      <c r="I1603" s="170">
        <v>87.6</v>
      </c>
      <c r="J1603" s="76"/>
      <c r="K1603" s="76">
        <v>43.08</v>
      </c>
      <c r="L1603" s="72"/>
      <c r="M1603" s="134">
        <v>43009</v>
      </c>
      <c r="N1603" s="134">
        <v>45930</v>
      </c>
      <c r="O1603" s="101" t="s">
        <v>21</v>
      </c>
      <c r="P1603" s="101" t="s">
        <v>1303</v>
      </c>
      <c r="Q1603" s="101" t="s">
        <v>1304</v>
      </c>
      <c r="R1603" s="72" t="s">
        <v>349</v>
      </c>
    </row>
    <row r="1604" spans="1:18" ht="18.75" customHeight="1" x14ac:dyDescent="0.2">
      <c r="A1604" s="79"/>
      <c r="B1604" s="79"/>
      <c r="C1604" s="80"/>
      <c r="D1604" s="66"/>
      <c r="E1604" s="86" t="s">
        <v>34</v>
      </c>
      <c r="F1604" s="66" t="s">
        <v>1625</v>
      </c>
      <c r="G1604" s="66" t="s">
        <v>358</v>
      </c>
      <c r="H1604" s="74" t="s">
        <v>349</v>
      </c>
      <c r="I1604" s="172">
        <v>7.3</v>
      </c>
      <c r="J1604" s="84"/>
      <c r="K1604" s="76"/>
      <c r="L1604" s="66"/>
      <c r="M1604" s="66"/>
      <c r="N1604" s="66"/>
      <c r="R1604" s="72"/>
    </row>
    <row r="1605" spans="1:18" ht="18.75" customHeight="1" x14ac:dyDescent="0.2">
      <c r="A1605" s="79"/>
      <c r="B1605" s="79"/>
      <c r="C1605" s="80"/>
      <c r="D1605" s="66"/>
      <c r="E1605" s="86" t="s">
        <v>1626</v>
      </c>
      <c r="F1605" s="66" t="s">
        <v>1306</v>
      </c>
      <c r="G1605" s="66" t="s">
        <v>861</v>
      </c>
      <c r="H1605" s="74" t="s">
        <v>349</v>
      </c>
      <c r="I1605" s="172">
        <v>5.0999999999999996</v>
      </c>
      <c r="J1605" s="84"/>
      <c r="K1605" s="76"/>
      <c r="L1605" s="66"/>
      <c r="M1605" s="66"/>
      <c r="N1605" s="66"/>
      <c r="R1605" s="72"/>
    </row>
    <row r="1606" spans="1:18" ht="18.75" customHeight="1" x14ac:dyDescent="0.2">
      <c r="A1606" s="79"/>
      <c r="B1606" s="79"/>
      <c r="C1606" s="80"/>
      <c r="D1606" s="66"/>
      <c r="E1606" s="86"/>
      <c r="F1606" s="66"/>
      <c r="G1606" s="66"/>
      <c r="H1606" s="74"/>
      <c r="I1606" s="172"/>
      <c r="J1606" s="84"/>
      <c r="K1606" s="76"/>
      <c r="L1606" s="66"/>
      <c r="M1606" s="66"/>
      <c r="N1606" s="66"/>
      <c r="R1606" s="72"/>
    </row>
    <row r="1607" spans="1:18" ht="18.75" customHeight="1" x14ac:dyDescent="0.2">
      <c r="A1607" s="70">
        <v>42862</v>
      </c>
      <c r="B1607" s="70">
        <v>42876</v>
      </c>
      <c r="C1607" s="71" t="s">
        <v>1627</v>
      </c>
      <c r="D1607" s="72" t="s">
        <v>1628</v>
      </c>
      <c r="E1607" s="145" t="s">
        <v>21</v>
      </c>
      <c r="F1607" s="72" t="s">
        <v>1629</v>
      </c>
      <c r="G1607" s="72" t="s">
        <v>1188</v>
      </c>
      <c r="H1607" s="74" t="s">
        <v>349</v>
      </c>
      <c r="I1607" s="170">
        <v>60.9</v>
      </c>
      <c r="J1607" s="76"/>
      <c r="K1607" s="76">
        <v>35.94</v>
      </c>
      <c r="L1607" s="72"/>
      <c r="M1607" s="134">
        <v>43101</v>
      </c>
      <c r="N1607" s="134">
        <v>46022</v>
      </c>
      <c r="O1607" s="101" t="s">
        <v>21</v>
      </c>
      <c r="P1607" s="101" t="s">
        <v>955</v>
      </c>
      <c r="Q1607" s="101" t="s">
        <v>477</v>
      </c>
      <c r="R1607" s="72" t="s">
        <v>349</v>
      </c>
    </row>
    <row r="1608" spans="1:18" ht="18.75" customHeight="1" x14ac:dyDescent="0.2">
      <c r="A1608" s="79"/>
      <c r="B1608" s="79"/>
      <c r="C1608" s="80"/>
      <c r="D1608" s="66"/>
      <c r="E1608" s="86" t="s">
        <v>19</v>
      </c>
      <c r="F1608" s="66" t="s">
        <v>1630</v>
      </c>
      <c r="G1608" s="66" t="s">
        <v>915</v>
      </c>
      <c r="H1608" s="74" t="s">
        <v>349</v>
      </c>
      <c r="I1608" s="172">
        <v>39.1</v>
      </c>
      <c r="J1608" s="84"/>
      <c r="K1608" s="76"/>
      <c r="L1608" s="66"/>
      <c r="M1608" s="66"/>
      <c r="N1608" s="66"/>
      <c r="R1608" s="72"/>
    </row>
    <row r="1609" spans="1:18" ht="18.75" customHeight="1" x14ac:dyDescent="0.2">
      <c r="A1609" s="79"/>
      <c r="B1609" s="79"/>
      <c r="C1609" s="80"/>
      <c r="D1609" s="66"/>
      <c r="E1609" s="86"/>
      <c r="F1609" s="66"/>
      <c r="G1609" s="66"/>
      <c r="H1609" s="74"/>
      <c r="I1609" s="172"/>
      <c r="J1609" s="84"/>
      <c r="K1609" s="76"/>
      <c r="L1609" s="66"/>
      <c r="M1609" s="66"/>
      <c r="N1609" s="66"/>
      <c r="R1609" s="72"/>
    </row>
    <row r="1610" spans="1:18" ht="18.75" customHeight="1" x14ac:dyDescent="0.2">
      <c r="A1610" s="70">
        <v>42862</v>
      </c>
      <c r="B1610" s="70">
        <v>42876</v>
      </c>
      <c r="C1610" s="71" t="s">
        <v>1631</v>
      </c>
      <c r="D1610" s="72" t="s">
        <v>904</v>
      </c>
      <c r="E1610" s="145" t="s">
        <v>533</v>
      </c>
      <c r="F1610" s="72" t="s">
        <v>533</v>
      </c>
      <c r="G1610" s="72" t="s">
        <v>1311</v>
      </c>
      <c r="H1610" s="74" t="s">
        <v>349</v>
      </c>
      <c r="I1610" s="170">
        <v>88.86</v>
      </c>
      <c r="J1610" s="76"/>
      <c r="K1610" s="76">
        <v>31.86</v>
      </c>
      <c r="L1610" s="72"/>
      <c r="M1610" s="134">
        <v>42948</v>
      </c>
      <c r="N1610" s="134">
        <v>45869</v>
      </c>
      <c r="O1610" s="101" t="s">
        <v>533</v>
      </c>
      <c r="P1610" s="101" t="s">
        <v>533</v>
      </c>
      <c r="Q1610" s="101" t="s">
        <v>1311</v>
      </c>
      <c r="R1610" s="72" t="s">
        <v>349</v>
      </c>
    </row>
    <row r="1611" spans="1:18" ht="18.75" customHeight="1" x14ac:dyDescent="0.2">
      <c r="A1611" s="79"/>
      <c r="B1611" s="79"/>
      <c r="C1611" s="80"/>
      <c r="D1611" s="66"/>
      <c r="E1611" s="86"/>
      <c r="F1611" s="66"/>
      <c r="G1611" s="66"/>
      <c r="H1611" s="74"/>
      <c r="I1611" s="172"/>
      <c r="J1611" s="84"/>
      <c r="K1611" s="76"/>
      <c r="L1611" s="66"/>
      <c r="M1611" s="66"/>
      <c r="N1611" s="66"/>
      <c r="R1611" s="72"/>
    </row>
    <row r="1612" spans="1:18" ht="18.75" customHeight="1" x14ac:dyDescent="0.2">
      <c r="A1612" s="70">
        <v>42862</v>
      </c>
      <c r="B1612" s="70">
        <v>42876</v>
      </c>
      <c r="C1612" s="71" t="s">
        <v>1632</v>
      </c>
      <c r="D1612" s="72" t="s">
        <v>983</v>
      </c>
      <c r="E1612" s="145" t="s">
        <v>19</v>
      </c>
      <c r="F1612" s="72" t="s">
        <v>1633</v>
      </c>
      <c r="G1612" s="72" t="s">
        <v>1634</v>
      </c>
      <c r="H1612" s="74" t="s">
        <v>349</v>
      </c>
      <c r="I1612" s="170">
        <v>59.88</v>
      </c>
      <c r="J1612" s="76"/>
      <c r="K1612" s="76">
        <v>41.31</v>
      </c>
      <c r="L1612" s="72"/>
      <c r="M1612" s="134">
        <v>43101</v>
      </c>
      <c r="N1612" s="134">
        <v>46022</v>
      </c>
      <c r="O1612" s="101" t="s">
        <v>19</v>
      </c>
      <c r="P1612" s="101" t="s">
        <v>984</v>
      </c>
      <c r="Q1612" s="101" t="s">
        <v>985</v>
      </c>
      <c r="R1612" s="72" t="s">
        <v>349</v>
      </c>
    </row>
    <row r="1613" spans="1:18" ht="18.75" customHeight="1" x14ac:dyDescent="0.2">
      <c r="A1613" s="79"/>
      <c r="B1613" s="79"/>
      <c r="C1613" s="80"/>
      <c r="D1613" s="66"/>
      <c r="E1613" s="86" t="s">
        <v>1635</v>
      </c>
      <c r="F1613" s="66" t="s">
        <v>1635</v>
      </c>
      <c r="G1613" s="66" t="s">
        <v>591</v>
      </c>
      <c r="H1613" s="74" t="s">
        <v>349</v>
      </c>
      <c r="I1613" s="172">
        <v>36.18</v>
      </c>
      <c r="J1613" s="84"/>
      <c r="K1613" s="76"/>
      <c r="L1613" s="66"/>
      <c r="M1613" s="66"/>
      <c r="N1613" s="66"/>
      <c r="R1613" s="72"/>
    </row>
    <row r="1614" spans="1:18" ht="18.75" customHeight="1" x14ac:dyDescent="0.2">
      <c r="A1614" s="79"/>
      <c r="B1614" s="79"/>
      <c r="C1614" s="80"/>
      <c r="D1614" s="66"/>
      <c r="E1614" s="86" t="s">
        <v>210</v>
      </c>
      <c r="F1614" s="66" t="s">
        <v>1636</v>
      </c>
      <c r="G1614" s="66" t="s">
        <v>1637</v>
      </c>
      <c r="H1614" s="74" t="s">
        <v>349</v>
      </c>
      <c r="I1614" s="172">
        <v>3.94</v>
      </c>
      <c r="J1614" s="84"/>
      <c r="K1614" s="76"/>
      <c r="L1614" s="66"/>
      <c r="M1614" s="66"/>
      <c r="N1614" s="66"/>
      <c r="R1614" s="72"/>
    </row>
    <row r="1615" spans="1:18" ht="18.75" customHeight="1" x14ac:dyDescent="0.2">
      <c r="A1615" s="79"/>
      <c r="B1615" s="79"/>
      <c r="C1615" s="80"/>
      <c r="D1615" s="66"/>
      <c r="E1615" s="86"/>
      <c r="F1615" s="66"/>
      <c r="G1615" s="66"/>
      <c r="H1615" s="74"/>
      <c r="I1615" s="172"/>
      <c r="J1615" s="84"/>
      <c r="K1615" s="76"/>
      <c r="L1615" s="66"/>
      <c r="M1615" s="66"/>
      <c r="N1615" s="66"/>
      <c r="R1615" s="72"/>
    </row>
    <row r="1616" spans="1:18" ht="18.75" customHeight="1" x14ac:dyDescent="0.2">
      <c r="A1616" s="70">
        <v>42862</v>
      </c>
      <c r="B1616" s="70">
        <v>42876</v>
      </c>
      <c r="C1616" s="71" t="s">
        <v>1638</v>
      </c>
      <c r="D1616" s="72" t="s">
        <v>988</v>
      </c>
      <c r="E1616" s="145" t="s">
        <v>19</v>
      </c>
      <c r="F1616" s="72" t="s">
        <v>1313</v>
      </c>
      <c r="G1616" s="72" t="s">
        <v>358</v>
      </c>
      <c r="H1616" s="74" t="s">
        <v>349</v>
      </c>
      <c r="I1616" s="170">
        <v>88.3</v>
      </c>
      <c r="J1616" s="76"/>
      <c r="K1616" s="76">
        <v>39.049999999999997</v>
      </c>
      <c r="L1616" s="72"/>
      <c r="M1616" s="134">
        <v>43101</v>
      </c>
      <c r="N1616" s="134">
        <v>46022</v>
      </c>
      <c r="O1616" s="101" t="s">
        <v>19</v>
      </c>
      <c r="P1616" s="101" t="s">
        <v>1313</v>
      </c>
      <c r="Q1616" s="101" t="s">
        <v>358</v>
      </c>
      <c r="R1616" s="72" t="s">
        <v>349</v>
      </c>
    </row>
    <row r="1617" spans="1:23" ht="18.75" customHeight="1" x14ac:dyDescent="0.2">
      <c r="A1617" s="79"/>
      <c r="B1617" s="79"/>
      <c r="C1617" s="80"/>
      <c r="D1617" s="66"/>
      <c r="E1617" s="86"/>
      <c r="F1617" s="66"/>
      <c r="G1617" s="66"/>
      <c r="H1617" s="74"/>
      <c r="I1617" s="172"/>
      <c r="J1617" s="84"/>
      <c r="K1617" s="76"/>
      <c r="L1617" s="66"/>
      <c r="M1617" s="66"/>
      <c r="N1617" s="66"/>
      <c r="R1617" s="72"/>
    </row>
    <row r="1618" spans="1:23" ht="18.75" customHeight="1" x14ac:dyDescent="0.2">
      <c r="A1618" s="70">
        <v>42862</v>
      </c>
      <c r="B1618" s="70">
        <v>42876</v>
      </c>
      <c r="C1618" s="71" t="s">
        <v>1639</v>
      </c>
      <c r="D1618" s="72" t="s">
        <v>1640</v>
      </c>
      <c r="E1618" s="145" t="s">
        <v>19</v>
      </c>
      <c r="F1618" s="72" t="s">
        <v>824</v>
      </c>
      <c r="G1618" s="72" t="s">
        <v>776</v>
      </c>
      <c r="H1618" s="74" t="s">
        <v>349</v>
      </c>
      <c r="I1618" s="170">
        <v>43.12</v>
      </c>
      <c r="J1618" s="173">
        <v>52.34</v>
      </c>
      <c r="K1618" s="76">
        <v>47.74</v>
      </c>
      <c r="L1618" s="76">
        <v>41.94</v>
      </c>
      <c r="M1618" s="134">
        <v>43101</v>
      </c>
      <c r="N1618" s="134">
        <v>46022</v>
      </c>
      <c r="O1618" s="101"/>
      <c r="P1618" s="101"/>
      <c r="Q1618" s="101"/>
      <c r="R1618" s="72"/>
      <c r="S1618" s="72" t="s">
        <v>1641</v>
      </c>
      <c r="T1618" s="101"/>
      <c r="U1618" s="101"/>
      <c r="V1618" s="101"/>
      <c r="W1618" s="101"/>
    </row>
    <row r="1619" spans="1:23" ht="18.75" customHeight="1" x14ac:dyDescent="0.2">
      <c r="A1619" s="79"/>
      <c r="B1619" s="79"/>
      <c r="C1619" s="80"/>
      <c r="D1619" s="66"/>
      <c r="E1619" s="86" t="s">
        <v>21</v>
      </c>
      <c r="F1619" s="66" t="s">
        <v>1384</v>
      </c>
      <c r="G1619" s="66" t="s">
        <v>792</v>
      </c>
      <c r="H1619" s="74" t="s">
        <v>349</v>
      </c>
      <c r="I1619" s="172">
        <v>46.89</v>
      </c>
      <c r="J1619" s="174">
        <v>47.66</v>
      </c>
      <c r="K1619" s="76"/>
      <c r="L1619" s="66"/>
      <c r="M1619" s="66"/>
      <c r="N1619" s="66"/>
      <c r="R1619" s="72"/>
    </row>
    <row r="1620" spans="1:23" ht="18.75" customHeight="1" x14ac:dyDescent="0.2">
      <c r="A1620" s="79"/>
      <c r="B1620" s="79"/>
      <c r="C1620" s="80"/>
      <c r="D1620" s="66"/>
      <c r="E1620" s="86" t="s">
        <v>34</v>
      </c>
      <c r="F1620" s="66" t="s">
        <v>1403</v>
      </c>
      <c r="G1620" s="66" t="s">
        <v>1642</v>
      </c>
      <c r="H1620" s="74" t="s">
        <v>419</v>
      </c>
      <c r="I1620" s="172">
        <v>6.31</v>
      </c>
      <c r="J1620" s="84"/>
      <c r="K1620" s="76"/>
      <c r="L1620" s="66"/>
      <c r="M1620" s="66"/>
      <c r="N1620" s="66"/>
      <c r="R1620" s="72"/>
    </row>
    <row r="1621" spans="1:23" ht="18.75" customHeight="1" x14ac:dyDescent="0.2">
      <c r="A1621" s="79"/>
      <c r="B1621" s="79"/>
      <c r="C1621" s="80"/>
      <c r="D1621" s="66"/>
      <c r="E1621" s="86" t="s">
        <v>915</v>
      </c>
      <c r="F1621" s="66" t="s">
        <v>915</v>
      </c>
      <c r="G1621" s="66" t="s">
        <v>789</v>
      </c>
      <c r="H1621" s="74" t="s">
        <v>349</v>
      </c>
      <c r="I1621" s="172">
        <v>3.67</v>
      </c>
      <c r="J1621" s="84"/>
      <c r="K1621" s="76"/>
      <c r="L1621" s="66"/>
      <c r="M1621" s="66"/>
      <c r="N1621" s="66"/>
      <c r="R1621" s="72"/>
    </row>
    <row r="1622" spans="1:23" ht="18.75" customHeight="1" x14ac:dyDescent="0.2">
      <c r="A1622" s="79"/>
      <c r="B1622" s="79"/>
      <c r="C1622" s="80"/>
      <c r="D1622" s="66"/>
      <c r="E1622" s="86"/>
      <c r="F1622" s="66"/>
      <c r="G1622" s="66"/>
      <c r="H1622" s="74"/>
      <c r="I1622" s="172"/>
      <c r="J1622" s="84"/>
      <c r="K1622" s="76"/>
      <c r="L1622" s="66"/>
      <c r="M1622" s="66"/>
      <c r="N1622" s="66"/>
      <c r="R1622" s="72"/>
    </row>
    <row r="1623" spans="1:23" ht="18.75" customHeight="1" x14ac:dyDescent="0.2">
      <c r="A1623" s="70">
        <v>42869</v>
      </c>
      <c r="B1623" s="70">
        <v>42883</v>
      </c>
      <c r="C1623" s="71" t="s">
        <v>1643</v>
      </c>
      <c r="D1623" s="72" t="s">
        <v>916</v>
      </c>
      <c r="E1623" s="145" t="s">
        <v>918</v>
      </c>
      <c r="F1623" s="72" t="s">
        <v>918</v>
      </c>
      <c r="G1623" s="72" t="s">
        <v>516</v>
      </c>
      <c r="H1623" s="74" t="s">
        <v>349</v>
      </c>
      <c r="I1623" s="170">
        <v>63.44</v>
      </c>
      <c r="J1623" s="76"/>
      <c r="K1623" s="76">
        <v>52.74</v>
      </c>
      <c r="L1623" s="72"/>
      <c r="M1623" s="134">
        <v>43101</v>
      </c>
      <c r="N1623" s="134">
        <v>44926</v>
      </c>
      <c r="O1623" s="101" t="s">
        <v>918</v>
      </c>
      <c r="P1623" s="101" t="s">
        <v>918</v>
      </c>
      <c r="Q1623" s="101" t="s">
        <v>516</v>
      </c>
      <c r="R1623" s="72" t="s">
        <v>349</v>
      </c>
    </row>
    <row r="1624" spans="1:23" ht="18.75" customHeight="1" x14ac:dyDescent="0.2">
      <c r="A1624" s="79"/>
      <c r="B1624" s="79"/>
      <c r="C1624" s="80"/>
      <c r="D1624" s="66"/>
      <c r="E1624" s="86" t="s">
        <v>19</v>
      </c>
      <c r="F1624" s="66" t="s">
        <v>1037</v>
      </c>
      <c r="G1624" s="66" t="s">
        <v>1644</v>
      </c>
      <c r="H1624" s="74" t="s">
        <v>349</v>
      </c>
      <c r="I1624" s="172">
        <v>36.56</v>
      </c>
      <c r="J1624" s="84"/>
      <c r="K1624" s="76"/>
      <c r="L1624" s="66"/>
      <c r="M1624" s="66"/>
      <c r="N1624" s="66"/>
      <c r="R1624" s="72"/>
    </row>
    <row r="1625" spans="1:23" ht="18.75" customHeight="1" x14ac:dyDescent="0.2">
      <c r="A1625" s="79"/>
      <c r="B1625" s="79"/>
      <c r="C1625" s="80"/>
      <c r="D1625" s="66"/>
      <c r="E1625" s="86"/>
      <c r="F1625" s="66"/>
      <c r="G1625" s="66"/>
      <c r="H1625" s="74"/>
      <c r="I1625" s="172"/>
      <c r="J1625" s="84"/>
      <c r="K1625" s="76"/>
      <c r="L1625" s="66"/>
      <c r="M1625" s="66"/>
      <c r="N1625" s="66"/>
      <c r="R1625" s="72"/>
    </row>
    <row r="1626" spans="1:23" ht="18.75" customHeight="1" x14ac:dyDescent="0.2">
      <c r="A1626" s="70">
        <v>42869</v>
      </c>
      <c r="B1626" s="70">
        <v>42883</v>
      </c>
      <c r="C1626" s="71" t="s">
        <v>1645</v>
      </c>
      <c r="D1626" s="72" t="s">
        <v>1033</v>
      </c>
      <c r="E1626" s="145" t="s">
        <v>19</v>
      </c>
      <c r="F1626" s="72" t="s">
        <v>1646</v>
      </c>
      <c r="G1626" s="72" t="s">
        <v>1647</v>
      </c>
      <c r="H1626" s="74" t="s">
        <v>349</v>
      </c>
      <c r="I1626" s="170">
        <v>54.22</v>
      </c>
      <c r="J1626" s="76"/>
      <c r="K1626" s="76">
        <v>53.74</v>
      </c>
      <c r="L1626" s="72"/>
      <c r="M1626" s="134">
        <v>43101</v>
      </c>
      <c r="N1626" s="134">
        <v>46022</v>
      </c>
      <c r="O1626" s="101" t="s">
        <v>21</v>
      </c>
      <c r="P1626" s="101" t="s">
        <v>1034</v>
      </c>
      <c r="Q1626" s="101" t="s">
        <v>789</v>
      </c>
      <c r="R1626" s="72" t="s">
        <v>349</v>
      </c>
    </row>
    <row r="1627" spans="1:23" ht="18.75" customHeight="1" x14ac:dyDescent="0.2">
      <c r="A1627" s="79"/>
      <c r="B1627" s="79"/>
      <c r="C1627" s="80"/>
      <c r="D1627" s="66"/>
      <c r="E1627" s="86" t="s">
        <v>21</v>
      </c>
      <c r="F1627" s="66" t="s">
        <v>1034</v>
      </c>
      <c r="G1627" s="66" t="s">
        <v>789</v>
      </c>
      <c r="H1627" s="74" t="s">
        <v>349</v>
      </c>
      <c r="I1627" s="172">
        <v>45.78</v>
      </c>
      <c r="J1627" s="84"/>
      <c r="K1627" s="76"/>
      <c r="L1627" s="66"/>
      <c r="M1627" s="66"/>
      <c r="N1627" s="66"/>
      <c r="R1627" s="72"/>
    </row>
    <row r="1628" spans="1:23" ht="18.75" customHeight="1" x14ac:dyDescent="0.2">
      <c r="A1628" s="79"/>
      <c r="B1628" s="79"/>
      <c r="C1628" s="80"/>
      <c r="D1628" s="66"/>
      <c r="E1628" s="86"/>
      <c r="F1628" s="66"/>
      <c r="G1628" s="66"/>
      <c r="H1628" s="74"/>
      <c r="I1628" s="172"/>
      <c r="J1628" s="84"/>
      <c r="K1628" s="76"/>
      <c r="L1628" s="66"/>
      <c r="M1628" s="66"/>
      <c r="N1628" s="66"/>
      <c r="R1628" s="72"/>
    </row>
    <row r="1629" spans="1:23" ht="18.75" customHeight="1" x14ac:dyDescent="0.2">
      <c r="A1629" s="70">
        <v>42897</v>
      </c>
      <c r="B1629" s="70">
        <v>42911</v>
      </c>
      <c r="C1629" s="71" t="s">
        <v>1648</v>
      </c>
      <c r="D1629" s="72" t="s">
        <v>1649</v>
      </c>
      <c r="E1629" s="145" t="s">
        <v>19</v>
      </c>
      <c r="F1629" s="72" t="s">
        <v>1650</v>
      </c>
      <c r="G1629" s="72" t="s">
        <v>392</v>
      </c>
      <c r="H1629" s="74" t="s">
        <v>349</v>
      </c>
      <c r="I1629" s="170">
        <v>66.599999999999994</v>
      </c>
      <c r="J1629" s="76"/>
      <c r="K1629" s="76">
        <v>54.59</v>
      </c>
      <c r="L1629" s="76"/>
      <c r="M1629" s="134">
        <v>43101</v>
      </c>
      <c r="N1629" s="134">
        <v>46022</v>
      </c>
      <c r="O1629" s="101"/>
      <c r="P1629" s="101"/>
      <c r="Q1629" s="101"/>
      <c r="R1629" s="72"/>
      <c r="S1629" s="72" t="s">
        <v>1651</v>
      </c>
    </row>
    <row r="1630" spans="1:23" ht="18.75" customHeight="1" x14ac:dyDescent="0.2">
      <c r="A1630" s="79"/>
      <c r="B1630" s="79"/>
      <c r="C1630" s="80"/>
      <c r="D1630" s="66"/>
      <c r="E1630" s="86" t="s">
        <v>21</v>
      </c>
      <c r="F1630" s="66" t="s">
        <v>1652</v>
      </c>
      <c r="G1630" s="66" t="s">
        <v>871</v>
      </c>
      <c r="H1630" s="74" t="s">
        <v>349</v>
      </c>
      <c r="I1630" s="172">
        <v>33.4</v>
      </c>
      <c r="J1630" s="84"/>
      <c r="K1630" s="76"/>
      <c r="L1630" s="76"/>
      <c r="M1630" s="66"/>
      <c r="N1630" s="66"/>
      <c r="R1630" s="72"/>
    </row>
    <row r="1631" spans="1:23" ht="18.75" customHeight="1" x14ac:dyDescent="0.2">
      <c r="A1631" s="79"/>
      <c r="B1631" s="79"/>
      <c r="C1631" s="80"/>
      <c r="D1631" s="66"/>
      <c r="E1631" s="86"/>
      <c r="F1631" s="66"/>
      <c r="G1631" s="66"/>
      <c r="H1631" s="74"/>
      <c r="I1631" s="172"/>
      <c r="J1631" s="84"/>
      <c r="K1631" s="76"/>
      <c r="L1631" s="76"/>
      <c r="M1631" s="66"/>
      <c r="N1631" s="66"/>
      <c r="R1631" s="72"/>
    </row>
    <row r="1632" spans="1:23" ht="18.75" customHeight="1" x14ac:dyDescent="0.2">
      <c r="A1632" s="70">
        <v>42897</v>
      </c>
      <c r="B1632" s="70">
        <v>42911</v>
      </c>
      <c r="C1632" s="71" t="s">
        <v>1653</v>
      </c>
      <c r="D1632" s="72" t="s">
        <v>1047</v>
      </c>
      <c r="E1632" s="145" t="s">
        <v>1654</v>
      </c>
      <c r="F1632" s="72" t="s">
        <v>1655</v>
      </c>
      <c r="G1632" s="72" t="s">
        <v>1170</v>
      </c>
      <c r="H1632" s="74" t="s">
        <v>349</v>
      </c>
      <c r="I1632" s="170">
        <v>50.94</v>
      </c>
      <c r="J1632" s="76"/>
      <c r="K1632" s="76">
        <v>50.64</v>
      </c>
      <c r="L1632" s="76"/>
      <c r="M1632" s="134">
        <v>43101</v>
      </c>
      <c r="N1632" s="134">
        <v>46022</v>
      </c>
      <c r="O1632" s="101" t="s">
        <v>1654</v>
      </c>
      <c r="P1632" s="101" t="s">
        <v>406</v>
      </c>
      <c r="Q1632" s="101" t="s">
        <v>407</v>
      </c>
      <c r="R1632" s="72" t="s">
        <v>349</v>
      </c>
    </row>
    <row r="1633" spans="1:18" ht="18.75" customHeight="1" x14ac:dyDescent="0.2">
      <c r="A1633" s="79"/>
      <c r="B1633" s="79"/>
      <c r="C1633" s="80"/>
      <c r="D1633" s="66"/>
      <c r="E1633" s="86" t="s">
        <v>1656</v>
      </c>
      <c r="F1633" s="66" t="s">
        <v>1656</v>
      </c>
      <c r="G1633" s="66" t="s">
        <v>591</v>
      </c>
      <c r="H1633" s="74" t="s">
        <v>349</v>
      </c>
      <c r="I1633" s="172">
        <v>26.98</v>
      </c>
      <c r="J1633" s="174"/>
      <c r="K1633" s="76"/>
      <c r="L1633" s="76"/>
      <c r="M1633" s="66"/>
      <c r="N1633" s="66"/>
      <c r="R1633" s="72"/>
    </row>
    <row r="1634" spans="1:18" ht="18.75" customHeight="1" x14ac:dyDescent="0.2">
      <c r="A1634" s="79"/>
      <c r="B1634" s="79"/>
      <c r="C1634" s="80"/>
      <c r="D1634" s="66"/>
      <c r="E1634" s="86" t="s">
        <v>21</v>
      </c>
      <c r="F1634" s="66" t="s">
        <v>1338</v>
      </c>
      <c r="G1634" s="66" t="s">
        <v>476</v>
      </c>
      <c r="H1634" s="74" t="s">
        <v>349</v>
      </c>
      <c r="I1634" s="172">
        <v>22.08</v>
      </c>
      <c r="J1634" s="174"/>
      <c r="K1634" s="76"/>
      <c r="L1634" s="76"/>
      <c r="M1634" s="66"/>
      <c r="N1634" s="66"/>
      <c r="R1634" s="72"/>
    </row>
    <row r="1635" spans="1:18" ht="18.75" customHeight="1" x14ac:dyDescent="0.2">
      <c r="A1635" s="79"/>
      <c r="B1635" s="79"/>
      <c r="C1635" s="80"/>
      <c r="D1635" s="66"/>
      <c r="E1635" s="86"/>
      <c r="F1635" s="66"/>
      <c r="G1635" s="66"/>
      <c r="H1635" s="74"/>
      <c r="I1635" s="172"/>
      <c r="J1635" s="174"/>
      <c r="K1635" s="76"/>
      <c r="L1635" s="76"/>
      <c r="M1635" s="66"/>
      <c r="N1635" s="66"/>
      <c r="R1635" s="72"/>
    </row>
    <row r="1636" spans="1:18" ht="18.75" customHeight="1" x14ac:dyDescent="0.2">
      <c r="A1636" s="70">
        <v>42897</v>
      </c>
      <c r="B1636" s="70">
        <v>42911</v>
      </c>
      <c r="C1636" s="71" t="s">
        <v>1657</v>
      </c>
      <c r="D1636" s="72" t="s">
        <v>920</v>
      </c>
      <c r="E1636" s="145" t="s">
        <v>19</v>
      </c>
      <c r="F1636" s="72" t="s">
        <v>1345</v>
      </c>
      <c r="G1636" s="72" t="s">
        <v>1346</v>
      </c>
      <c r="H1636" s="74" t="s">
        <v>349</v>
      </c>
      <c r="I1636" s="170">
        <v>51.3</v>
      </c>
      <c r="J1636" s="174"/>
      <c r="K1636" s="76">
        <v>51.3</v>
      </c>
      <c r="L1636" s="76"/>
      <c r="M1636" s="134">
        <v>43101</v>
      </c>
      <c r="N1636" s="134">
        <v>46022</v>
      </c>
      <c r="O1636" s="101" t="s">
        <v>921</v>
      </c>
      <c r="P1636" s="101" t="s">
        <v>921</v>
      </c>
      <c r="Q1636" s="101" t="s">
        <v>516</v>
      </c>
      <c r="R1636" s="72" t="s">
        <v>349</v>
      </c>
    </row>
    <row r="1637" spans="1:18" ht="18.75" customHeight="1" x14ac:dyDescent="0.2">
      <c r="A1637" s="79"/>
      <c r="B1637" s="79"/>
      <c r="C1637" s="80"/>
      <c r="D1637" s="66"/>
      <c r="E1637" s="86" t="s">
        <v>21</v>
      </c>
      <c r="F1637" s="66" t="s">
        <v>847</v>
      </c>
      <c r="G1637" s="66" t="s">
        <v>1658</v>
      </c>
      <c r="H1637" s="74" t="s">
        <v>349</v>
      </c>
      <c r="I1637" s="172">
        <v>44.16</v>
      </c>
      <c r="J1637" s="174"/>
      <c r="K1637" s="76"/>
      <c r="L1637" s="76"/>
      <c r="M1637" s="66"/>
      <c r="N1637" s="66"/>
      <c r="R1637" s="72"/>
    </row>
    <row r="1638" spans="1:18" ht="18.75" customHeight="1" x14ac:dyDescent="0.2">
      <c r="A1638" s="79"/>
      <c r="B1638" s="79"/>
      <c r="C1638" s="80"/>
      <c r="D1638" s="66"/>
      <c r="E1638" s="86" t="s">
        <v>1659</v>
      </c>
      <c r="F1638" s="66" t="s">
        <v>1660</v>
      </c>
      <c r="G1638" s="66" t="s">
        <v>1472</v>
      </c>
      <c r="H1638" s="74" t="s">
        <v>349</v>
      </c>
      <c r="I1638" s="172">
        <v>4.54</v>
      </c>
      <c r="J1638" s="174"/>
      <c r="K1638" s="76"/>
      <c r="L1638" s="76"/>
      <c r="M1638" s="66"/>
      <c r="N1638" s="66"/>
      <c r="R1638" s="72"/>
    </row>
    <row r="1639" spans="1:18" ht="18.75" customHeight="1" x14ac:dyDescent="0.2">
      <c r="A1639" s="79"/>
      <c r="B1639" s="79"/>
      <c r="C1639" s="80"/>
      <c r="D1639" s="66"/>
      <c r="E1639" s="86"/>
      <c r="F1639" s="66"/>
      <c r="G1639" s="66"/>
      <c r="H1639" s="74"/>
      <c r="I1639" s="172"/>
      <c r="J1639" s="174"/>
      <c r="K1639" s="76"/>
      <c r="L1639" s="76"/>
      <c r="M1639" s="66"/>
      <c r="N1639" s="66"/>
      <c r="R1639" s="72"/>
    </row>
    <row r="1640" spans="1:18" ht="18.75" customHeight="1" x14ac:dyDescent="0.2">
      <c r="A1640" s="70">
        <v>43002</v>
      </c>
      <c r="B1640" s="70">
        <v>43023</v>
      </c>
      <c r="C1640" s="71" t="s">
        <v>1661</v>
      </c>
      <c r="D1640" s="72" t="s">
        <v>201</v>
      </c>
      <c r="E1640" s="145" t="s">
        <v>1662</v>
      </c>
      <c r="F1640" s="72" t="s">
        <v>1662</v>
      </c>
      <c r="G1640" s="72" t="s">
        <v>700</v>
      </c>
      <c r="H1640" s="74" t="s">
        <v>349</v>
      </c>
      <c r="I1640" s="170">
        <v>31.87</v>
      </c>
      <c r="J1640" s="173">
        <v>65.42</v>
      </c>
      <c r="K1640" s="76">
        <v>71.72</v>
      </c>
      <c r="L1640" s="76">
        <v>41.23</v>
      </c>
      <c r="M1640" s="134">
        <v>43101</v>
      </c>
      <c r="N1640" s="134">
        <v>46022</v>
      </c>
      <c r="O1640" s="101" t="s">
        <v>753</v>
      </c>
      <c r="P1640" s="101" t="s">
        <v>753</v>
      </c>
      <c r="Q1640" s="101" t="s">
        <v>1295</v>
      </c>
      <c r="R1640" s="72" t="s">
        <v>349</v>
      </c>
    </row>
    <row r="1641" spans="1:18" ht="18.75" customHeight="1" x14ac:dyDescent="0.2">
      <c r="A1641" s="79"/>
      <c r="B1641" s="79"/>
      <c r="C1641" s="80"/>
      <c r="D1641" s="66"/>
      <c r="E1641" s="86" t="s">
        <v>19</v>
      </c>
      <c r="F1641" s="66" t="s">
        <v>1663</v>
      </c>
      <c r="G1641" s="66" t="s">
        <v>1400</v>
      </c>
      <c r="H1641" s="74" t="s">
        <v>349</v>
      </c>
      <c r="I1641" s="172">
        <v>23.62</v>
      </c>
      <c r="J1641" s="174">
        <v>34.58</v>
      </c>
      <c r="K1641" s="76"/>
      <c r="L1641" s="76"/>
      <c r="M1641" s="66"/>
      <c r="N1641" s="66"/>
      <c r="R1641" s="72"/>
    </row>
    <row r="1642" spans="1:18" ht="18.75" customHeight="1" x14ac:dyDescent="0.2">
      <c r="A1642" s="79"/>
      <c r="B1642" s="79"/>
      <c r="C1642" s="80"/>
      <c r="D1642" s="66"/>
      <c r="E1642" s="86" t="s">
        <v>1664</v>
      </c>
      <c r="F1642" s="66" t="s">
        <v>1664</v>
      </c>
      <c r="G1642" s="66" t="s">
        <v>971</v>
      </c>
      <c r="H1642" s="74" t="s">
        <v>349</v>
      </c>
      <c r="I1642" s="172">
        <v>22.31</v>
      </c>
      <c r="J1642" s="174"/>
      <c r="K1642" s="76"/>
      <c r="L1642" s="76"/>
      <c r="M1642" s="66"/>
      <c r="N1642" s="66"/>
      <c r="R1642" s="72"/>
    </row>
    <row r="1643" spans="1:18" ht="18.75" customHeight="1" x14ac:dyDescent="0.2">
      <c r="A1643" s="79"/>
      <c r="B1643" s="79"/>
      <c r="C1643" s="80"/>
      <c r="D1643" s="66"/>
      <c r="E1643" s="86" t="s">
        <v>21</v>
      </c>
      <c r="F1643" s="66" t="s">
        <v>1665</v>
      </c>
      <c r="G1643" s="66" t="s">
        <v>444</v>
      </c>
      <c r="H1643" s="74" t="s">
        <v>349</v>
      </c>
      <c r="I1643" s="172">
        <v>22.19</v>
      </c>
      <c r="J1643" s="174"/>
      <c r="K1643" s="76"/>
      <c r="L1643" s="76"/>
      <c r="M1643" s="66"/>
      <c r="N1643" s="66"/>
      <c r="R1643" s="72"/>
    </row>
    <row r="1644" spans="1:18" ht="18.75" customHeight="1" x14ac:dyDescent="0.2">
      <c r="A1644" s="79"/>
      <c r="B1644" s="79"/>
      <c r="C1644" s="80"/>
      <c r="D1644" s="66"/>
      <c r="E1644" s="86"/>
      <c r="F1644" s="66"/>
      <c r="G1644" s="66"/>
      <c r="H1644" s="74"/>
      <c r="I1644" s="172"/>
      <c r="J1644" s="174"/>
      <c r="K1644" s="76"/>
      <c r="L1644" s="76"/>
      <c r="M1644" s="66"/>
      <c r="N1644" s="66"/>
      <c r="R1644" s="72"/>
    </row>
    <row r="1645" spans="1:18" ht="18.75" customHeight="1" x14ac:dyDescent="0.2">
      <c r="A1645" s="70">
        <v>43002</v>
      </c>
      <c r="B1645" s="70">
        <v>43023</v>
      </c>
      <c r="C1645" s="71" t="s">
        <v>1666</v>
      </c>
      <c r="D1645" s="72" t="s">
        <v>961</v>
      </c>
      <c r="E1645" s="145" t="s">
        <v>1667</v>
      </c>
      <c r="F1645" s="72" t="s">
        <v>1667</v>
      </c>
      <c r="G1645" s="72" t="s">
        <v>565</v>
      </c>
      <c r="H1645" s="74" t="s">
        <v>349</v>
      </c>
      <c r="I1645" s="170">
        <v>48.3</v>
      </c>
      <c r="J1645" s="173">
        <v>79.77</v>
      </c>
      <c r="K1645" s="76">
        <v>71.52</v>
      </c>
      <c r="L1645" s="76">
        <v>43.53</v>
      </c>
      <c r="M1645" s="134">
        <v>43101</v>
      </c>
      <c r="N1645" s="134">
        <v>46022</v>
      </c>
      <c r="O1645" s="101" t="s">
        <v>962</v>
      </c>
      <c r="P1645" s="101" t="s">
        <v>962</v>
      </c>
      <c r="Q1645" s="101" t="s">
        <v>570</v>
      </c>
      <c r="R1645" s="72" t="s">
        <v>349</v>
      </c>
    </row>
    <row r="1646" spans="1:18" ht="18.75" customHeight="1" x14ac:dyDescent="0.2">
      <c r="A1646" s="79"/>
      <c r="B1646" s="79"/>
      <c r="C1646" s="80"/>
      <c r="D1646" s="66"/>
      <c r="E1646" s="86" t="s">
        <v>955</v>
      </c>
      <c r="F1646" s="66" t="s">
        <v>955</v>
      </c>
      <c r="G1646" s="66" t="s">
        <v>1668</v>
      </c>
      <c r="H1646" s="74" t="s">
        <v>419</v>
      </c>
      <c r="I1646" s="172">
        <v>19.079999999999998</v>
      </c>
      <c r="J1646" s="174">
        <v>20.23</v>
      </c>
      <c r="K1646" s="76"/>
      <c r="L1646" s="76"/>
      <c r="M1646" s="66"/>
      <c r="N1646" s="66"/>
      <c r="R1646" s="72"/>
    </row>
    <row r="1647" spans="1:18" ht="18.75" customHeight="1" x14ac:dyDescent="0.2">
      <c r="A1647" s="79"/>
      <c r="B1647" s="79"/>
      <c r="C1647" s="80"/>
      <c r="D1647" s="66"/>
      <c r="E1647" s="86" t="s">
        <v>1669</v>
      </c>
      <c r="F1647" s="66" t="s">
        <v>1669</v>
      </c>
      <c r="G1647" s="66" t="s">
        <v>702</v>
      </c>
      <c r="H1647" s="74" t="s">
        <v>349</v>
      </c>
      <c r="I1647" s="172">
        <v>18.079999999999998</v>
      </c>
      <c r="J1647" s="174"/>
      <c r="K1647" s="76"/>
      <c r="L1647" s="76"/>
      <c r="M1647" s="66"/>
      <c r="N1647" s="66"/>
      <c r="R1647" s="72"/>
    </row>
    <row r="1648" spans="1:18" ht="18.75" customHeight="1" x14ac:dyDescent="0.2">
      <c r="A1648" s="79"/>
      <c r="B1648" s="79"/>
      <c r="C1648" s="80"/>
      <c r="D1648" s="66"/>
      <c r="E1648" s="86" t="s">
        <v>1670</v>
      </c>
      <c r="F1648" s="66" t="s">
        <v>1670</v>
      </c>
      <c r="G1648" s="66" t="s">
        <v>1671</v>
      </c>
      <c r="H1648" s="74" t="s">
        <v>349</v>
      </c>
      <c r="I1648" s="172">
        <v>14.54</v>
      </c>
      <c r="J1648" s="174"/>
      <c r="K1648" s="76"/>
      <c r="L1648" s="76"/>
      <c r="M1648" s="66"/>
      <c r="N1648" s="66"/>
      <c r="R1648" s="72"/>
    </row>
    <row r="1649" spans="1:18" ht="18.75" customHeight="1" x14ac:dyDescent="0.2">
      <c r="A1649" s="79"/>
      <c r="B1649" s="79"/>
      <c r="C1649" s="80"/>
      <c r="D1649" s="66"/>
      <c r="E1649" s="86"/>
      <c r="F1649" s="66"/>
      <c r="G1649" s="66"/>
      <c r="H1649" s="74"/>
      <c r="I1649" s="172"/>
      <c r="J1649" s="174"/>
      <c r="K1649" s="76"/>
      <c r="L1649" s="76"/>
      <c r="M1649" s="66"/>
      <c r="N1649" s="66"/>
      <c r="R1649" s="72"/>
    </row>
    <row r="1650" spans="1:18" ht="18.75" customHeight="1" x14ac:dyDescent="0.2">
      <c r="A1650" s="70">
        <v>43002</v>
      </c>
      <c r="B1650" s="70">
        <v>43023</v>
      </c>
      <c r="C1650" s="71" t="s">
        <v>1672</v>
      </c>
      <c r="D1650" s="72" t="s">
        <v>966</v>
      </c>
      <c r="E1650" s="145" t="s">
        <v>19</v>
      </c>
      <c r="F1650" s="72" t="s">
        <v>1673</v>
      </c>
      <c r="G1650" s="72" t="s">
        <v>1674</v>
      </c>
      <c r="H1650" s="74" t="s">
        <v>349</v>
      </c>
      <c r="I1650" s="170">
        <v>54.52</v>
      </c>
      <c r="J1650" s="173"/>
      <c r="K1650" s="76">
        <v>76.2</v>
      </c>
      <c r="L1650" s="76"/>
      <c r="M1650" s="134">
        <v>43101</v>
      </c>
      <c r="N1650" s="134">
        <v>44236</v>
      </c>
      <c r="O1650" s="101" t="s">
        <v>1296</v>
      </c>
      <c r="P1650" s="101" t="s">
        <v>1296</v>
      </c>
      <c r="Q1650" s="101" t="s">
        <v>1228</v>
      </c>
      <c r="R1650" s="72" t="s">
        <v>349</v>
      </c>
    </row>
    <row r="1651" spans="1:18" ht="18.75" customHeight="1" x14ac:dyDescent="0.2">
      <c r="A1651" s="79"/>
      <c r="B1651" s="79"/>
      <c r="C1651" s="80"/>
      <c r="D1651" s="66"/>
      <c r="E1651" s="86" t="s">
        <v>1296</v>
      </c>
      <c r="F1651" s="66" t="s">
        <v>1296</v>
      </c>
      <c r="G1651" s="66" t="s">
        <v>1228</v>
      </c>
      <c r="H1651" s="74" t="s">
        <v>349</v>
      </c>
      <c r="I1651" s="172">
        <v>28.64</v>
      </c>
      <c r="J1651" s="174"/>
      <c r="K1651" s="76"/>
      <c r="L1651" s="76"/>
      <c r="M1651" s="66"/>
      <c r="N1651" s="66"/>
      <c r="R1651" s="72"/>
    </row>
    <row r="1652" spans="1:18" ht="18.75" customHeight="1" x14ac:dyDescent="0.2">
      <c r="A1652" s="79"/>
      <c r="B1652" s="79"/>
      <c r="C1652" s="80"/>
      <c r="D1652" s="66"/>
      <c r="E1652" s="86" t="s">
        <v>21</v>
      </c>
      <c r="F1652" s="66" t="s">
        <v>1675</v>
      </c>
      <c r="G1652" s="66" t="s">
        <v>1676</v>
      </c>
      <c r="H1652" s="74" t="s">
        <v>419</v>
      </c>
      <c r="I1652" s="172">
        <v>16.84</v>
      </c>
      <c r="J1652" s="174"/>
      <c r="K1652" s="76"/>
      <c r="L1652" s="76"/>
      <c r="M1652" s="66"/>
      <c r="N1652" s="66"/>
      <c r="R1652" s="72"/>
    </row>
    <row r="1653" spans="1:18" ht="18.75" customHeight="1" x14ac:dyDescent="0.2">
      <c r="A1653" s="79"/>
      <c r="B1653" s="79"/>
      <c r="C1653" s="80"/>
      <c r="D1653" s="66"/>
      <c r="E1653" s="86"/>
      <c r="F1653" s="66"/>
      <c r="G1653" s="66"/>
      <c r="H1653" s="74"/>
      <c r="I1653" s="172"/>
      <c r="J1653" s="174"/>
      <c r="K1653" s="76"/>
      <c r="L1653" s="76"/>
      <c r="M1653" s="66"/>
      <c r="N1653" s="66"/>
      <c r="R1653" s="72"/>
    </row>
    <row r="1654" spans="1:18" ht="18.75" customHeight="1" x14ac:dyDescent="0.2">
      <c r="A1654" s="70">
        <v>43002</v>
      </c>
      <c r="B1654" s="70">
        <v>43023</v>
      </c>
      <c r="C1654" s="71" t="s">
        <v>1677</v>
      </c>
      <c r="D1654" s="72" t="s">
        <v>1299</v>
      </c>
      <c r="E1654" s="145" t="s">
        <v>1678</v>
      </c>
      <c r="F1654" s="72" t="s">
        <v>1678</v>
      </c>
      <c r="G1654" s="72" t="s">
        <v>348</v>
      </c>
      <c r="H1654" s="74" t="s">
        <v>349</v>
      </c>
      <c r="I1654" s="170">
        <v>37.39</v>
      </c>
      <c r="J1654" s="173">
        <v>68.19</v>
      </c>
      <c r="K1654" s="76">
        <v>76.459999999999994</v>
      </c>
      <c r="L1654" s="76">
        <v>49.94</v>
      </c>
      <c r="M1654" s="134">
        <v>43160</v>
      </c>
      <c r="N1654" s="134">
        <v>46081</v>
      </c>
      <c r="O1654" s="101" t="s">
        <v>19</v>
      </c>
      <c r="P1654" s="101" t="s">
        <v>1057</v>
      </c>
      <c r="Q1654" s="101" t="s">
        <v>512</v>
      </c>
      <c r="R1654" s="72" t="s">
        <v>349</v>
      </c>
    </row>
    <row r="1655" spans="1:18" ht="18.75" customHeight="1" x14ac:dyDescent="0.2">
      <c r="A1655" s="79"/>
      <c r="B1655" s="79"/>
      <c r="C1655" s="80"/>
      <c r="D1655" s="66"/>
      <c r="E1655" s="86" t="s">
        <v>19</v>
      </c>
      <c r="F1655" s="66" t="s">
        <v>1679</v>
      </c>
      <c r="G1655" s="66" t="s">
        <v>1575</v>
      </c>
      <c r="H1655" s="74" t="s">
        <v>419</v>
      </c>
      <c r="I1655" s="172">
        <v>25.34</v>
      </c>
      <c r="J1655" s="174">
        <v>31.81</v>
      </c>
      <c r="K1655" s="76"/>
      <c r="L1655" s="76"/>
      <c r="M1655" s="66"/>
      <c r="N1655" s="66"/>
      <c r="R1655" s="72"/>
    </row>
    <row r="1656" spans="1:18" ht="18.75" customHeight="1" x14ac:dyDescent="0.2">
      <c r="A1656" s="79"/>
      <c r="B1656" s="79"/>
      <c r="C1656" s="80"/>
      <c r="D1656" s="66"/>
      <c r="E1656" s="86" t="s">
        <v>21</v>
      </c>
      <c r="F1656" s="66" t="s">
        <v>1680</v>
      </c>
      <c r="G1656" s="66" t="s">
        <v>381</v>
      </c>
      <c r="H1656" s="74" t="s">
        <v>349</v>
      </c>
      <c r="I1656" s="172">
        <v>20.32</v>
      </c>
      <c r="J1656" s="174"/>
      <c r="K1656" s="76"/>
      <c r="L1656" s="76"/>
      <c r="M1656" s="66"/>
      <c r="N1656" s="66"/>
      <c r="R1656" s="72"/>
    </row>
    <row r="1657" spans="1:18" ht="18.75" customHeight="1" x14ac:dyDescent="0.2">
      <c r="A1657" s="79"/>
      <c r="B1657" s="79"/>
      <c r="C1657" s="80"/>
      <c r="D1657" s="66"/>
      <c r="E1657" s="86" t="s">
        <v>1681</v>
      </c>
      <c r="F1657" s="66" t="s">
        <v>1681</v>
      </c>
      <c r="G1657" s="66" t="s">
        <v>1682</v>
      </c>
      <c r="H1657" s="74" t="s">
        <v>349</v>
      </c>
      <c r="I1657" s="172">
        <v>8.9600000000000009</v>
      </c>
      <c r="J1657" s="174"/>
      <c r="K1657" s="76"/>
      <c r="L1657" s="76"/>
      <c r="M1657" s="66"/>
      <c r="N1657" s="66"/>
      <c r="R1657" s="72"/>
    </row>
    <row r="1658" spans="1:18" ht="18.75" customHeight="1" x14ac:dyDescent="0.2">
      <c r="A1658" s="79"/>
      <c r="B1658" s="79"/>
      <c r="C1658" s="80"/>
      <c r="D1658" s="66"/>
      <c r="E1658" s="86" t="s">
        <v>1405</v>
      </c>
      <c r="F1658" s="66" t="s">
        <v>1405</v>
      </c>
      <c r="G1658" s="66" t="s">
        <v>389</v>
      </c>
      <c r="H1658" s="74" t="s">
        <v>349</v>
      </c>
      <c r="I1658" s="172">
        <v>8</v>
      </c>
      <c r="J1658" s="174"/>
      <c r="K1658" s="76"/>
      <c r="L1658" s="76"/>
      <c r="M1658" s="66"/>
      <c r="N1658" s="66"/>
      <c r="R1658" s="72"/>
    </row>
    <row r="1659" spans="1:18" ht="18.75" customHeight="1" x14ac:dyDescent="0.2">
      <c r="A1659" s="79"/>
      <c r="B1659" s="79"/>
      <c r="C1659" s="80"/>
      <c r="D1659" s="66"/>
      <c r="E1659" s="86"/>
      <c r="F1659" s="66"/>
      <c r="G1659" s="66"/>
      <c r="H1659" s="74"/>
      <c r="I1659" s="172"/>
      <c r="J1659" s="174"/>
      <c r="K1659" s="76"/>
      <c r="L1659" s="76"/>
      <c r="M1659" s="66"/>
      <c r="N1659" s="66"/>
      <c r="R1659" s="72"/>
    </row>
    <row r="1660" spans="1:18" ht="18.75" customHeight="1" x14ac:dyDescent="0.2">
      <c r="A1660" s="70">
        <v>43002</v>
      </c>
      <c r="B1660" s="70">
        <v>43023</v>
      </c>
      <c r="C1660" s="71" t="s">
        <v>1683</v>
      </c>
      <c r="D1660" s="72" t="s">
        <v>1060</v>
      </c>
      <c r="E1660" s="145" t="s">
        <v>19</v>
      </c>
      <c r="F1660" s="72" t="s">
        <v>1301</v>
      </c>
      <c r="G1660" s="72" t="s">
        <v>474</v>
      </c>
      <c r="H1660" s="74" t="s">
        <v>349</v>
      </c>
      <c r="I1660" s="170">
        <v>83.6</v>
      </c>
      <c r="J1660" s="173"/>
      <c r="K1660" s="76">
        <v>82.42</v>
      </c>
      <c r="L1660" s="76"/>
      <c r="M1660" s="134">
        <v>43101</v>
      </c>
      <c r="N1660" s="134">
        <v>46022</v>
      </c>
      <c r="O1660" s="101" t="s">
        <v>19</v>
      </c>
      <c r="P1660" s="101" t="s">
        <v>1301</v>
      </c>
      <c r="Q1660" s="101" t="s">
        <v>474</v>
      </c>
      <c r="R1660" s="72" t="s">
        <v>349</v>
      </c>
    </row>
    <row r="1661" spans="1:18" ht="18.75" customHeight="1" x14ac:dyDescent="0.2">
      <c r="A1661" s="79"/>
      <c r="B1661" s="79"/>
      <c r="C1661" s="80"/>
      <c r="D1661" s="66"/>
      <c r="E1661" s="86"/>
      <c r="F1661" s="66"/>
      <c r="G1661" s="66"/>
      <c r="H1661" s="74"/>
      <c r="I1661" s="172"/>
      <c r="J1661" s="174"/>
      <c r="K1661" s="76"/>
      <c r="L1661" s="76"/>
      <c r="M1661" s="66"/>
      <c r="N1661" s="66"/>
      <c r="R1661" s="72"/>
    </row>
    <row r="1662" spans="1:18" ht="18.75" customHeight="1" x14ac:dyDescent="0.2">
      <c r="A1662" s="70">
        <v>43002</v>
      </c>
      <c r="B1662" s="70">
        <v>43023</v>
      </c>
      <c r="C1662" s="71" t="s">
        <v>1684</v>
      </c>
      <c r="D1662" s="72" t="s">
        <v>972</v>
      </c>
      <c r="E1662" s="145" t="s">
        <v>19</v>
      </c>
      <c r="F1662" s="72" t="s">
        <v>973</v>
      </c>
      <c r="G1662" s="72" t="s">
        <v>723</v>
      </c>
      <c r="H1662" s="74" t="s">
        <v>349</v>
      </c>
      <c r="I1662" s="170">
        <v>71.69</v>
      </c>
      <c r="J1662" s="173"/>
      <c r="K1662" s="76">
        <v>76.099999999999994</v>
      </c>
      <c r="L1662" s="76"/>
      <c r="M1662" s="134">
        <v>43101</v>
      </c>
      <c r="N1662" s="134">
        <v>46022</v>
      </c>
      <c r="O1662" s="101" t="s">
        <v>19</v>
      </c>
      <c r="P1662" s="101" t="s">
        <v>973</v>
      </c>
      <c r="Q1662" s="101" t="s">
        <v>723</v>
      </c>
      <c r="R1662" s="72" t="s">
        <v>349</v>
      </c>
    </row>
    <row r="1663" spans="1:18" ht="18.75" customHeight="1" x14ac:dyDescent="0.2">
      <c r="A1663" s="79"/>
      <c r="B1663" s="79"/>
      <c r="C1663" s="80"/>
      <c r="D1663" s="66"/>
      <c r="E1663" s="86" t="s">
        <v>34</v>
      </c>
      <c r="F1663" s="66" t="s">
        <v>1685</v>
      </c>
      <c r="G1663" s="66" t="s">
        <v>1498</v>
      </c>
      <c r="H1663" s="74" t="s">
        <v>349</v>
      </c>
      <c r="I1663" s="172">
        <v>28.31</v>
      </c>
      <c r="J1663" s="174"/>
      <c r="K1663" s="76"/>
      <c r="L1663" s="66"/>
      <c r="M1663" s="66"/>
      <c r="N1663" s="66"/>
      <c r="R1663" s="72"/>
    </row>
    <row r="1664" spans="1:18" ht="18.75" customHeight="1" x14ac:dyDescent="0.2">
      <c r="A1664" s="79"/>
      <c r="B1664" s="79"/>
      <c r="C1664" s="80"/>
      <c r="D1664" s="66"/>
      <c r="E1664" s="86"/>
      <c r="F1664" s="66"/>
      <c r="G1664" s="66"/>
      <c r="H1664" s="74"/>
      <c r="I1664" s="172"/>
      <c r="J1664" s="174"/>
      <c r="K1664" s="76"/>
      <c r="L1664" s="66"/>
      <c r="M1664" s="66"/>
      <c r="N1664" s="66"/>
      <c r="R1664" s="72"/>
    </row>
    <row r="1665" spans="1:19" ht="18.75" customHeight="1" x14ac:dyDescent="0.2">
      <c r="A1665" s="70">
        <v>43002</v>
      </c>
      <c r="B1665" s="70">
        <v>43023</v>
      </c>
      <c r="C1665" s="71" t="s">
        <v>1686</v>
      </c>
      <c r="D1665" s="72" t="s">
        <v>1687</v>
      </c>
      <c r="E1665" s="145" t="s">
        <v>21</v>
      </c>
      <c r="F1665" s="72" t="s">
        <v>1426</v>
      </c>
      <c r="G1665" s="72" t="s">
        <v>585</v>
      </c>
      <c r="H1665" s="74" t="s">
        <v>349</v>
      </c>
      <c r="I1665" s="170">
        <v>48.36</v>
      </c>
      <c r="J1665" s="173">
        <v>56.63</v>
      </c>
      <c r="K1665" s="76">
        <v>75.44</v>
      </c>
      <c r="L1665" s="77">
        <v>43.7</v>
      </c>
      <c r="M1665" s="134">
        <v>43101</v>
      </c>
      <c r="N1665" s="134">
        <v>46022</v>
      </c>
      <c r="O1665" s="101"/>
      <c r="P1665" s="101"/>
      <c r="Q1665" s="101"/>
      <c r="R1665" s="72"/>
      <c r="S1665" s="72" t="s">
        <v>1688</v>
      </c>
    </row>
    <row r="1666" spans="1:19" ht="18.75" customHeight="1" x14ac:dyDescent="0.2">
      <c r="A1666" s="79"/>
      <c r="B1666" s="79"/>
      <c r="C1666" s="80"/>
      <c r="D1666" s="66"/>
      <c r="E1666" s="86" t="s">
        <v>19</v>
      </c>
      <c r="F1666" s="66" t="s">
        <v>1689</v>
      </c>
      <c r="G1666" s="66" t="s">
        <v>1170</v>
      </c>
      <c r="H1666" s="74" t="s">
        <v>349</v>
      </c>
      <c r="I1666" s="172">
        <v>41.41</v>
      </c>
      <c r="J1666" s="174">
        <v>43.37</v>
      </c>
      <c r="K1666" s="76"/>
      <c r="L1666" s="66"/>
      <c r="M1666" s="66"/>
      <c r="N1666" s="66"/>
      <c r="R1666" s="72"/>
    </row>
    <row r="1667" spans="1:19" ht="18.75" customHeight="1" x14ac:dyDescent="0.2">
      <c r="A1667" s="79"/>
      <c r="B1667" s="79"/>
      <c r="C1667" s="80"/>
      <c r="D1667" s="66"/>
      <c r="E1667" s="86" t="s">
        <v>34</v>
      </c>
      <c r="F1667" s="66" t="s">
        <v>1690</v>
      </c>
      <c r="G1667" s="66" t="s">
        <v>1691</v>
      </c>
      <c r="H1667" s="74" t="s">
        <v>419</v>
      </c>
      <c r="I1667" s="172">
        <v>10.23</v>
      </c>
      <c r="J1667" s="174"/>
      <c r="K1667" s="76"/>
      <c r="L1667" s="66"/>
      <c r="M1667" s="66"/>
      <c r="N1667" s="66"/>
      <c r="R1667" s="72"/>
    </row>
    <row r="1668" spans="1:19" ht="18.75" customHeight="1" x14ac:dyDescent="0.2">
      <c r="A1668" s="79"/>
      <c r="B1668" s="79"/>
      <c r="C1668" s="80"/>
      <c r="D1668" s="66"/>
      <c r="E1668" s="86"/>
      <c r="F1668" s="66"/>
      <c r="G1668" s="66"/>
      <c r="H1668" s="74"/>
      <c r="I1668" s="172"/>
      <c r="J1668" s="174"/>
      <c r="K1668" s="76"/>
      <c r="L1668" s="66"/>
      <c r="M1668" s="66"/>
      <c r="N1668" s="66"/>
      <c r="R1668" s="72"/>
    </row>
    <row r="1669" spans="1:19" ht="18.75" customHeight="1" x14ac:dyDescent="0.2">
      <c r="A1669" s="70">
        <v>43002</v>
      </c>
      <c r="B1669" s="70">
        <v>43023</v>
      </c>
      <c r="C1669" s="71" t="s">
        <v>1692</v>
      </c>
      <c r="D1669" s="72" t="s">
        <v>975</v>
      </c>
      <c r="E1669" s="145" t="s">
        <v>1203</v>
      </c>
      <c r="F1669" s="72" t="s">
        <v>1203</v>
      </c>
      <c r="G1669" s="72" t="s">
        <v>383</v>
      </c>
      <c r="H1669" s="74" t="s">
        <v>349</v>
      </c>
      <c r="I1669" s="170">
        <v>56.16</v>
      </c>
      <c r="J1669" s="173"/>
      <c r="K1669" s="76">
        <v>74.14</v>
      </c>
      <c r="L1669" s="72"/>
      <c r="M1669" s="134">
        <v>43101</v>
      </c>
      <c r="N1669" s="134">
        <v>46022</v>
      </c>
      <c r="O1669" s="101" t="s">
        <v>1307</v>
      </c>
      <c r="P1669" s="101" t="s">
        <v>1307</v>
      </c>
      <c r="Q1669" s="101" t="s">
        <v>1215</v>
      </c>
      <c r="R1669" s="72" t="s">
        <v>349</v>
      </c>
    </row>
    <row r="1670" spans="1:19" ht="18.75" customHeight="1" x14ac:dyDescent="0.2">
      <c r="A1670" s="79"/>
      <c r="B1670" s="79"/>
      <c r="C1670" s="80"/>
      <c r="D1670" s="66"/>
      <c r="E1670" s="86" t="s">
        <v>1693</v>
      </c>
      <c r="F1670" s="66" t="s">
        <v>1693</v>
      </c>
      <c r="G1670" s="66" t="s">
        <v>1694</v>
      </c>
      <c r="H1670" s="74" t="s">
        <v>349</v>
      </c>
      <c r="I1670" s="172">
        <v>43.84</v>
      </c>
      <c r="J1670" s="174"/>
      <c r="K1670" s="76"/>
      <c r="L1670" s="66"/>
      <c r="M1670" s="66"/>
      <c r="N1670" s="66"/>
      <c r="R1670" s="72"/>
    </row>
    <row r="1671" spans="1:19" ht="18.75" customHeight="1" x14ac:dyDescent="0.2">
      <c r="A1671" s="79"/>
      <c r="B1671" s="79"/>
      <c r="C1671" s="80"/>
      <c r="D1671" s="66"/>
      <c r="E1671" s="86"/>
      <c r="F1671" s="66"/>
      <c r="G1671" s="66"/>
      <c r="H1671" s="74"/>
      <c r="I1671" s="172"/>
      <c r="J1671" s="174"/>
      <c r="K1671" s="76"/>
      <c r="L1671" s="66"/>
      <c r="M1671" s="66"/>
      <c r="N1671" s="66"/>
      <c r="R1671" s="72"/>
    </row>
    <row r="1672" spans="1:19" ht="18.75" customHeight="1" x14ac:dyDescent="0.2">
      <c r="A1672" s="70">
        <v>43002</v>
      </c>
      <c r="B1672" s="70">
        <v>43023</v>
      </c>
      <c r="C1672" s="71" t="s">
        <v>1695</v>
      </c>
      <c r="D1672" s="72" t="s">
        <v>719</v>
      </c>
      <c r="E1672" s="145" t="s">
        <v>256</v>
      </c>
      <c r="F1672" s="72" t="s">
        <v>256</v>
      </c>
      <c r="G1672" s="72" t="s">
        <v>1188</v>
      </c>
      <c r="H1672" s="74" t="s">
        <v>349</v>
      </c>
      <c r="I1672" s="170">
        <v>87.33</v>
      </c>
      <c r="J1672" s="173"/>
      <c r="K1672" s="76">
        <v>73</v>
      </c>
      <c r="L1672" s="72"/>
      <c r="M1672" s="134">
        <v>43221</v>
      </c>
      <c r="N1672" s="134">
        <v>44530</v>
      </c>
      <c r="O1672" s="101" t="s">
        <v>256</v>
      </c>
      <c r="P1672" s="101" t="s">
        <v>256</v>
      </c>
      <c r="Q1672" s="101" t="s">
        <v>1188</v>
      </c>
      <c r="R1672" s="72" t="s">
        <v>349</v>
      </c>
    </row>
    <row r="1673" spans="1:19" ht="18.75" customHeight="1" x14ac:dyDescent="0.2">
      <c r="A1673" s="79"/>
      <c r="B1673" s="79"/>
      <c r="C1673" s="80"/>
      <c r="D1673" s="66"/>
      <c r="E1673" s="86"/>
      <c r="F1673" s="66"/>
      <c r="G1673" s="66"/>
      <c r="H1673" s="74"/>
      <c r="I1673" s="172"/>
      <c r="J1673" s="174"/>
      <c r="K1673" s="76"/>
      <c r="L1673" s="66"/>
      <c r="M1673" s="66"/>
      <c r="N1673" s="66"/>
      <c r="R1673" s="72"/>
    </row>
    <row r="1674" spans="1:19" ht="18.75" customHeight="1" x14ac:dyDescent="0.2">
      <c r="A1674" s="70">
        <v>43002</v>
      </c>
      <c r="B1674" s="70">
        <v>43023</v>
      </c>
      <c r="C1674" s="71" t="s">
        <v>1696</v>
      </c>
      <c r="D1674" s="72" t="s">
        <v>906</v>
      </c>
      <c r="E1674" s="145" t="s">
        <v>19</v>
      </c>
      <c r="F1674" s="72" t="s">
        <v>907</v>
      </c>
      <c r="G1674" s="72" t="s">
        <v>908</v>
      </c>
      <c r="H1674" s="74" t="s">
        <v>349</v>
      </c>
      <c r="I1674" s="170">
        <v>80.959999999999994</v>
      </c>
      <c r="J1674" s="173"/>
      <c r="K1674" s="76">
        <v>72.709999999999994</v>
      </c>
      <c r="L1674" s="72"/>
      <c r="M1674" s="134">
        <v>43009</v>
      </c>
      <c r="N1674" s="134">
        <v>45930</v>
      </c>
      <c r="O1674" s="101" t="s">
        <v>19</v>
      </c>
      <c r="P1674" s="101" t="s">
        <v>907</v>
      </c>
      <c r="Q1674" s="101" t="s">
        <v>908</v>
      </c>
      <c r="R1674" s="72" t="s">
        <v>349</v>
      </c>
    </row>
    <row r="1675" spans="1:19" ht="18.75" customHeight="1" x14ac:dyDescent="0.2">
      <c r="A1675" s="70"/>
      <c r="B1675" s="70"/>
      <c r="C1675" s="71"/>
      <c r="D1675" s="72"/>
      <c r="E1675" s="145"/>
      <c r="F1675" s="72"/>
      <c r="G1675" s="72"/>
      <c r="H1675" s="74"/>
      <c r="I1675" s="170"/>
      <c r="J1675" s="173"/>
      <c r="K1675" s="76"/>
      <c r="L1675" s="72"/>
      <c r="M1675" s="134"/>
      <c r="N1675" s="134"/>
      <c r="O1675" s="101"/>
      <c r="P1675" s="101"/>
      <c r="Q1675" s="101"/>
      <c r="R1675" s="72"/>
    </row>
    <row r="1676" spans="1:19" ht="18.75" customHeight="1" x14ac:dyDescent="0.2">
      <c r="A1676" s="70">
        <v>43002</v>
      </c>
      <c r="B1676" s="70">
        <v>43023</v>
      </c>
      <c r="C1676" s="71" t="s">
        <v>1697</v>
      </c>
      <c r="D1676" s="72" t="s">
        <v>1071</v>
      </c>
      <c r="E1676" s="145" t="s">
        <v>19</v>
      </c>
      <c r="F1676" s="72" t="s">
        <v>1181</v>
      </c>
      <c r="G1676" s="72" t="s">
        <v>1005</v>
      </c>
      <c r="H1676" s="74" t="s">
        <v>349</v>
      </c>
      <c r="I1676" s="170">
        <v>55.65</v>
      </c>
      <c r="J1676" s="173"/>
      <c r="K1676" s="76">
        <v>72.14</v>
      </c>
      <c r="L1676" s="72"/>
      <c r="M1676" s="134">
        <v>43101</v>
      </c>
      <c r="N1676" s="134">
        <v>46022</v>
      </c>
      <c r="O1676" s="101" t="s">
        <v>19</v>
      </c>
      <c r="P1676" s="101" t="s">
        <v>1271</v>
      </c>
      <c r="Q1676" s="101" t="s">
        <v>416</v>
      </c>
      <c r="R1676" s="72" t="s">
        <v>349</v>
      </c>
    </row>
    <row r="1677" spans="1:19" ht="18.75" customHeight="1" x14ac:dyDescent="0.2">
      <c r="A1677" s="70"/>
      <c r="B1677" s="70"/>
      <c r="C1677" s="71"/>
      <c r="D1677" s="72"/>
      <c r="E1677" s="86" t="s">
        <v>21</v>
      </c>
      <c r="F1677" s="66" t="s">
        <v>1698</v>
      </c>
      <c r="G1677" s="66" t="s">
        <v>1699</v>
      </c>
      <c r="H1677" s="82" t="s">
        <v>419</v>
      </c>
      <c r="I1677" s="172">
        <v>31.44</v>
      </c>
      <c r="J1677" s="173"/>
      <c r="K1677" s="76"/>
      <c r="L1677" s="72"/>
      <c r="M1677" s="134"/>
      <c r="N1677" s="134"/>
      <c r="O1677" s="101"/>
      <c r="P1677" s="101"/>
      <c r="Q1677" s="101"/>
      <c r="R1677" s="72"/>
    </row>
    <row r="1678" spans="1:19" ht="18.75" customHeight="1" x14ac:dyDescent="0.2">
      <c r="A1678" s="70"/>
      <c r="B1678" s="70"/>
      <c r="C1678" s="71"/>
      <c r="D1678" s="72"/>
      <c r="E1678" s="86" t="s">
        <v>34</v>
      </c>
      <c r="F1678" s="66" t="s">
        <v>1597</v>
      </c>
      <c r="G1678" s="66" t="s">
        <v>1287</v>
      </c>
      <c r="H1678" s="82" t="s">
        <v>349</v>
      </c>
      <c r="I1678" s="172">
        <v>12.91</v>
      </c>
      <c r="J1678" s="173"/>
      <c r="K1678" s="76"/>
      <c r="L1678" s="72"/>
      <c r="M1678" s="134"/>
      <c r="N1678" s="134"/>
      <c r="O1678" s="101"/>
      <c r="P1678" s="101"/>
      <c r="Q1678" s="101"/>
      <c r="R1678" s="72"/>
    </row>
    <row r="1679" spans="1:19" ht="18.75" customHeight="1" x14ac:dyDescent="0.2">
      <c r="A1679" s="70"/>
      <c r="B1679" s="70"/>
      <c r="C1679" s="71"/>
      <c r="D1679" s="72"/>
      <c r="E1679" s="145"/>
      <c r="F1679" s="72"/>
      <c r="G1679" s="72"/>
      <c r="H1679" s="74"/>
      <c r="I1679" s="170"/>
      <c r="J1679" s="173"/>
      <c r="K1679" s="76"/>
      <c r="L1679" s="72"/>
      <c r="M1679" s="134"/>
      <c r="N1679" s="134"/>
      <c r="O1679" s="101"/>
      <c r="P1679" s="101"/>
      <c r="Q1679" s="101"/>
      <c r="R1679" s="72"/>
    </row>
    <row r="1680" spans="1:19" ht="18.75" customHeight="1" x14ac:dyDescent="0.2">
      <c r="A1680" s="70">
        <v>43002</v>
      </c>
      <c r="B1680" s="70">
        <v>43016</v>
      </c>
      <c r="C1680" s="71" t="s">
        <v>1700</v>
      </c>
      <c r="D1680" s="72" t="s">
        <v>1017</v>
      </c>
      <c r="E1680" s="145" t="s">
        <v>1326</v>
      </c>
      <c r="F1680" s="72" t="s">
        <v>1326</v>
      </c>
      <c r="G1680" s="72" t="s">
        <v>993</v>
      </c>
      <c r="H1680" s="74" t="s">
        <v>349</v>
      </c>
      <c r="I1680" s="170">
        <v>57.71</v>
      </c>
      <c r="J1680" s="173"/>
      <c r="K1680" s="76">
        <v>78.37</v>
      </c>
      <c r="L1680" s="72"/>
      <c r="M1680" s="134">
        <v>43101</v>
      </c>
      <c r="N1680" s="134">
        <v>46022</v>
      </c>
      <c r="O1680" s="101" t="s">
        <v>21</v>
      </c>
      <c r="P1680" s="101" t="s">
        <v>1326</v>
      </c>
      <c r="Q1680" s="101" t="s">
        <v>993</v>
      </c>
      <c r="R1680" s="72" t="s">
        <v>349</v>
      </c>
    </row>
    <row r="1681" spans="1:18" ht="18.75" customHeight="1" x14ac:dyDescent="0.2">
      <c r="A1681" s="70"/>
      <c r="B1681" s="70"/>
      <c r="C1681" s="71"/>
      <c r="D1681" s="72"/>
      <c r="E1681" s="86" t="s">
        <v>1701</v>
      </c>
      <c r="F1681" s="66" t="s">
        <v>1701</v>
      </c>
      <c r="G1681" s="66" t="s">
        <v>1176</v>
      </c>
      <c r="H1681" s="82" t="s">
        <v>349</v>
      </c>
      <c r="I1681" s="172">
        <v>42.29</v>
      </c>
      <c r="J1681" s="174"/>
      <c r="K1681" s="84"/>
      <c r="L1681" s="72"/>
      <c r="M1681" s="134"/>
      <c r="N1681" s="134"/>
      <c r="O1681" s="101"/>
      <c r="P1681" s="101"/>
      <c r="Q1681" s="101"/>
      <c r="R1681" s="72"/>
    </row>
    <row r="1682" spans="1:18" ht="18.75" customHeight="1" x14ac:dyDescent="0.2">
      <c r="A1682" s="70"/>
      <c r="B1682" s="70"/>
      <c r="C1682" s="71"/>
      <c r="D1682" s="72"/>
      <c r="E1682" s="145"/>
      <c r="F1682" s="72"/>
      <c r="G1682" s="72"/>
      <c r="H1682" s="74"/>
      <c r="I1682" s="170"/>
      <c r="J1682" s="173"/>
      <c r="K1682" s="76"/>
      <c r="L1682" s="72"/>
      <c r="M1682" s="134"/>
      <c r="N1682" s="134"/>
      <c r="O1682" s="101"/>
      <c r="P1682" s="101"/>
      <c r="Q1682" s="101"/>
      <c r="R1682" s="72"/>
    </row>
    <row r="1683" spans="1:18" ht="18.75" customHeight="1" x14ac:dyDescent="0.2">
      <c r="A1683" s="70">
        <v>43002</v>
      </c>
      <c r="B1683" s="70">
        <v>43023</v>
      </c>
      <c r="C1683" s="71" t="s">
        <v>1702</v>
      </c>
      <c r="D1683" s="72" t="s">
        <v>1056</v>
      </c>
      <c r="E1683" s="145" t="s">
        <v>19</v>
      </c>
      <c r="F1683" s="72" t="s">
        <v>1703</v>
      </c>
      <c r="G1683" s="72" t="s">
        <v>1600</v>
      </c>
      <c r="H1683" s="74" t="s">
        <v>419</v>
      </c>
      <c r="I1683" s="170">
        <v>79.819999999999993</v>
      </c>
      <c r="J1683" s="173"/>
      <c r="K1683" s="76">
        <v>78.38</v>
      </c>
      <c r="L1683" s="72"/>
      <c r="M1683" s="134">
        <v>43101</v>
      </c>
      <c r="N1683" s="134">
        <v>46022</v>
      </c>
      <c r="O1683" s="101" t="s">
        <v>19</v>
      </c>
      <c r="P1683" s="101" t="s">
        <v>428</v>
      </c>
      <c r="Q1683" s="101" t="s">
        <v>374</v>
      </c>
      <c r="R1683" s="72" t="s">
        <v>349</v>
      </c>
    </row>
    <row r="1684" spans="1:18" ht="18.75" customHeight="1" x14ac:dyDescent="0.2">
      <c r="A1684" s="70"/>
      <c r="B1684" s="70"/>
      <c r="C1684" s="71"/>
      <c r="D1684" s="72"/>
      <c r="E1684" s="145"/>
      <c r="F1684" s="72"/>
      <c r="G1684" s="72"/>
      <c r="H1684" s="74"/>
      <c r="I1684" s="170"/>
      <c r="J1684" s="173"/>
      <c r="K1684" s="76"/>
      <c r="L1684" s="72"/>
      <c r="M1684" s="134"/>
      <c r="N1684" s="134"/>
      <c r="O1684" s="101"/>
      <c r="P1684" s="101"/>
      <c r="Q1684" s="101"/>
      <c r="R1684" s="72"/>
    </row>
    <row r="1685" spans="1:18" ht="18.75" customHeight="1" x14ac:dyDescent="0.2">
      <c r="A1685" s="70">
        <v>43002</v>
      </c>
      <c r="B1685" s="70">
        <v>43023</v>
      </c>
      <c r="C1685" s="71" t="s">
        <v>1704</v>
      </c>
      <c r="D1685" s="72" t="s">
        <v>412</v>
      </c>
      <c r="E1685" s="145" t="s">
        <v>19</v>
      </c>
      <c r="F1685" s="72" t="s">
        <v>1373</v>
      </c>
      <c r="G1685" s="72" t="s">
        <v>392</v>
      </c>
      <c r="H1685" s="74" t="s">
        <v>349</v>
      </c>
      <c r="I1685" s="170">
        <v>70.86</v>
      </c>
      <c r="J1685" s="173"/>
      <c r="K1685" s="76">
        <v>75.760000000000005</v>
      </c>
      <c r="L1685" s="72"/>
      <c r="M1685" s="134">
        <v>43254</v>
      </c>
      <c r="N1685" s="134">
        <v>46175</v>
      </c>
      <c r="O1685" s="101" t="s">
        <v>19</v>
      </c>
      <c r="P1685" s="101" t="s">
        <v>1373</v>
      </c>
      <c r="Q1685" s="101" t="s">
        <v>392</v>
      </c>
      <c r="R1685" s="72" t="s">
        <v>349</v>
      </c>
    </row>
    <row r="1686" spans="1:18" ht="18.75" customHeight="1" x14ac:dyDescent="0.2">
      <c r="A1686" s="70"/>
      <c r="B1686" s="70"/>
      <c r="C1686" s="71"/>
      <c r="D1686" s="72"/>
      <c r="E1686" s="145"/>
      <c r="F1686" s="72"/>
      <c r="G1686" s="72"/>
      <c r="H1686" s="74"/>
      <c r="I1686" s="170"/>
      <c r="J1686" s="173"/>
      <c r="K1686" s="76"/>
      <c r="L1686" s="72"/>
      <c r="M1686" s="134"/>
      <c r="N1686" s="134"/>
      <c r="O1686" s="101"/>
      <c r="P1686" s="101"/>
      <c r="Q1686" s="101"/>
      <c r="R1686" s="72"/>
    </row>
    <row r="1687" spans="1:18" ht="18.75" customHeight="1" x14ac:dyDescent="0.2">
      <c r="A1687" s="70">
        <v>43002</v>
      </c>
      <c r="B1687" s="70">
        <v>43016</v>
      </c>
      <c r="C1687" s="71" t="s">
        <v>1705</v>
      </c>
      <c r="D1687" s="72" t="s">
        <v>948</v>
      </c>
      <c r="E1687" s="145" t="s">
        <v>21</v>
      </c>
      <c r="F1687" s="72" t="s">
        <v>1706</v>
      </c>
      <c r="G1687" s="72" t="s">
        <v>348</v>
      </c>
      <c r="H1687" s="74" t="s">
        <v>349</v>
      </c>
      <c r="I1687" s="170">
        <v>26.68</v>
      </c>
      <c r="J1687" s="173">
        <v>52.66</v>
      </c>
      <c r="K1687" s="76">
        <v>79.709999999999994</v>
      </c>
      <c r="L1687" s="77">
        <v>55.4</v>
      </c>
      <c r="M1687" s="134">
        <v>43101</v>
      </c>
      <c r="N1687" s="134">
        <v>46022</v>
      </c>
      <c r="O1687" s="101" t="s">
        <v>19</v>
      </c>
      <c r="P1687" s="101" t="s">
        <v>533</v>
      </c>
      <c r="Q1687" s="101" t="s">
        <v>368</v>
      </c>
      <c r="R1687" s="72" t="s">
        <v>349</v>
      </c>
    </row>
    <row r="1688" spans="1:18" ht="18.75" customHeight="1" x14ac:dyDescent="0.2">
      <c r="A1688" s="70"/>
      <c r="B1688" s="70"/>
      <c r="C1688" s="71"/>
      <c r="D1688" s="72"/>
      <c r="E1688" s="86" t="s">
        <v>19</v>
      </c>
      <c r="F1688" s="66" t="s">
        <v>754</v>
      </c>
      <c r="G1688" s="66" t="s">
        <v>516</v>
      </c>
      <c r="H1688" s="82" t="s">
        <v>349</v>
      </c>
      <c r="I1688" s="172">
        <v>29.93</v>
      </c>
      <c r="J1688" s="174">
        <v>47.34</v>
      </c>
      <c r="K1688" s="84"/>
      <c r="L1688" s="72"/>
      <c r="M1688" s="134"/>
      <c r="N1688" s="134"/>
      <c r="O1688" s="101"/>
      <c r="P1688" s="101"/>
      <c r="Q1688" s="101"/>
      <c r="R1688" s="72"/>
    </row>
    <row r="1689" spans="1:18" ht="18.75" customHeight="1" x14ac:dyDescent="0.2">
      <c r="A1689" s="70"/>
      <c r="B1689" s="70"/>
      <c r="C1689" s="71"/>
      <c r="D1689" s="72"/>
      <c r="E1689" s="86" t="s">
        <v>1707</v>
      </c>
      <c r="F1689" s="66" t="s">
        <v>1707</v>
      </c>
      <c r="G1689" s="66" t="s">
        <v>591</v>
      </c>
      <c r="H1689" s="82" t="s">
        <v>349</v>
      </c>
      <c r="I1689" s="172">
        <v>14.11</v>
      </c>
      <c r="J1689" s="174"/>
      <c r="K1689" s="84"/>
      <c r="L1689" s="72"/>
      <c r="M1689" s="134"/>
      <c r="N1689" s="134"/>
      <c r="O1689" s="101"/>
      <c r="P1689" s="101"/>
      <c r="Q1689" s="101"/>
      <c r="R1689" s="72"/>
    </row>
    <row r="1690" spans="1:18" ht="18.75" customHeight="1" x14ac:dyDescent="0.2">
      <c r="A1690" s="79"/>
      <c r="B1690" s="79"/>
      <c r="C1690" s="80"/>
      <c r="D1690" s="66"/>
      <c r="E1690" s="86" t="s">
        <v>1708</v>
      </c>
      <c r="F1690" s="66" t="s">
        <v>1708</v>
      </c>
      <c r="G1690" s="66" t="s">
        <v>561</v>
      </c>
      <c r="H1690" s="82" t="s">
        <v>349</v>
      </c>
      <c r="I1690" s="172">
        <v>12.02</v>
      </c>
      <c r="J1690" s="174"/>
      <c r="K1690" s="84"/>
      <c r="L1690" s="66"/>
      <c r="M1690" s="66"/>
      <c r="N1690" s="66"/>
      <c r="R1690" s="72"/>
    </row>
    <row r="1691" spans="1:18" ht="18.75" customHeight="1" x14ac:dyDescent="0.2">
      <c r="A1691" s="79"/>
      <c r="B1691" s="79"/>
      <c r="C1691" s="80"/>
      <c r="D1691" s="66"/>
      <c r="E1691" s="86" t="s">
        <v>55</v>
      </c>
      <c r="F1691" s="66" t="s">
        <v>693</v>
      </c>
      <c r="G1691" s="66" t="s">
        <v>561</v>
      </c>
      <c r="H1691" s="82" t="s">
        <v>349</v>
      </c>
      <c r="I1691" s="172">
        <v>9.99</v>
      </c>
      <c r="J1691" s="174"/>
      <c r="K1691" s="84"/>
      <c r="L1691" s="66"/>
      <c r="M1691" s="66"/>
      <c r="N1691" s="66"/>
      <c r="R1691" s="72"/>
    </row>
    <row r="1692" spans="1:18" ht="18.75" customHeight="1" x14ac:dyDescent="0.2">
      <c r="A1692" s="79"/>
      <c r="B1692" s="79"/>
      <c r="C1692" s="80"/>
      <c r="D1692" s="66"/>
      <c r="E1692" s="86" t="s">
        <v>1709</v>
      </c>
      <c r="F1692" s="66" t="s">
        <v>1709</v>
      </c>
      <c r="G1692" s="66" t="s">
        <v>1285</v>
      </c>
      <c r="H1692" s="82" t="s">
        <v>419</v>
      </c>
      <c r="I1692" s="172">
        <v>7.27</v>
      </c>
      <c r="J1692" s="174"/>
      <c r="K1692" s="84"/>
      <c r="L1692" s="66"/>
      <c r="M1692" s="66"/>
      <c r="N1692" s="66"/>
      <c r="R1692" s="72"/>
    </row>
    <row r="1693" spans="1:18" ht="18.75" customHeight="1" x14ac:dyDescent="0.2">
      <c r="A1693" s="79"/>
      <c r="B1693" s="79"/>
      <c r="C1693" s="80"/>
      <c r="D1693" s="66"/>
      <c r="E1693" s="86"/>
      <c r="F1693" s="66"/>
      <c r="G1693" s="66"/>
      <c r="H1693" s="82"/>
      <c r="I1693" s="172"/>
      <c r="J1693" s="174"/>
      <c r="K1693" s="84"/>
      <c r="L1693" s="66"/>
      <c r="M1693" s="66"/>
      <c r="N1693" s="66"/>
      <c r="R1693" s="72"/>
    </row>
    <row r="1694" spans="1:18" ht="18.75" customHeight="1" x14ac:dyDescent="0.2">
      <c r="A1694" s="70">
        <v>43044</v>
      </c>
      <c r="B1694" s="70">
        <v>43058</v>
      </c>
      <c r="C1694" s="71">
        <v>23504</v>
      </c>
      <c r="D1694" s="72" t="s">
        <v>508</v>
      </c>
      <c r="E1694" s="145" t="s">
        <v>19</v>
      </c>
      <c r="F1694" s="72" t="s">
        <v>1710</v>
      </c>
      <c r="G1694" s="72" t="s">
        <v>1575</v>
      </c>
      <c r="H1694" s="74" t="s">
        <v>419</v>
      </c>
      <c r="I1694" s="170">
        <v>37.79</v>
      </c>
      <c r="J1694" s="173">
        <v>52.73</v>
      </c>
      <c r="K1694" s="76">
        <v>48.94</v>
      </c>
      <c r="L1694" s="76">
        <v>43.24</v>
      </c>
      <c r="M1694" s="134">
        <v>43102</v>
      </c>
      <c r="N1694" s="134">
        <v>46023</v>
      </c>
      <c r="O1694" s="101" t="s">
        <v>1404</v>
      </c>
      <c r="P1694" s="101" t="s">
        <v>509</v>
      </c>
      <c r="Q1694" s="101" t="s">
        <v>440</v>
      </c>
      <c r="R1694" s="72" t="s">
        <v>349</v>
      </c>
    </row>
    <row r="1695" spans="1:18" ht="18.75" customHeight="1" x14ac:dyDescent="0.2">
      <c r="A1695" s="79"/>
      <c r="B1695" s="79"/>
      <c r="C1695" s="80"/>
      <c r="D1695" s="66"/>
      <c r="E1695" s="86" t="s">
        <v>21</v>
      </c>
      <c r="F1695" s="66" t="s">
        <v>1711</v>
      </c>
      <c r="G1695" s="66" t="s">
        <v>392</v>
      </c>
      <c r="H1695" s="82" t="s">
        <v>349</v>
      </c>
      <c r="I1695" s="172">
        <v>29.34</v>
      </c>
      <c r="J1695" s="174">
        <v>47.27</v>
      </c>
      <c r="K1695" s="84"/>
      <c r="L1695" s="66"/>
      <c r="M1695" s="66"/>
      <c r="N1695" s="66"/>
      <c r="R1695" s="72"/>
    </row>
    <row r="1696" spans="1:18" ht="18.75" customHeight="1" x14ac:dyDescent="0.2">
      <c r="A1696" s="79"/>
      <c r="B1696" s="79"/>
      <c r="C1696" s="80"/>
      <c r="D1696" s="66"/>
      <c r="E1696" s="86" t="s">
        <v>34</v>
      </c>
      <c r="F1696" s="66" t="s">
        <v>1712</v>
      </c>
      <c r="G1696" s="66" t="s">
        <v>1713</v>
      </c>
      <c r="H1696" s="82" t="s">
        <v>419</v>
      </c>
      <c r="I1696" s="172">
        <v>16.66</v>
      </c>
      <c r="J1696" s="174"/>
      <c r="K1696" s="84"/>
      <c r="L1696" s="66"/>
      <c r="M1696" s="66"/>
      <c r="N1696" s="66"/>
      <c r="R1696" s="72"/>
    </row>
    <row r="1697" spans="1:19" ht="18.75" customHeight="1" x14ac:dyDescent="0.2">
      <c r="A1697" s="79"/>
      <c r="B1697" s="79"/>
      <c r="C1697" s="80"/>
      <c r="D1697" s="66"/>
      <c r="E1697" s="86" t="s">
        <v>1714</v>
      </c>
      <c r="F1697" s="66" t="s">
        <v>1714</v>
      </c>
      <c r="G1697" s="66" t="s">
        <v>466</v>
      </c>
      <c r="H1697" s="82" t="s">
        <v>349</v>
      </c>
      <c r="I1697" s="172">
        <v>10.8</v>
      </c>
      <c r="J1697" s="174"/>
      <c r="K1697" s="84"/>
      <c r="L1697" s="66"/>
      <c r="M1697" s="66"/>
      <c r="N1697" s="66"/>
      <c r="R1697" s="72"/>
    </row>
    <row r="1698" spans="1:19" ht="18.75" customHeight="1" x14ac:dyDescent="0.2">
      <c r="A1698" s="79"/>
      <c r="B1698" s="79"/>
      <c r="C1698" s="80"/>
      <c r="D1698" s="66"/>
      <c r="E1698" s="86" t="s">
        <v>1405</v>
      </c>
      <c r="F1698" s="66" t="s">
        <v>1405</v>
      </c>
      <c r="G1698" s="66" t="s">
        <v>1715</v>
      </c>
      <c r="H1698" s="82" t="s">
        <v>349</v>
      </c>
      <c r="I1698" s="172">
        <v>5.41</v>
      </c>
      <c r="J1698" s="174"/>
      <c r="K1698" s="84"/>
      <c r="L1698" s="66"/>
      <c r="M1698" s="66"/>
      <c r="N1698" s="66"/>
      <c r="R1698" s="72"/>
    </row>
    <row r="1699" spans="1:19" ht="18.75" customHeight="1" x14ac:dyDescent="0.2">
      <c r="A1699" s="79"/>
      <c r="B1699" s="79"/>
      <c r="C1699" s="80"/>
      <c r="D1699" s="66"/>
      <c r="E1699" s="86"/>
      <c r="F1699" s="66"/>
      <c r="G1699" s="66"/>
      <c r="H1699" s="82"/>
      <c r="I1699" s="172"/>
      <c r="J1699" s="174"/>
      <c r="K1699" s="84"/>
      <c r="L1699" s="66"/>
      <c r="M1699" s="66"/>
      <c r="N1699" s="66"/>
      <c r="R1699" s="72"/>
    </row>
    <row r="1700" spans="1:19" ht="18.75" customHeight="1" x14ac:dyDescent="0.2">
      <c r="A1700" s="70">
        <v>43058</v>
      </c>
      <c r="B1700" s="70">
        <v>43072</v>
      </c>
      <c r="C1700" s="71">
        <v>13708</v>
      </c>
      <c r="D1700" s="72" t="s">
        <v>608</v>
      </c>
      <c r="E1700" s="145" t="s">
        <v>19</v>
      </c>
      <c r="F1700" s="72" t="s">
        <v>1716</v>
      </c>
      <c r="G1700" s="72" t="s">
        <v>476</v>
      </c>
      <c r="H1700" s="74" t="s">
        <v>349</v>
      </c>
      <c r="I1700" s="170">
        <v>72.89</v>
      </c>
      <c r="J1700" s="173"/>
      <c r="K1700" s="76">
        <v>30.31</v>
      </c>
      <c r="L1700" s="72"/>
      <c r="M1700" s="134">
        <v>43278</v>
      </c>
      <c r="N1700" s="134">
        <v>46199</v>
      </c>
      <c r="O1700" s="101" t="s">
        <v>19</v>
      </c>
      <c r="P1700" s="101" t="s">
        <v>1356</v>
      </c>
      <c r="Q1700" s="101" t="s">
        <v>947</v>
      </c>
      <c r="R1700" s="72" t="s">
        <v>349</v>
      </c>
    </row>
    <row r="1701" spans="1:19" ht="18.75" customHeight="1" x14ac:dyDescent="0.2">
      <c r="A1701" s="79"/>
      <c r="B1701" s="79"/>
      <c r="C1701" s="80"/>
      <c r="D1701" s="66"/>
      <c r="E1701" s="86" t="s">
        <v>21</v>
      </c>
      <c r="F1701" s="66" t="s">
        <v>1717</v>
      </c>
      <c r="G1701" s="66" t="s">
        <v>1472</v>
      </c>
      <c r="H1701" s="82" t="s">
        <v>349</v>
      </c>
      <c r="I1701" s="172">
        <v>27.11</v>
      </c>
      <c r="J1701" s="174"/>
      <c r="K1701" s="84"/>
      <c r="L1701" s="66"/>
      <c r="M1701" s="66"/>
      <c r="N1701" s="66"/>
      <c r="R1701" s="72"/>
    </row>
    <row r="1702" spans="1:19" ht="18.75" customHeight="1" x14ac:dyDescent="0.2">
      <c r="A1702" s="79"/>
      <c r="B1702" s="79"/>
      <c r="C1702" s="80"/>
      <c r="D1702" s="66"/>
      <c r="E1702" s="86"/>
      <c r="F1702" s="66"/>
      <c r="G1702" s="66"/>
      <c r="H1702" s="82"/>
      <c r="I1702" s="172"/>
      <c r="J1702" s="174"/>
      <c r="K1702" s="84"/>
      <c r="L1702" s="66"/>
      <c r="M1702" s="66"/>
      <c r="N1702" s="66"/>
      <c r="R1702" s="72"/>
    </row>
    <row r="1703" spans="1:19" ht="18.75" customHeight="1" x14ac:dyDescent="0.2">
      <c r="A1703" s="70">
        <v>43114</v>
      </c>
      <c r="B1703" s="70">
        <v>43128</v>
      </c>
      <c r="C1703" s="71">
        <v>23301</v>
      </c>
      <c r="D1703" s="72" t="s">
        <v>142</v>
      </c>
      <c r="E1703" s="145" t="s">
        <v>367</v>
      </c>
      <c r="F1703" s="72" t="s">
        <v>367</v>
      </c>
      <c r="G1703" s="72" t="s">
        <v>368</v>
      </c>
      <c r="H1703" s="74" t="s">
        <v>349</v>
      </c>
      <c r="I1703" s="170">
        <v>84.54</v>
      </c>
      <c r="J1703" s="173"/>
      <c r="K1703" s="76">
        <v>24.71</v>
      </c>
      <c r="L1703" s="72"/>
      <c r="M1703" s="134">
        <v>43280</v>
      </c>
      <c r="N1703" s="134">
        <v>44196</v>
      </c>
      <c r="O1703" s="101" t="s">
        <v>367</v>
      </c>
      <c r="P1703" s="101" t="s">
        <v>367</v>
      </c>
      <c r="Q1703" s="101" t="s">
        <v>1718</v>
      </c>
      <c r="R1703" s="72" t="s">
        <v>349</v>
      </c>
    </row>
    <row r="1704" spans="1:19" ht="18.75" customHeight="1" x14ac:dyDescent="0.2">
      <c r="A1704" s="79"/>
      <c r="B1704" s="79"/>
      <c r="C1704" s="80"/>
      <c r="D1704" s="66"/>
      <c r="E1704" s="86"/>
      <c r="F1704" s="66"/>
      <c r="G1704" s="66"/>
      <c r="H1704" s="82"/>
      <c r="I1704" s="172"/>
      <c r="J1704" s="174"/>
      <c r="K1704" s="84"/>
      <c r="L1704" s="66"/>
      <c r="M1704" s="66"/>
      <c r="N1704" s="66"/>
      <c r="R1704" s="72"/>
    </row>
    <row r="1705" spans="1:19" ht="18.75" customHeight="1" x14ac:dyDescent="0.2">
      <c r="A1705" s="70">
        <v>43114</v>
      </c>
      <c r="B1705" s="70">
        <v>43128</v>
      </c>
      <c r="C1705" s="71">
        <v>23304</v>
      </c>
      <c r="D1705" s="72" t="s">
        <v>372</v>
      </c>
      <c r="E1705" s="145" t="s">
        <v>1719</v>
      </c>
      <c r="F1705" s="72" t="s">
        <v>1719</v>
      </c>
      <c r="G1705" s="72" t="s">
        <v>629</v>
      </c>
      <c r="H1705" s="74" t="s">
        <v>349</v>
      </c>
      <c r="I1705" s="170">
        <v>77.709999999999994</v>
      </c>
      <c r="J1705" s="173"/>
      <c r="K1705" s="76">
        <v>53.46</v>
      </c>
      <c r="L1705" s="72"/>
      <c r="M1705" s="134">
        <v>43282</v>
      </c>
      <c r="N1705" s="134">
        <v>46203</v>
      </c>
      <c r="O1705" s="101" t="s">
        <v>19</v>
      </c>
      <c r="P1705" s="101" t="s">
        <v>373</v>
      </c>
      <c r="Q1705" s="101" t="s">
        <v>374</v>
      </c>
      <c r="R1705" s="72" t="s">
        <v>349</v>
      </c>
    </row>
    <row r="1706" spans="1:19" ht="18.75" customHeight="1" x14ac:dyDescent="0.2">
      <c r="A1706" s="79"/>
      <c r="B1706" s="79"/>
      <c r="C1706" s="80"/>
      <c r="D1706" s="66"/>
      <c r="E1706" s="86" t="s">
        <v>1720</v>
      </c>
      <c r="F1706" s="66" t="s">
        <v>1720</v>
      </c>
      <c r="G1706" s="66" t="s">
        <v>476</v>
      </c>
      <c r="H1706" s="82" t="s">
        <v>349</v>
      </c>
      <c r="I1706" s="172">
        <v>16.2</v>
      </c>
      <c r="J1706" s="174"/>
      <c r="K1706" s="84"/>
      <c r="L1706" s="66"/>
      <c r="M1706" s="66"/>
      <c r="N1706" s="66"/>
      <c r="R1706" s="72"/>
    </row>
    <row r="1707" spans="1:19" ht="18.75" customHeight="1" x14ac:dyDescent="0.2">
      <c r="A1707" s="79"/>
      <c r="B1707" s="79"/>
      <c r="C1707" s="80"/>
      <c r="D1707" s="66"/>
      <c r="E1707" s="86" t="s">
        <v>1418</v>
      </c>
      <c r="F1707" s="66" t="s">
        <v>1418</v>
      </c>
      <c r="G1707" s="66" t="s">
        <v>1637</v>
      </c>
      <c r="H1707" s="82" t="s">
        <v>349</v>
      </c>
      <c r="I1707" s="172">
        <v>4.82</v>
      </c>
      <c r="J1707" s="174"/>
      <c r="K1707" s="84"/>
      <c r="L1707" s="66"/>
      <c r="M1707" s="66"/>
      <c r="N1707" s="66"/>
      <c r="R1707" s="72"/>
    </row>
    <row r="1708" spans="1:19" ht="18.75" customHeight="1" x14ac:dyDescent="0.2">
      <c r="A1708" s="79"/>
      <c r="B1708" s="79"/>
      <c r="C1708" s="80"/>
      <c r="D1708" s="66"/>
      <c r="E1708" s="86" t="s">
        <v>1721</v>
      </c>
      <c r="F1708" s="66" t="s">
        <v>1721</v>
      </c>
      <c r="G1708" s="66" t="s">
        <v>1129</v>
      </c>
      <c r="H1708" s="82" t="s">
        <v>349</v>
      </c>
      <c r="I1708" s="172">
        <v>1.26</v>
      </c>
      <c r="J1708" s="174"/>
      <c r="K1708" s="84"/>
      <c r="L1708" s="66"/>
      <c r="M1708" s="66"/>
      <c r="N1708" s="66"/>
      <c r="R1708" s="72"/>
    </row>
    <row r="1709" spans="1:19" ht="18.75" customHeight="1" x14ac:dyDescent="0.2">
      <c r="A1709" s="79"/>
      <c r="B1709" s="79"/>
      <c r="C1709" s="80"/>
      <c r="D1709" s="66"/>
      <c r="E1709" s="86"/>
      <c r="F1709" s="66"/>
      <c r="G1709" s="66"/>
      <c r="H1709" s="82"/>
      <c r="I1709" s="172"/>
      <c r="J1709" s="174"/>
      <c r="K1709" s="84"/>
      <c r="L1709" s="66"/>
      <c r="M1709" s="66"/>
      <c r="N1709" s="66"/>
      <c r="R1709" s="72"/>
    </row>
    <row r="1710" spans="1:19" ht="18.75" customHeight="1" x14ac:dyDescent="0.2">
      <c r="A1710" s="70">
        <v>43149</v>
      </c>
      <c r="B1710" s="70">
        <v>43163</v>
      </c>
      <c r="C1710" s="71">
        <v>13306</v>
      </c>
      <c r="D1710" s="72" t="s">
        <v>885</v>
      </c>
      <c r="E1710" s="145" t="s">
        <v>19</v>
      </c>
      <c r="F1710" s="72" t="s">
        <v>1294</v>
      </c>
      <c r="G1710" s="72" t="s">
        <v>1117</v>
      </c>
      <c r="H1710" s="74" t="s">
        <v>349</v>
      </c>
      <c r="I1710" s="170">
        <v>87.77</v>
      </c>
      <c r="J1710" s="173"/>
      <c r="K1710" s="76">
        <v>48.87</v>
      </c>
      <c r="L1710" s="72"/>
      <c r="M1710" s="134">
        <v>43180</v>
      </c>
      <c r="N1710" s="134">
        <v>46101</v>
      </c>
      <c r="O1710" s="101"/>
      <c r="P1710" s="101"/>
      <c r="Q1710" s="101"/>
      <c r="R1710" s="72"/>
      <c r="S1710" s="72" t="s">
        <v>1722</v>
      </c>
    </row>
    <row r="1711" spans="1:19" ht="18.75" customHeight="1" x14ac:dyDescent="0.2">
      <c r="A1711" s="79"/>
      <c r="B1711" s="79"/>
      <c r="C1711" s="80"/>
      <c r="D1711" s="66"/>
      <c r="E1711" s="86" t="s">
        <v>34</v>
      </c>
      <c r="F1711" s="66" t="s">
        <v>1723</v>
      </c>
      <c r="G1711" s="66" t="s">
        <v>392</v>
      </c>
      <c r="H1711" s="82" t="s">
        <v>349</v>
      </c>
      <c r="I1711" s="172">
        <v>12.23</v>
      </c>
      <c r="J1711" s="174"/>
      <c r="K1711" s="84"/>
      <c r="L1711" s="66"/>
      <c r="M1711" s="66"/>
      <c r="N1711" s="66"/>
      <c r="R1711" s="72"/>
    </row>
    <row r="1712" spans="1:19" ht="18.75" customHeight="1" x14ac:dyDescent="0.2">
      <c r="A1712" s="79"/>
      <c r="B1712" s="79"/>
      <c r="C1712" s="80"/>
      <c r="D1712" s="66"/>
      <c r="E1712" s="86"/>
      <c r="F1712" s="66"/>
      <c r="G1712" s="66"/>
      <c r="H1712" s="82"/>
      <c r="I1712" s="172"/>
      <c r="J1712" s="174"/>
      <c r="K1712" s="84"/>
      <c r="L1712" s="66"/>
      <c r="M1712" s="66"/>
      <c r="N1712" s="66"/>
      <c r="R1712" s="72"/>
    </row>
    <row r="1713" spans="1:19" ht="18.75" customHeight="1" x14ac:dyDescent="0.2">
      <c r="A1713" s="70">
        <v>43163</v>
      </c>
      <c r="B1713" s="70">
        <v>43177</v>
      </c>
      <c r="C1713" s="71" t="s">
        <v>1724</v>
      </c>
      <c r="D1713" s="72" t="s">
        <v>145</v>
      </c>
      <c r="E1713" s="145" t="s">
        <v>21</v>
      </c>
      <c r="F1713" s="72" t="s">
        <v>1590</v>
      </c>
      <c r="G1713" s="72" t="s">
        <v>1376</v>
      </c>
      <c r="H1713" s="74" t="s">
        <v>349</v>
      </c>
      <c r="I1713" s="170">
        <v>33.19</v>
      </c>
      <c r="J1713" s="173">
        <v>51.14</v>
      </c>
      <c r="K1713" s="76">
        <v>46.4</v>
      </c>
      <c r="L1713" s="76">
        <v>42.04</v>
      </c>
      <c r="M1713" s="134">
        <v>43207</v>
      </c>
      <c r="N1713" s="134">
        <v>46128</v>
      </c>
      <c r="O1713" s="101"/>
      <c r="P1713" s="101"/>
      <c r="Q1713" s="101"/>
      <c r="R1713" s="72"/>
      <c r="S1713" s="72" t="s">
        <v>1725</v>
      </c>
    </row>
    <row r="1714" spans="1:19" ht="18.75" customHeight="1" x14ac:dyDescent="0.2">
      <c r="A1714" s="79"/>
      <c r="B1714" s="79"/>
      <c r="C1714" s="80"/>
      <c r="D1714" s="66"/>
      <c r="E1714" s="86" t="s">
        <v>19</v>
      </c>
      <c r="F1714" s="66" t="s">
        <v>1726</v>
      </c>
      <c r="G1714" s="66" t="s">
        <v>1727</v>
      </c>
      <c r="H1714" s="82" t="s">
        <v>419</v>
      </c>
      <c r="I1714" s="172">
        <v>38.4</v>
      </c>
      <c r="J1714" s="174">
        <v>48.86</v>
      </c>
      <c r="K1714" s="84"/>
      <c r="L1714" s="66"/>
      <c r="M1714" s="66"/>
      <c r="N1714" s="66"/>
      <c r="R1714" s="72"/>
    </row>
    <row r="1715" spans="1:19" ht="18.75" customHeight="1" x14ac:dyDescent="0.2">
      <c r="A1715" s="79"/>
      <c r="B1715" s="79"/>
      <c r="C1715" s="80"/>
      <c r="D1715" s="66"/>
      <c r="E1715" s="86" t="s">
        <v>38</v>
      </c>
      <c r="F1715" s="66" t="s">
        <v>1728</v>
      </c>
      <c r="G1715" s="66" t="s">
        <v>871</v>
      </c>
      <c r="H1715" s="82" t="s">
        <v>349</v>
      </c>
      <c r="I1715" s="172">
        <v>8.4</v>
      </c>
      <c r="J1715" s="174"/>
      <c r="K1715" s="84"/>
      <c r="L1715" s="66"/>
      <c r="M1715" s="66"/>
      <c r="N1715" s="66"/>
      <c r="R1715" s="72"/>
    </row>
    <row r="1716" spans="1:19" ht="18.75" customHeight="1" x14ac:dyDescent="0.2">
      <c r="A1716" s="79"/>
      <c r="B1716" s="79"/>
      <c r="C1716" s="80"/>
      <c r="D1716" s="66"/>
      <c r="E1716" s="86" t="s">
        <v>55</v>
      </c>
      <c r="F1716" s="66" t="s">
        <v>1175</v>
      </c>
      <c r="G1716" s="66" t="s">
        <v>1151</v>
      </c>
      <c r="H1716" s="82" t="s">
        <v>1729</v>
      </c>
      <c r="I1716" s="172">
        <v>20.010000000000002</v>
      </c>
      <c r="J1716" s="174"/>
      <c r="K1716" s="84"/>
      <c r="L1716" s="66"/>
      <c r="M1716" s="66"/>
      <c r="N1716" s="66"/>
      <c r="R1716" s="72"/>
    </row>
    <row r="1717" spans="1:19" ht="18.75" customHeight="1" x14ac:dyDescent="0.2">
      <c r="A1717" s="79"/>
      <c r="B1717" s="79"/>
      <c r="C1717" s="80"/>
      <c r="D1717" s="66"/>
      <c r="E1717" s="86"/>
      <c r="F1717" s="66"/>
      <c r="G1717" s="66"/>
      <c r="H1717" s="82"/>
      <c r="I1717" s="172"/>
      <c r="J1717" s="174"/>
      <c r="K1717" s="84"/>
      <c r="L1717" s="66"/>
      <c r="M1717" s="66"/>
      <c r="N1717" s="66"/>
      <c r="R1717" s="72"/>
    </row>
    <row r="1718" spans="1:19" ht="18.75" customHeight="1" x14ac:dyDescent="0.2">
      <c r="A1718" s="70">
        <v>43163</v>
      </c>
      <c r="B1718" s="70">
        <v>43177</v>
      </c>
      <c r="C1718" s="71" t="s">
        <v>1730</v>
      </c>
      <c r="D1718" s="72" t="s">
        <v>1731</v>
      </c>
      <c r="E1718" s="145" t="s">
        <v>1098</v>
      </c>
      <c r="F1718" s="72" t="s">
        <v>1098</v>
      </c>
      <c r="G1718" s="72" t="s">
        <v>615</v>
      </c>
      <c r="H1718" s="74" t="s">
        <v>349</v>
      </c>
      <c r="I1718" s="170">
        <v>72.400000000000006</v>
      </c>
      <c r="J1718" s="173"/>
      <c r="K1718" s="76">
        <v>54.03</v>
      </c>
      <c r="L1718" s="72"/>
      <c r="M1718" s="134">
        <v>43282</v>
      </c>
      <c r="N1718" s="134">
        <v>46203</v>
      </c>
      <c r="O1718" s="101" t="s">
        <v>1098</v>
      </c>
      <c r="P1718" s="101" t="s">
        <v>1098</v>
      </c>
      <c r="Q1718" s="101" t="s">
        <v>615</v>
      </c>
      <c r="R1718" s="72" t="s">
        <v>349</v>
      </c>
    </row>
    <row r="1719" spans="1:19" ht="18.75" customHeight="1" x14ac:dyDescent="0.2">
      <c r="A1719" s="79"/>
      <c r="B1719" s="79"/>
      <c r="C1719" s="80"/>
      <c r="D1719" s="66"/>
      <c r="E1719" s="86" t="s">
        <v>19</v>
      </c>
      <c r="F1719" s="66" t="s">
        <v>509</v>
      </c>
      <c r="G1719" s="66" t="s">
        <v>1164</v>
      </c>
      <c r="H1719" s="82" t="s">
        <v>1732</v>
      </c>
      <c r="I1719" s="172">
        <v>27.6</v>
      </c>
      <c r="J1719" s="174"/>
      <c r="K1719" s="84"/>
      <c r="L1719" s="66"/>
      <c r="M1719" s="66"/>
      <c r="N1719" s="66"/>
      <c r="R1719" s="72"/>
    </row>
    <row r="1720" spans="1:19" ht="18.75" customHeight="1" x14ac:dyDescent="0.2">
      <c r="A1720" s="79"/>
      <c r="B1720" s="79"/>
      <c r="C1720" s="80"/>
      <c r="D1720" s="66"/>
      <c r="E1720" s="86"/>
      <c r="F1720" s="66"/>
      <c r="G1720" s="66"/>
      <c r="H1720" s="82"/>
      <c r="I1720" s="172"/>
      <c r="J1720" s="174"/>
      <c r="K1720" s="84"/>
      <c r="L1720" s="66"/>
      <c r="M1720" s="66"/>
      <c r="N1720" s="66"/>
      <c r="R1720" s="72"/>
    </row>
    <row r="1721" spans="1:19" ht="18.75" customHeight="1" x14ac:dyDescent="0.2">
      <c r="A1721" s="70">
        <v>43163</v>
      </c>
      <c r="B1721" s="70">
        <v>43177</v>
      </c>
      <c r="C1721" s="71" t="s">
        <v>1733</v>
      </c>
      <c r="D1721" s="72" t="s">
        <v>421</v>
      </c>
      <c r="E1721" s="145" t="s">
        <v>19</v>
      </c>
      <c r="F1721" s="72" t="s">
        <v>1734</v>
      </c>
      <c r="G1721" s="72" t="s">
        <v>927</v>
      </c>
      <c r="H1721" s="74" t="s">
        <v>349</v>
      </c>
      <c r="I1721" s="170">
        <v>69.150000000000006</v>
      </c>
      <c r="J1721" s="173"/>
      <c r="K1721" s="76">
        <v>45.75</v>
      </c>
      <c r="L1721" s="72"/>
      <c r="M1721" s="134">
        <v>43376</v>
      </c>
      <c r="N1721" s="134">
        <v>46297</v>
      </c>
      <c r="O1721" s="101" t="s">
        <v>19</v>
      </c>
      <c r="P1721" s="101" t="s">
        <v>1378</v>
      </c>
      <c r="Q1721" s="101" t="s">
        <v>927</v>
      </c>
      <c r="R1721" s="72" t="s">
        <v>349</v>
      </c>
    </row>
    <row r="1722" spans="1:19" ht="18.75" customHeight="1" x14ac:dyDescent="0.2">
      <c r="A1722" s="79"/>
      <c r="B1722" s="79"/>
      <c r="C1722" s="80"/>
      <c r="D1722" s="66"/>
      <c r="E1722" s="86" t="s">
        <v>21</v>
      </c>
      <c r="F1722" s="66" t="s">
        <v>1735</v>
      </c>
      <c r="G1722" s="66" t="s">
        <v>1228</v>
      </c>
      <c r="H1722" s="82" t="s">
        <v>349</v>
      </c>
      <c r="I1722" s="172">
        <v>30.85</v>
      </c>
      <c r="J1722" s="174"/>
      <c r="K1722" s="84"/>
      <c r="L1722" s="66"/>
      <c r="M1722" s="66"/>
      <c r="N1722" s="66"/>
      <c r="R1722" s="72"/>
    </row>
    <row r="1723" spans="1:19" ht="18.75" customHeight="1" x14ac:dyDescent="0.2">
      <c r="A1723" s="79"/>
      <c r="B1723" s="79"/>
      <c r="C1723" s="80"/>
      <c r="D1723" s="66"/>
      <c r="E1723" s="86"/>
      <c r="F1723" s="66"/>
      <c r="G1723" s="66"/>
      <c r="H1723" s="82"/>
      <c r="I1723" s="172"/>
      <c r="J1723" s="174"/>
      <c r="K1723" s="84"/>
      <c r="L1723" s="66"/>
      <c r="M1723" s="66"/>
      <c r="N1723" s="66"/>
      <c r="R1723" s="72"/>
    </row>
    <row r="1724" spans="1:19" ht="18.75" customHeight="1" x14ac:dyDescent="0.2">
      <c r="A1724" s="70">
        <v>43163</v>
      </c>
      <c r="B1724" s="70">
        <v>43177</v>
      </c>
      <c r="C1724" s="71" t="s">
        <v>1736</v>
      </c>
      <c r="D1724" s="72" t="s">
        <v>425</v>
      </c>
      <c r="E1724" s="145" t="s">
        <v>21</v>
      </c>
      <c r="F1724" s="72" t="s">
        <v>426</v>
      </c>
      <c r="G1724" s="72" t="s">
        <v>427</v>
      </c>
      <c r="H1724" s="74" t="s">
        <v>349</v>
      </c>
      <c r="I1724" s="170">
        <v>53.46</v>
      </c>
      <c r="J1724" s="173"/>
      <c r="K1724" s="76">
        <v>43.52</v>
      </c>
      <c r="L1724" s="72"/>
      <c r="M1724" s="134">
        <v>43324</v>
      </c>
      <c r="N1724" s="134">
        <v>46245</v>
      </c>
      <c r="O1724" s="101" t="s">
        <v>21</v>
      </c>
      <c r="P1724" s="101" t="s">
        <v>426</v>
      </c>
      <c r="Q1724" s="101" t="s">
        <v>427</v>
      </c>
      <c r="R1724" s="72" t="s">
        <v>349</v>
      </c>
    </row>
    <row r="1725" spans="1:19" ht="18.75" customHeight="1" x14ac:dyDescent="0.2">
      <c r="A1725" s="79"/>
      <c r="B1725" s="79"/>
      <c r="C1725" s="80"/>
      <c r="D1725" s="66"/>
      <c r="E1725" s="86" t="s">
        <v>19</v>
      </c>
      <c r="F1725" s="66" t="s">
        <v>1737</v>
      </c>
      <c r="G1725" s="66" t="s">
        <v>392</v>
      </c>
      <c r="H1725" s="82" t="s">
        <v>349</v>
      </c>
      <c r="I1725" s="172">
        <v>33.090000000000003</v>
      </c>
      <c r="J1725" s="174"/>
      <c r="K1725" s="84"/>
      <c r="L1725" s="66"/>
      <c r="M1725" s="66"/>
      <c r="N1725" s="66"/>
      <c r="R1725" s="72"/>
    </row>
    <row r="1726" spans="1:19" ht="18.75" customHeight="1" x14ac:dyDescent="0.2">
      <c r="A1726" s="79"/>
      <c r="B1726" s="79"/>
      <c r="C1726" s="80"/>
      <c r="D1726" s="66"/>
      <c r="E1726" s="86" t="s">
        <v>1738</v>
      </c>
      <c r="F1726" s="66" t="s">
        <v>1738</v>
      </c>
      <c r="G1726" s="66" t="s">
        <v>1040</v>
      </c>
      <c r="H1726" s="82" t="s">
        <v>349</v>
      </c>
      <c r="I1726" s="172">
        <v>13.45</v>
      </c>
      <c r="J1726" s="174"/>
      <c r="K1726" s="84"/>
      <c r="L1726" s="66"/>
      <c r="M1726" s="66"/>
      <c r="N1726" s="66"/>
      <c r="R1726" s="72"/>
    </row>
    <row r="1727" spans="1:19" ht="18.75" customHeight="1" x14ac:dyDescent="0.2">
      <c r="A1727" s="79"/>
      <c r="B1727" s="79"/>
      <c r="C1727" s="80"/>
      <c r="D1727" s="66"/>
      <c r="E1727" s="86"/>
      <c r="F1727" s="66"/>
      <c r="G1727" s="66"/>
      <c r="H1727" s="82"/>
      <c r="I1727" s="172"/>
      <c r="J1727" s="174"/>
      <c r="K1727" s="84"/>
      <c r="L1727" s="66"/>
      <c r="M1727" s="66"/>
      <c r="N1727" s="66"/>
      <c r="R1727" s="72"/>
    </row>
    <row r="1728" spans="1:19" ht="18.75" customHeight="1" x14ac:dyDescent="0.2">
      <c r="A1728" s="70">
        <v>43205</v>
      </c>
      <c r="B1728" s="70">
        <v>43226</v>
      </c>
      <c r="C1728" s="71" t="s">
        <v>1739</v>
      </c>
      <c r="D1728" s="72" t="s">
        <v>1526</v>
      </c>
      <c r="E1728" s="145" t="s">
        <v>21</v>
      </c>
      <c r="F1728" s="72" t="s">
        <v>716</v>
      </c>
      <c r="G1728" s="72" t="s">
        <v>1188</v>
      </c>
      <c r="H1728" s="74" t="s">
        <v>349</v>
      </c>
      <c r="I1728" s="170">
        <v>48.01</v>
      </c>
      <c r="J1728" s="173"/>
      <c r="K1728" s="76">
        <v>49.09</v>
      </c>
      <c r="L1728" s="76">
        <v>46.67</v>
      </c>
      <c r="M1728" s="134">
        <v>43250</v>
      </c>
      <c r="N1728" s="134">
        <v>46171</v>
      </c>
      <c r="O1728" s="101" t="s">
        <v>580</v>
      </c>
      <c r="P1728" s="101" t="s">
        <v>1740</v>
      </c>
      <c r="Q1728" s="101" t="s">
        <v>1171</v>
      </c>
      <c r="R1728" s="72" t="s">
        <v>349</v>
      </c>
    </row>
    <row r="1729" spans="1:18" ht="18.75" customHeight="1" x14ac:dyDescent="0.2">
      <c r="A1729" s="79"/>
      <c r="B1729" s="79"/>
      <c r="C1729" s="80"/>
      <c r="D1729" s="66"/>
      <c r="E1729" s="86" t="s">
        <v>19</v>
      </c>
      <c r="F1729" s="66" t="s">
        <v>1741</v>
      </c>
      <c r="G1729" s="66" t="s">
        <v>1472</v>
      </c>
      <c r="H1729" s="82" t="s">
        <v>349</v>
      </c>
      <c r="I1729" s="172">
        <v>37.92</v>
      </c>
      <c r="J1729" s="174"/>
      <c r="K1729" s="84"/>
      <c r="L1729" s="66"/>
      <c r="M1729" s="66"/>
      <c r="N1729" s="66"/>
      <c r="R1729" s="72"/>
    </row>
    <row r="1730" spans="1:18" ht="18.75" customHeight="1" x14ac:dyDescent="0.2">
      <c r="A1730" s="79"/>
      <c r="B1730" s="79"/>
      <c r="C1730" s="80"/>
      <c r="D1730" s="66"/>
      <c r="E1730" s="86" t="s">
        <v>1742</v>
      </c>
      <c r="F1730" s="66" t="s">
        <v>1742</v>
      </c>
      <c r="G1730" s="66" t="s">
        <v>1668</v>
      </c>
      <c r="H1730" s="82" t="s">
        <v>419</v>
      </c>
      <c r="I1730" s="172">
        <v>14.07</v>
      </c>
      <c r="J1730" s="174"/>
      <c r="K1730" s="84"/>
      <c r="L1730" s="66"/>
      <c r="M1730" s="66"/>
      <c r="N1730" s="66"/>
      <c r="R1730" s="72"/>
    </row>
    <row r="1731" spans="1:18" ht="18.75" customHeight="1" x14ac:dyDescent="0.2">
      <c r="A1731" s="79"/>
      <c r="B1731" s="79"/>
      <c r="C1731" s="80"/>
      <c r="D1731" s="66"/>
      <c r="E1731" s="86"/>
      <c r="F1731" s="66"/>
      <c r="G1731" s="66"/>
      <c r="H1731" s="82"/>
      <c r="I1731" s="172"/>
      <c r="J1731" s="174"/>
      <c r="K1731" s="84"/>
      <c r="L1731" s="66"/>
      <c r="M1731" s="66"/>
      <c r="N1731" s="66"/>
      <c r="R1731" s="72"/>
    </row>
    <row r="1732" spans="1:18" ht="18.75" customHeight="1" x14ac:dyDescent="0.2">
      <c r="A1732" s="70">
        <v>43212</v>
      </c>
      <c r="B1732" s="70">
        <v>43226</v>
      </c>
      <c r="C1732" s="71" t="s">
        <v>1743</v>
      </c>
      <c r="D1732" s="72" t="s">
        <v>434</v>
      </c>
      <c r="E1732" s="145" t="s">
        <v>592</v>
      </c>
      <c r="F1732" s="72" t="s">
        <v>592</v>
      </c>
      <c r="G1732" s="72" t="s">
        <v>360</v>
      </c>
      <c r="H1732" s="74" t="s">
        <v>349</v>
      </c>
      <c r="I1732" s="170">
        <v>79.459999999999994</v>
      </c>
      <c r="J1732" s="173"/>
      <c r="K1732" s="76">
        <v>29.47</v>
      </c>
      <c r="L1732" s="72"/>
      <c r="M1732" s="134">
        <v>43330</v>
      </c>
      <c r="N1732" s="134">
        <v>46251</v>
      </c>
      <c r="O1732" s="101" t="s">
        <v>592</v>
      </c>
      <c r="P1732" s="101" t="s">
        <v>592</v>
      </c>
      <c r="Q1732" s="101" t="s">
        <v>360</v>
      </c>
      <c r="R1732" s="72" t="s">
        <v>349</v>
      </c>
    </row>
    <row r="1733" spans="1:18" ht="18.75" customHeight="1" x14ac:dyDescent="0.2">
      <c r="A1733" s="70"/>
      <c r="B1733" s="70"/>
      <c r="C1733" s="71"/>
      <c r="D1733" s="72"/>
      <c r="E1733" s="145"/>
      <c r="F1733" s="72"/>
      <c r="G1733" s="72"/>
      <c r="H1733" s="74"/>
      <c r="I1733" s="170"/>
      <c r="J1733" s="173"/>
      <c r="K1733" s="76"/>
      <c r="L1733" s="77"/>
      <c r="M1733" s="134"/>
      <c r="N1733" s="134"/>
      <c r="O1733" s="101"/>
      <c r="P1733" s="101"/>
      <c r="Q1733" s="101"/>
      <c r="R1733" s="72"/>
    </row>
    <row r="1734" spans="1:18" ht="18.75" customHeight="1" x14ac:dyDescent="0.2">
      <c r="A1734" s="70">
        <v>43254</v>
      </c>
      <c r="B1734" s="70">
        <v>43268</v>
      </c>
      <c r="C1734" s="71" t="s">
        <v>1744</v>
      </c>
      <c r="D1734" s="72" t="s">
        <v>597</v>
      </c>
      <c r="E1734" s="145" t="s">
        <v>1745</v>
      </c>
      <c r="F1734" s="72" t="s">
        <v>1746</v>
      </c>
      <c r="G1734" s="72" t="s">
        <v>383</v>
      </c>
      <c r="H1734" s="74" t="s">
        <v>349</v>
      </c>
      <c r="I1734" s="170">
        <v>34.869999999999997</v>
      </c>
      <c r="J1734" s="173">
        <v>56.15</v>
      </c>
      <c r="K1734" s="76">
        <v>43.12</v>
      </c>
      <c r="L1734" s="77">
        <v>38.03</v>
      </c>
      <c r="M1734" s="134">
        <v>43525</v>
      </c>
      <c r="N1734" s="134">
        <v>46446</v>
      </c>
      <c r="O1734" s="101" t="s">
        <v>19</v>
      </c>
      <c r="P1734" s="101" t="s">
        <v>957</v>
      </c>
      <c r="Q1734" s="101" t="s">
        <v>348</v>
      </c>
      <c r="R1734" s="72" t="s">
        <v>349</v>
      </c>
    </row>
    <row r="1735" spans="1:18" ht="18.75" customHeight="1" x14ac:dyDescent="0.2">
      <c r="A1735" s="70"/>
      <c r="B1735" s="70"/>
      <c r="C1735" s="71"/>
      <c r="D1735" s="72"/>
      <c r="E1735" s="86" t="s">
        <v>19</v>
      </c>
      <c r="F1735" s="66" t="s">
        <v>1747</v>
      </c>
      <c r="G1735" s="66" t="s">
        <v>1748</v>
      </c>
      <c r="H1735" s="82" t="s">
        <v>349</v>
      </c>
      <c r="I1735" s="172">
        <v>31.15</v>
      </c>
      <c r="J1735" s="174">
        <v>43.85</v>
      </c>
      <c r="K1735" s="84"/>
      <c r="L1735" s="102"/>
      <c r="M1735" s="134"/>
      <c r="N1735" s="134"/>
      <c r="O1735" s="101"/>
      <c r="P1735" s="101"/>
      <c r="Q1735" s="101"/>
      <c r="R1735" s="72"/>
    </row>
    <row r="1736" spans="1:18" ht="18.75" customHeight="1" x14ac:dyDescent="0.2">
      <c r="A1736" s="70"/>
      <c r="B1736" s="70"/>
      <c r="C1736" s="71"/>
      <c r="D1736" s="72"/>
      <c r="E1736" s="86" t="s">
        <v>21</v>
      </c>
      <c r="F1736" s="66" t="s">
        <v>109</v>
      </c>
      <c r="G1736" s="66" t="s">
        <v>469</v>
      </c>
      <c r="H1736" s="82" t="s">
        <v>349</v>
      </c>
      <c r="I1736" s="172">
        <v>30.83</v>
      </c>
      <c r="J1736" s="174"/>
      <c r="K1736" s="84"/>
      <c r="L1736" s="102"/>
      <c r="M1736" s="134"/>
      <c r="N1736" s="134"/>
      <c r="O1736" s="101"/>
      <c r="P1736" s="101"/>
      <c r="Q1736" s="101"/>
      <c r="R1736" s="72"/>
    </row>
    <row r="1737" spans="1:18" ht="18.75" customHeight="1" x14ac:dyDescent="0.2">
      <c r="A1737" s="79"/>
      <c r="B1737" s="79"/>
      <c r="C1737" s="80"/>
      <c r="D1737" s="66"/>
      <c r="E1737" s="86" t="s">
        <v>1749</v>
      </c>
      <c r="F1737" s="66" t="s">
        <v>1749</v>
      </c>
      <c r="G1737" s="66" t="s">
        <v>1490</v>
      </c>
      <c r="H1737" s="82" t="s">
        <v>349</v>
      </c>
      <c r="I1737" s="172">
        <v>1.32</v>
      </c>
      <c r="J1737" s="174"/>
      <c r="K1737" s="84"/>
      <c r="L1737" s="102"/>
      <c r="M1737" s="66"/>
      <c r="N1737" s="66"/>
      <c r="R1737" s="72"/>
    </row>
    <row r="1738" spans="1:18" ht="18.75" customHeight="1" x14ac:dyDescent="0.2">
      <c r="A1738" s="79"/>
      <c r="B1738" s="79"/>
      <c r="C1738" s="80"/>
      <c r="D1738" s="66"/>
      <c r="E1738" s="86" t="s">
        <v>1306</v>
      </c>
      <c r="F1738" s="66" t="s">
        <v>1306</v>
      </c>
      <c r="G1738" s="66" t="s">
        <v>861</v>
      </c>
      <c r="H1738" s="82" t="s">
        <v>349</v>
      </c>
      <c r="I1738" s="172">
        <v>1.81</v>
      </c>
      <c r="J1738" s="174"/>
      <c r="K1738" s="84"/>
      <c r="L1738" s="102"/>
      <c r="M1738" s="66"/>
      <c r="N1738" s="66"/>
      <c r="R1738" s="72"/>
    </row>
    <row r="1739" spans="1:18" ht="18.75" customHeight="1" x14ac:dyDescent="0.2">
      <c r="A1739" s="79"/>
      <c r="B1739" s="79"/>
      <c r="C1739" s="80"/>
      <c r="D1739" s="66"/>
      <c r="E1739" s="86"/>
      <c r="F1739" s="66"/>
      <c r="G1739" s="66"/>
      <c r="H1739" s="82"/>
      <c r="I1739" s="172"/>
      <c r="J1739" s="174"/>
      <c r="K1739" s="84"/>
      <c r="L1739" s="102"/>
      <c r="M1739" s="66"/>
      <c r="N1739" s="66"/>
      <c r="R1739" s="72"/>
    </row>
    <row r="1740" spans="1:18" ht="18.75" customHeight="1" x14ac:dyDescent="0.2">
      <c r="A1740" s="70">
        <v>43261</v>
      </c>
      <c r="B1740" s="70">
        <v>43268</v>
      </c>
      <c r="C1740" s="71" t="s">
        <v>1750</v>
      </c>
      <c r="D1740" s="72" t="s">
        <v>445</v>
      </c>
      <c r="E1740" s="145" t="s">
        <v>19</v>
      </c>
      <c r="F1740" s="72" t="s">
        <v>1110</v>
      </c>
      <c r="G1740" s="72" t="s">
        <v>358</v>
      </c>
      <c r="H1740" s="74" t="s">
        <v>349</v>
      </c>
      <c r="I1740" s="170">
        <v>74.5</v>
      </c>
      <c r="J1740" s="173"/>
      <c r="K1740" s="76">
        <v>38.770000000000003</v>
      </c>
      <c r="L1740" s="77"/>
      <c r="M1740" s="134">
        <v>43525</v>
      </c>
      <c r="N1740" s="134">
        <v>45199</v>
      </c>
      <c r="O1740" s="101" t="s">
        <v>19</v>
      </c>
      <c r="P1740" s="101" t="s">
        <v>1110</v>
      </c>
      <c r="Q1740" s="101" t="s">
        <v>358</v>
      </c>
      <c r="R1740" s="72" t="s">
        <v>349</v>
      </c>
    </row>
    <row r="1741" spans="1:18" ht="18.75" customHeight="1" x14ac:dyDescent="0.2">
      <c r="A1741" s="79"/>
      <c r="B1741" s="79"/>
      <c r="C1741" s="80"/>
      <c r="D1741" s="66"/>
      <c r="E1741" s="86" t="s">
        <v>21</v>
      </c>
      <c r="F1741" s="66" t="s">
        <v>1751</v>
      </c>
      <c r="G1741" s="66" t="s">
        <v>1251</v>
      </c>
      <c r="H1741" s="82" t="s">
        <v>349</v>
      </c>
      <c r="I1741" s="172">
        <v>25.5</v>
      </c>
      <c r="J1741" s="174"/>
      <c r="K1741" s="84"/>
      <c r="L1741" s="102"/>
      <c r="M1741" s="66"/>
      <c r="N1741" s="66"/>
      <c r="R1741" s="72"/>
    </row>
    <row r="1742" spans="1:18" ht="18.75" customHeight="1" x14ac:dyDescent="0.2">
      <c r="A1742" s="79"/>
      <c r="B1742" s="79"/>
      <c r="C1742" s="80"/>
      <c r="D1742" s="66"/>
      <c r="E1742" s="86"/>
      <c r="F1742" s="66"/>
      <c r="G1742" s="66"/>
      <c r="H1742" s="82"/>
      <c r="I1742" s="172"/>
      <c r="J1742" s="174"/>
      <c r="K1742" s="84"/>
      <c r="L1742" s="102"/>
      <c r="M1742" s="66"/>
      <c r="N1742" s="66"/>
      <c r="R1742" s="72"/>
    </row>
    <row r="1743" spans="1:18" ht="18.75" customHeight="1" x14ac:dyDescent="0.2">
      <c r="A1743" s="70">
        <v>43352</v>
      </c>
      <c r="B1743" s="70">
        <v>43366</v>
      </c>
      <c r="C1743" s="71" t="s">
        <v>1752</v>
      </c>
      <c r="D1743" s="72" t="s">
        <v>548</v>
      </c>
      <c r="E1743" s="145" t="s">
        <v>1753</v>
      </c>
      <c r="F1743" s="72" t="s">
        <v>693</v>
      </c>
      <c r="G1743" s="72" t="s">
        <v>444</v>
      </c>
      <c r="H1743" s="74" t="s">
        <v>349</v>
      </c>
      <c r="I1743" s="170">
        <v>73.790000000000006</v>
      </c>
      <c r="J1743" s="173"/>
      <c r="K1743" s="76">
        <v>44.4</v>
      </c>
      <c r="L1743" s="77"/>
      <c r="M1743" s="134">
        <v>43561</v>
      </c>
      <c r="N1743" s="134">
        <v>46482</v>
      </c>
      <c r="O1743" s="101" t="s">
        <v>1754</v>
      </c>
      <c r="P1743" s="101" t="s">
        <v>693</v>
      </c>
      <c r="Q1743" s="101" t="s">
        <v>444</v>
      </c>
      <c r="R1743" s="72" t="s">
        <v>349</v>
      </c>
    </row>
    <row r="1744" spans="1:18" ht="18.75" customHeight="1" x14ac:dyDescent="0.2">
      <c r="A1744" s="79"/>
      <c r="B1744" s="79"/>
      <c r="C1744" s="80"/>
      <c r="D1744" s="66"/>
      <c r="E1744" s="86" t="s">
        <v>55</v>
      </c>
      <c r="F1744" s="66" t="s">
        <v>1755</v>
      </c>
      <c r="G1744" s="66" t="s">
        <v>1117</v>
      </c>
      <c r="H1744" s="82" t="s">
        <v>349</v>
      </c>
      <c r="I1744" s="172">
        <v>26.21</v>
      </c>
      <c r="J1744" s="174"/>
      <c r="K1744" s="84"/>
      <c r="L1744" s="102"/>
      <c r="M1744" s="66"/>
      <c r="N1744" s="66"/>
      <c r="R1744" s="72"/>
    </row>
    <row r="1745" spans="1:22" ht="18.75" customHeight="1" x14ac:dyDescent="0.2">
      <c r="A1745" s="79"/>
      <c r="B1745" s="79"/>
      <c r="C1745" s="80"/>
      <c r="D1745" s="66"/>
      <c r="E1745" s="86"/>
      <c r="F1745" s="66"/>
      <c r="G1745" s="66"/>
      <c r="H1745" s="82"/>
      <c r="I1745" s="172"/>
      <c r="J1745" s="174"/>
      <c r="K1745" s="84"/>
      <c r="L1745" s="102"/>
      <c r="M1745" s="66"/>
      <c r="N1745" s="66"/>
      <c r="R1745" s="72"/>
    </row>
    <row r="1746" spans="1:22" ht="18.75" customHeight="1" x14ac:dyDescent="0.2">
      <c r="A1746" s="70">
        <v>43359</v>
      </c>
      <c r="B1746" s="70">
        <v>43373</v>
      </c>
      <c r="C1746" s="71" t="s">
        <v>1756</v>
      </c>
      <c r="D1746" s="72" t="s">
        <v>1757</v>
      </c>
      <c r="E1746" s="145" t="s">
        <v>21</v>
      </c>
      <c r="F1746" s="72" t="s">
        <v>1758</v>
      </c>
      <c r="G1746" s="72" t="s">
        <v>789</v>
      </c>
      <c r="H1746" s="74" t="s">
        <v>349</v>
      </c>
      <c r="I1746" s="170">
        <v>34.97</v>
      </c>
      <c r="J1746" s="173">
        <v>65.989999999999995</v>
      </c>
      <c r="K1746" s="76">
        <v>45.01</v>
      </c>
      <c r="L1746" s="77">
        <v>35.270000000000003</v>
      </c>
      <c r="M1746" s="134">
        <v>43647</v>
      </c>
      <c r="N1746" s="134">
        <v>46568</v>
      </c>
      <c r="O1746" s="101"/>
      <c r="P1746" s="101"/>
      <c r="Q1746" s="101"/>
      <c r="R1746" s="72"/>
      <c r="S1746" s="72" t="s">
        <v>1759</v>
      </c>
      <c r="T1746" s="101"/>
      <c r="U1746" s="101"/>
      <c r="V1746" s="101"/>
    </row>
    <row r="1747" spans="1:22" ht="18.75" customHeight="1" x14ac:dyDescent="0.2">
      <c r="A1747" s="79"/>
      <c r="B1747" s="79"/>
      <c r="C1747" s="80"/>
      <c r="D1747" s="66"/>
      <c r="E1747" s="86" t="s">
        <v>19</v>
      </c>
      <c r="F1747" s="66" t="s">
        <v>1760</v>
      </c>
      <c r="G1747" s="66" t="s">
        <v>641</v>
      </c>
      <c r="H1747" s="82" t="s">
        <v>419</v>
      </c>
      <c r="I1747" s="172">
        <v>24.84</v>
      </c>
      <c r="J1747" s="174">
        <v>34.01</v>
      </c>
      <c r="K1747" s="84"/>
      <c r="L1747" s="102"/>
      <c r="M1747" s="66"/>
      <c r="N1747" s="66"/>
      <c r="R1747" s="72"/>
    </row>
    <row r="1748" spans="1:22" ht="18.75" customHeight="1" x14ac:dyDescent="0.2">
      <c r="A1748" s="79"/>
      <c r="B1748" s="79"/>
      <c r="C1748" s="80"/>
      <c r="D1748" s="66"/>
      <c r="E1748" s="86" t="s">
        <v>34</v>
      </c>
      <c r="F1748" s="66" t="s">
        <v>1761</v>
      </c>
      <c r="G1748" s="66" t="s">
        <v>1762</v>
      </c>
      <c r="H1748" s="82" t="s">
        <v>349</v>
      </c>
      <c r="I1748" s="172">
        <v>8.0500000000000007</v>
      </c>
      <c r="J1748" s="174"/>
      <c r="K1748" s="84"/>
      <c r="L1748" s="102"/>
      <c r="M1748" s="66"/>
      <c r="N1748" s="66"/>
      <c r="R1748" s="72"/>
    </row>
    <row r="1749" spans="1:22" ht="18.75" customHeight="1" x14ac:dyDescent="0.2">
      <c r="A1749" s="79"/>
      <c r="B1749" s="79"/>
      <c r="C1749" s="80"/>
      <c r="D1749" s="66"/>
      <c r="E1749" s="86" t="s">
        <v>1763</v>
      </c>
      <c r="F1749" s="66" t="s">
        <v>1764</v>
      </c>
      <c r="G1749" s="66" t="s">
        <v>1765</v>
      </c>
      <c r="H1749" s="82" t="s">
        <v>349</v>
      </c>
      <c r="I1749" s="172">
        <v>20.09</v>
      </c>
      <c r="J1749" s="174"/>
      <c r="K1749" s="84"/>
      <c r="L1749" s="102"/>
      <c r="M1749" s="66"/>
      <c r="N1749" s="66"/>
      <c r="R1749" s="72"/>
    </row>
    <row r="1750" spans="1:22" ht="18.75" customHeight="1" x14ac:dyDescent="0.2">
      <c r="A1750" s="79"/>
      <c r="B1750" s="79"/>
      <c r="C1750" s="80"/>
      <c r="D1750" s="66"/>
      <c r="E1750" s="86" t="s">
        <v>1766</v>
      </c>
      <c r="F1750" s="66" t="s">
        <v>1766</v>
      </c>
      <c r="G1750" s="66" t="s">
        <v>440</v>
      </c>
      <c r="H1750" s="82" t="s">
        <v>349</v>
      </c>
      <c r="I1750" s="172">
        <v>12.05</v>
      </c>
      <c r="J1750" s="174"/>
      <c r="K1750" s="84"/>
      <c r="L1750" s="102"/>
      <c r="M1750" s="66"/>
      <c r="N1750" s="66"/>
      <c r="R1750" s="72"/>
    </row>
    <row r="1751" spans="1:22" ht="18.75" customHeight="1" x14ac:dyDescent="0.2">
      <c r="A1751" s="79"/>
      <c r="B1751" s="79"/>
      <c r="C1751" s="80"/>
      <c r="D1751" s="66"/>
      <c r="E1751" s="86"/>
      <c r="F1751" s="66"/>
      <c r="G1751" s="66"/>
      <c r="H1751" s="82"/>
      <c r="I1751" s="172"/>
      <c r="J1751" s="174"/>
      <c r="K1751" s="84"/>
      <c r="L1751" s="102"/>
      <c r="M1751" s="66"/>
      <c r="N1751" s="66"/>
      <c r="R1751" s="72"/>
    </row>
    <row r="1752" spans="1:22" ht="18.75" customHeight="1" x14ac:dyDescent="0.2">
      <c r="A1752" s="70">
        <v>43387</v>
      </c>
      <c r="B1752" s="70">
        <v>43401</v>
      </c>
      <c r="C1752" s="71" t="s">
        <v>1767</v>
      </c>
      <c r="D1752" s="72" t="s">
        <v>1768</v>
      </c>
      <c r="E1752" s="145" t="s">
        <v>19</v>
      </c>
      <c r="F1752" s="72" t="s">
        <v>1460</v>
      </c>
      <c r="G1752" s="72" t="s">
        <v>477</v>
      </c>
      <c r="H1752" s="74" t="s">
        <v>349</v>
      </c>
      <c r="I1752" s="170">
        <v>80.92</v>
      </c>
      <c r="J1752" s="173"/>
      <c r="K1752" s="76">
        <v>47.1</v>
      </c>
      <c r="L1752" s="77"/>
      <c r="M1752" s="134">
        <v>43466</v>
      </c>
      <c r="N1752" s="134">
        <v>46752</v>
      </c>
      <c r="O1752" s="101"/>
      <c r="P1752" s="101"/>
      <c r="Q1752" s="101"/>
      <c r="R1752" s="72"/>
      <c r="S1752" s="72" t="s">
        <v>1769</v>
      </c>
      <c r="T1752" s="101"/>
      <c r="U1752" s="101"/>
    </row>
    <row r="1753" spans="1:22" ht="18.75" customHeight="1" x14ac:dyDescent="0.2">
      <c r="A1753" s="70"/>
      <c r="B1753" s="70"/>
      <c r="C1753" s="71"/>
      <c r="D1753" s="72"/>
      <c r="E1753" s="145"/>
      <c r="F1753" s="72"/>
      <c r="G1753" s="72"/>
      <c r="H1753" s="74"/>
      <c r="I1753" s="170"/>
      <c r="J1753" s="173"/>
      <c r="K1753" s="76"/>
      <c r="L1753" s="77"/>
      <c r="M1753" s="134"/>
      <c r="N1753" s="134"/>
      <c r="O1753" s="101"/>
      <c r="P1753" s="101"/>
      <c r="Q1753" s="101"/>
      <c r="R1753" s="72"/>
      <c r="S1753" s="72"/>
      <c r="T1753" s="101"/>
      <c r="U1753" s="101"/>
    </row>
    <row r="1754" spans="1:22" ht="18.75" customHeight="1" x14ac:dyDescent="0.2">
      <c r="A1754" s="70">
        <v>43394</v>
      </c>
      <c r="B1754" s="70">
        <v>43408</v>
      </c>
      <c r="C1754" s="71" t="s">
        <v>1770</v>
      </c>
      <c r="D1754" s="72" t="s">
        <v>1062</v>
      </c>
      <c r="E1754" s="145" t="s">
        <v>1771</v>
      </c>
      <c r="F1754" s="72" t="s">
        <v>1771</v>
      </c>
      <c r="G1754" s="72" t="s">
        <v>1715</v>
      </c>
      <c r="H1754" s="74" t="s">
        <v>349</v>
      </c>
      <c r="I1754" s="170">
        <v>42.39</v>
      </c>
      <c r="J1754" s="173">
        <v>53.9</v>
      </c>
      <c r="K1754" s="76">
        <v>49.6</v>
      </c>
      <c r="L1754" s="77">
        <v>46.3</v>
      </c>
      <c r="M1754" s="134">
        <v>43466</v>
      </c>
      <c r="N1754" s="134">
        <v>46752</v>
      </c>
      <c r="O1754" s="101"/>
      <c r="P1754" s="101"/>
      <c r="Q1754" s="101"/>
      <c r="R1754" s="72"/>
      <c r="S1754" s="72" t="s">
        <v>1772</v>
      </c>
      <c r="T1754" s="101"/>
      <c r="U1754" s="101"/>
    </row>
    <row r="1755" spans="1:22" ht="18.75" customHeight="1" x14ac:dyDescent="0.2">
      <c r="A1755" s="70"/>
      <c r="B1755" s="70"/>
      <c r="C1755" s="71"/>
      <c r="D1755" s="72"/>
      <c r="E1755" s="86" t="s">
        <v>19</v>
      </c>
      <c r="F1755" s="66" t="s">
        <v>766</v>
      </c>
      <c r="G1755" s="66" t="s">
        <v>423</v>
      </c>
      <c r="H1755" s="82" t="s">
        <v>349</v>
      </c>
      <c r="I1755" s="172">
        <v>40.880000000000003</v>
      </c>
      <c r="J1755" s="174">
        <v>46.1</v>
      </c>
      <c r="K1755" s="84"/>
      <c r="L1755" s="102"/>
      <c r="M1755" s="134"/>
      <c r="N1755" s="134"/>
      <c r="O1755" s="101"/>
      <c r="P1755" s="101"/>
      <c r="Q1755" s="101"/>
      <c r="R1755" s="72"/>
      <c r="S1755" s="72"/>
      <c r="T1755" s="101"/>
      <c r="U1755" s="101"/>
    </row>
    <row r="1756" spans="1:22" ht="18.75" customHeight="1" x14ac:dyDescent="0.2">
      <c r="A1756" s="70"/>
      <c r="B1756" s="70"/>
      <c r="C1756" s="71"/>
      <c r="D1756" s="72"/>
      <c r="E1756" s="86" t="s">
        <v>34</v>
      </c>
      <c r="F1756" s="66" t="s">
        <v>1773</v>
      </c>
      <c r="G1756" s="66" t="s">
        <v>565</v>
      </c>
      <c r="H1756" s="82" t="s">
        <v>349</v>
      </c>
      <c r="I1756" s="172">
        <v>9.92</v>
      </c>
      <c r="J1756" s="174"/>
      <c r="K1756" s="84"/>
      <c r="L1756" s="102"/>
      <c r="M1756" s="134"/>
      <c r="N1756" s="134"/>
      <c r="O1756" s="101"/>
      <c r="P1756" s="101"/>
      <c r="Q1756" s="101"/>
      <c r="R1756" s="72"/>
      <c r="S1756" s="72"/>
      <c r="T1756" s="101"/>
      <c r="U1756" s="101"/>
    </row>
    <row r="1757" spans="1:22" ht="18.75" customHeight="1" x14ac:dyDescent="0.2">
      <c r="A1757" s="70"/>
      <c r="B1757" s="70"/>
      <c r="C1757" s="71"/>
      <c r="D1757" s="72"/>
      <c r="E1757" s="86" t="s">
        <v>38</v>
      </c>
      <c r="F1757" s="66" t="s">
        <v>1774</v>
      </c>
      <c r="G1757" s="66" t="s">
        <v>915</v>
      </c>
      <c r="H1757" s="82" t="s">
        <v>349</v>
      </c>
      <c r="I1757" s="172">
        <v>2</v>
      </c>
      <c r="J1757" s="174"/>
      <c r="K1757" s="84"/>
      <c r="L1757" s="102"/>
      <c r="M1757" s="134"/>
      <c r="N1757" s="134"/>
      <c r="O1757" s="101"/>
      <c r="P1757" s="101"/>
      <c r="Q1757" s="101"/>
      <c r="R1757" s="72"/>
      <c r="S1757" s="72"/>
      <c r="T1757" s="101"/>
      <c r="U1757" s="101"/>
    </row>
    <row r="1758" spans="1:22" ht="18.75" customHeight="1" x14ac:dyDescent="0.2">
      <c r="A1758" s="79"/>
      <c r="B1758" s="79"/>
      <c r="C1758" s="80"/>
      <c r="D1758" s="66"/>
      <c r="E1758" s="86" t="s">
        <v>1775</v>
      </c>
      <c r="F1758" s="66" t="s">
        <v>1775</v>
      </c>
      <c r="G1758" s="66" t="s">
        <v>850</v>
      </c>
      <c r="H1758" s="82" t="s">
        <v>349</v>
      </c>
      <c r="I1758" s="172">
        <v>4.8</v>
      </c>
      <c r="J1758" s="174"/>
      <c r="K1758" s="84"/>
      <c r="L1758" s="102"/>
      <c r="M1758" s="66"/>
      <c r="N1758" s="66"/>
      <c r="R1758" s="72"/>
    </row>
    <row r="1759" spans="1:22" ht="18.75" customHeight="1" x14ac:dyDescent="0.2">
      <c r="A1759" s="79"/>
      <c r="B1759" s="79"/>
      <c r="C1759" s="80"/>
      <c r="D1759" s="66"/>
      <c r="E1759" s="86"/>
      <c r="F1759" s="66"/>
      <c r="G1759" s="66"/>
      <c r="H1759" s="82"/>
      <c r="I1759" s="172"/>
      <c r="J1759" s="174"/>
      <c r="K1759" s="84"/>
      <c r="L1759" s="102"/>
      <c r="M1759" s="66"/>
      <c r="N1759" s="66"/>
      <c r="R1759" s="72"/>
    </row>
    <row r="1760" spans="1:22" ht="18.75" customHeight="1" x14ac:dyDescent="0.2">
      <c r="A1760" s="70">
        <v>43766</v>
      </c>
      <c r="B1760" s="70">
        <v>43415</v>
      </c>
      <c r="C1760" s="71">
        <v>33106</v>
      </c>
      <c r="D1760" s="72" t="s">
        <v>458</v>
      </c>
      <c r="E1760" s="145" t="s">
        <v>19</v>
      </c>
      <c r="F1760" s="72" t="s">
        <v>1116</v>
      </c>
      <c r="G1760" s="72" t="s">
        <v>1117</v>
      </c>
      <c r="H1760" s="74" t="s">
        <v>349</v>
      </c>
      <c r="I1760" s="170">
        <v>67.11</v>
      </c>
      <c r="J1760" s="173"/>
      <c r="K1760" s="76">
        <v>43.55</v>
      </c>
      <c r="L1760" s="77"/>
      <c r="M1760" s="134">
        <v>43647</v>
      </c>
      <c r="N1760" s="134">
        <v>46568</v>
      </c>
      <c r="O1760" s="101" t="s">
        <v>19</v>
      </c>
      <c r="P1760" s="101" t="s">
        <v>1116</v>
      </c>
      <c r="Q1760" s="101" t="s">
        <v>1117</v>
      </c>
      <c r="R1760" s="72" t="s">
        <v>349</v>
      </c>
    </row>
    <row r="1761" spans="1:22" ht="18.75" customHeight="1" x14ac:dyDescent="0.2">
      <c r="A1761" s="79"/>
      <c r="B1761" s="79"/>
      <c r="C1761" s="80"/>
      <c r="D1761" s="66"/>
      <c r="E1761" s="86" t="s">
        <v>21</v>
      </c>
      <c r="F1761" s="66" t="s">
        <v>1776</v>
      </c>
      <c r="G1761" s="66" t="s">
        <v>1170</v>
      </c>
      <c r="H1761" s="82" t="s">
        <v>349</v>
      </c>
      <c r="I1761" s="172">
        <v>32.89</v>
      </c>
      <c r="J1761" s="174"/>
      <c r="K1761" s="84"/>
      <c r="L1761" s="102"/>
      <c r="M1761" s="66"/>
      <c r="N1761" s="66"/>
      <c r="R1761" s="72"/>
    </row>
    <row r="1762" spans="1:22" ht="18.75" customHeight="1" x14ac:dyDescent="0.2">
      <c r="A1762" s="79"/>
      <c r="B1762" s="79"/>
      <c r="C1762" s="80"/>
      <c r="D1762" s="66"/>
      <c r="E1762" s="86"/>
      <c r="F1762" s="66"/>
      <c r="G1762" s="66"/>
      <c r="H1762" s="82"/>
      <c r="I1762" s="172"/>
      <c r="J1762" s="174"/>
      <c r="K1762" s="84"/>
      <c r="L1762" s="102"/>
      <c r="M1762" s="66"/>
      <c r="N1762" s="66"/>
      <c r="R1762" s="72"/>
    </row>
    <row r="1763" spans="1:22" s="66" customFormat="1" ht="18.75" customHeight="1" x14ac:dyDescent="0.2">
      <c r="A1763" s="70">
        <v>43534</v>
      </c>
      <c r="B1763" s="70">
        <v>43548</v>
      </c>
      <c r="C1763" s="71" t="s">
        <v>1777</v>
      </c>
      <c r="D1763" s="72" t="s">
        <v>462</v>
      </c>
      <c r="E1763" s="145" t="s">
        <v>667</v>
      </c>
      <c r="F1763" s="72" t="s">
        <v>273</v>
      </c>
      <c r="G1763" s="72" t="s">
        <v>1778</v>
      </c>
      <c r="H1763" s="74" t="s">
        <v>419</v>
      </c>
      <c r="I1763" s="173">
        <v>60.9</v>
      </c>
      <c r="J1763" s="173"/>
      <c r="K1763" s="76">
        <v>73.5</v>
      </c>
      <c r="L1763" s="77"/>
      <c r="M1763" s="134">
        <v>43647</v>
      </c>
      <c r="N1763" s="134">
        <v>44609</v>
      </c>
      <c r="O1763" s="72" t="s">
        <v>19</v>
      </c>
      <c r="P1763" s="72" t="s">
        <v>463</v>
      </c>
      <c r="Q1763" s="72" t="s">
        <v>464</v>
      </c>
      <c r="R1763" s="72" t="s">
        <v>349</v>
      </c>
    </row>
    <row r="1764" spans="1:22" ht="18.75" customHeight="1" x14ac:dyDescent="0.2">
      <c r="A1764" s="79"/>
      <c r="B1764" s="79"/>
      <c r="C1764" s="80"/>
      <c r="D1764" s="66"/>
      <c r="E1764" s="86" t="s">
        <v>19</v>
      </c>
      <c r="F1764" s="66" t="s">
        <v>1779</v>
      </c>
      <c r="G1764" s="66" t="s">
        <v>476</v>
      </c>
      <c r="H1764" s="82" t="s">
        <v>349</v>
      </c>
      <c r="I1764" s="174">
        <v>39.1</v>
      </c>
      <c r="J1764" s="174"/>
      <c r="K1764" s="84"/>
      <c r="L1764" s="102"/>
      <c r="M1764" s="66"/>
      <c r="N1764" s="66"/>
      <c r="R1764" s="72"/>
    </row>
    <row r="1765" spans="1:22" ht="18.75" customHeight="1" x14ac:dyDescent="0.2">
      <c r="A1765" s="79"/>
      <c r="B1765" s="79"/>
      <c r="C1765" s="80"/>
      <c r="D1765" s="66"/>
      <c r="E1765" s="86"/>
      <c r="F1765" s="66"/>
      <c r="G1765" s="66"/>
      <c r="H1765" s="82"/>
      <c r="I1765" s="174"/>
      <c r="J1765" s="174"/>
      <c r="K1765" s="84"/>
      <c r="L1765" s="102"/>
      <c r="M1765" s="66"/>
      <c r="N1765" s="66"/>
      <c r="R1765" s="72"/>
    </row>
    <row r="1766" spans="1:22" ht="18.75" customHeight="1" x14ac:dyDescent="0.2">
      <c r="A1766" s="70">
        <v>43611</v>
      </c>
      <c r="B1766" s="70">
        <v>43632</v>
      </c>
      <c r="C1766" s="71" t="s">
        <v>1780</v>
      </c>
      <c r="D1766" s="72" t="s">
        <v>1781</v>
      </c>
      <c r="E1766" s="145" t="s">
        <v>1662</v>
      </c>
      <c r="F1766" s="72" t="s">
        <v>1662</v>
      </c>
      <c r="G1766" s="72" t="s">
        <v>700</v>
      </c>
      <c r="H1766" s="74" t="s">
        <v>349</v>
      </c>
      <c r="I1766" s="173">
        <v>83.8</v>
      </c>
      <c r="J1766" s="173"/>
      <c r="K1766" s="76">
        <v>61.9</v>
      </c>
      <c r="L1766" s="77"/>
      <c r="M1766" s="134">
        <v>43831</v>
      </c>
      <c r="N1766" s="134">
        <v>46752</v>
      </c>
      <c r="O1766" s="101"/>
      <c r="P1766" s="101"/>
      <c r="Q1766" s="101"/>
      <c r="R1766" s="72"/>
      <c r="S1766" s="72" t="s">
        <v>1782</v>
      </c>
      <c r="T1766" s="101"/>
      <c r="U1766" s="101"/>
    </row>
    <row r="1767" spans="1:22" ht="18.75" customHeight="1" x14ac:dyDescent="0.2">
      <c r="A1767" s="79"/>
      <c r="B1767" s="79"/>
      <c r="C1767" s="80"/>
      <c r="D1767" s="66"/>
      <c r="E1767" s="86"/>
      <c r="F1767" s="66"/>
      <c r="G1767" s="66"/>
      <c r="H1767" s="82"/>
      <c r="I1767" s="174"/>
      <c r="J1767" s="174"/>
      <c r="K1767" s="84"/>
      <c r="L1767" s="102"/>
      <c r="M1767" s="66"/>
      <c r="N1767" s="66"/>
      <c r="R1767" s="72"/>
    </row>
    <row r="1768" spans="1:22" ht="18.75" customHeight="1" x14ac:dyDescent="0.2">
      <c r="A1768" s="70">
        <v>43611</v>
      </c>
      <c r="B1768" s="70">
        <v>43632</v>
      </c>
      <c r="C1768" s="71" t="s">
        <v>1783</v>
      </c>
      <c r="D1768" s="72" t="s">
        <v>1784</v>
      </c>
      <c r="E1768" s="145" t="s">
        <v>21</v>
      </c>
      <c r="F1768" s="72" t="s">
        <v>1181</v>
      </c>
      <c r="G1768" s="72" t="s">
        <v>789</v>
      </c>
      <c r="H1768" s="74" t="s">
        <v>349</v>
      </c>
      <c r="I1768" s="173">
        <v>73</v>
      </c>
      <c r="J1768" s="173"/>
      <c r="K1768" s="76">
        <v>63.6</v>
      </c>
      <c r="L1768" s="77"/>
      <c r="M1768" s="134">
        <v>43831</v>
      </c>
      <c r="N1768" s="134">
        <v>46752</v>
      </c>
      <c r="O1768" s="101"/>
      <c r="P1768" s="101"/>
      <c r="Q1768" s="101"/>
      <c r="R1768" s="72"/>
      <c r="S1768" s="72" t="s">
        <v>1785</v>
      </c>
      <c r="T1768" s="101"/>
      <c r="U1768" s="101"/>
    </row>
    <row r="1769" spans="1:22" ht="18.75" customHeight="1" x14ac:dyDescent="0.2">
      <c r="A1769" s="79"/>
      <c r="B1769" s="79"/>
      <c r="C1769" s="80"/>
      <c r="D1769" s="66"/>
      <c r="E1769" s="86"/>
      <c r="F1769" s="66"/>
      <c r="G1769" s="66"/>
      <c r="H1769" s="82"/>
      <c r="I1769" s="172"/>
      <c r="J1769" s="174"/>
      <c r="K1769" s="84"/>
      <c r="L1769" s="102"/>
      <c r="M1769" s="66"/>
      <c r="N1769" s="66"/>
      <c r="R1769" s="72"/>
    </row>
    <row r="1770" spans="1:22" ht="18.75" customHeight="1" x14ac:dyDescent="0.2">
      <c r="A1770" s="70">
        <v>43611</v>
      </c>
      <c r="B1770" s="70">
        <v>43632</v>
      </c>
      <c r="C1770" s="71" t="s">
        <v>1786</v>
      </c>
      <c r="D1770" s="72" t="s">
        <v>1787</v>
      </c>
      <c r="E1770" s="145" t="s">
        <v>21</v>
      </c>
      <c r="F1770" s="72" t="s">
        <v>1438</v>
      </c>
      <c r="G1770" s="72" t="s">
        <v>383</v>
      </c>
      <c r="H1770" s="74" t="s">
        <v>349</v>
      </c>
      <c r="I1770" s="173">
        <v>58.3</v>
      </c>
      <c r="J1770" s="173"/>
      <c r="K1770" s="76">
        <v>66</v>
      </c>
      <c r="L1770" s="77"/>
      <c r="M1770" s="134">
        <v>43831</v>
      </c>
      <c r="N1770" s="134">
        <v>46752</v>
      </c>
      <c r="O1770" s="101"/>
      <c r="P1770" s="101"/>
      <c r="Q1770" s="101"/>
      <c r="R1770" s="72"/>
      <c r="S1770" s="72" t="s">
        <v>1788</v>
      </c>
      <c r="T1770" s="101"/>
      <c r="U1770" s="101"/>
    </row>
    <row r="1771" spans="1:22" ht="18.75" customHeight="1" x14ac:dyDescent="0.2">
      <c r="A1771" s="79"/>
      <c r="B1771" s="79"/>
      <c r="C1771" s="80"/>
      <c r="D1771" s="66"/>
      <c r="E1771" s="86" t="s">
        <v>19</v>
      </c>
      <c r="F1771" s="66" t="s">
        <v>1789</v>
      </c>
      <c r="G1771" s="66" t="s">
        <v>476</v>
      </c>
      <c r="H1771" s="82" t="s">
        <v>349</v>
      </c>
      <c r="I1771" s="174">
        <v>29.6</v>
      </c>
      <c r="J1771" s="174"/>
      <c r="K1771" s="84"/>
      <c r="L1771" s="102"/>
      <c r="M1771" s="66"/>
      <c r="N1771" s="66"/>
      <c r="R1771" s="72"/>
    </row>
    <row r="1772" spans="1:22" ht="18.75" customHeight="1" x14ac:dyDescent="0.2">
      <c r="A1772" s="79"/>
      <c r="B1772" s="79"/>
      <c r="C1772" s="80"/>
      <c r="D1772" s="66"/>
      <c r="E1772" s="86" t="s">
        <v>38</v>
      </c>
      <c r="F1772" s="66" t="s">
        <v>1790</v>
      </c>
      <c r="G1772" s="66" t="s">
        <v>1644</v>
      </c>
      <c r="H1772" s="82" t="s">
        <v>349</v>
      </c>
      <c r="I1772" s="174">
        <v>5.8</v>
      </c>
      <c r="J1772" s="174"/>
      <c r="K1772" s="84"/>
      <c r="L1772" s="102"/>
      <c r="M1772" s="66"/>
      <c r="N1772" s="66"/>
      <c r="R1772" s="72"/>
    </row>
    <row r="1773" spans="1:22" ht="18.75" customHeight="1" x14ac:dyDescent="0.2">
      <c r="A1773" s="79"/>
      <c r="B1773" s="79"/>
      <c r="C1773" s="80"/>
      <c r="D1773" s="66"/>
      <c r="E1773" s="86" t="s">
        <v>34</v>
      </c>
      <c r="F1773" s="66" t="s">
        <v>1791</v>
      </c>
      <c r="G1773" s="66" t="s">
        <v>495</v>
      </c>
      <c r="H1773" s="82" t="s">
        <v>349</v>
      </c>
      <c r="I1773" s="174">
        <v>6.3</v>
      </c>
      <c r="J1773" s="174"/>
      <c r="K1773" s="84"/>
      <c r="L1773" s="102"/>
      <c r="M1773" s="66"/>
      <c r="N1773" s="66"/>
      <c r="R1773" s="72"/>
    </row>
    <row r="1774" spans="1:22" ht="18.75" customHeight="1" x14ac:dyDescent="0.2">
      <c r="A1774" s="79"/>
      <c r="B1774" s="79"/>
      <c r="C1774" s="80"/>
      <c r="D1774" s="66"/>
      <c r="E1774" s="86"/>
      <c r="F1774" s="66"/>
      <c r="G1774" s="66"/>
      <c r="H1774" s="82"/>
      <c r="I1774" s="174"/>
      <c r="J1774" s="174"/>
      <c r="K1774" s="84"/>
      <c r="L1774" s="102"/>
      <c r="M1774" s="66"/>
      <c r="N1774" s="66"/>
      <c r="R1774" s="72"/>
    </row>
    <row r="1775" spans="1:22" ht="18.75" customHeight="1" x14ac:dyDescent="0.2">
      <c r="A1775" s="70">
        <v>43611</v>
      </c>
      <c r="B1775" s="70">
        <v>43632</v>
      </c>
      <c r="C1775" s="71" t="s">
        <v>1792</v>
      </c>
      <c r="D1775" s="72" t="s">
        <v>1793</v>
      </c>
      <c r="E1775" s="145" t="s">
        <v>507</v>
      </c>
      <c r="F1775" s="72" t="s">
        <v>507</v>
      </c>
      <c r="G1775" s="72" t="s">
        <v>389</v>
      </c>
      <c r="H1775" s="74" t="s">
        <v>349</v>
      </c>
      <c r="I1775" s="173">
        <v>89.5</v>
      </c>
      <c r="J1775" s="173"/>
      <c r="K1775" s="76">
        <v>89.5</v>
      </c>
      <c r="L1775" s="77"/>
      <c r="M1775" s="134">
        <v>43831</v>
      </c>
      <c r="N1775" s="134">
        <v>46752</v>
      </c>
      <c r="O1775" s="101"/>
      <c r="P1775" s="101"/>
      <c r="Q1775" s="101"/>
      <c r="R1775" s="72"/>
      <c r="S1775" s="72" t="s">
        <v>1794</v>
      </c>
      <c r="T1775" s="101"/>
      <c r="U1775" s="101"/>
      <c r="V1775" s="101"/>
    </row>
    <row r="1776" spans="1:22" ht="18.75" customHeight="1" x14ac:dyDescent="0.2">
      <c r="A1776" s="79"/>
      <c r="B1776" s="79"/>
      <c r="C1776" s="80"/>
      <c r="D1776" s="66"/>
      <c r="E1776" s="86" t="s">
        <v>98</v>
      </c>
      <c r="F1776" s="66" t="s">
        <v>1795</v>
      </c>
      <c r="G1776" s="66" t="s">
        <v>1520</v>
      </c>
      <c r="H1776" s="82" t="s">
        <v>349</v>
      </c>
      <c r="I1776" s="174">
        <v>10.5</v>
      </c>
      <c r="J1776" s="174"/>
      <c r="K1776" s="84"/>
      <c r="L1776" s="102"/>
      <c r="M1776" s="66"/>
      <c r="N1776" s="66"/>
      <c r="R1776" s="72"/>
    </row>
    <row r="1777" spans="1:21" ht="18.75" customHeight="1" x14ac:dyDescent="0.2">
      <c r="A1777" s="79"/>
      <c r="B1777" s="79"/>
      <c r="C1777" s="80"/>
      <c r="D1777" s="66"/>
      <c r="E1777" s="86"/>
      <c r="F1777" s="66"/>
      <c r="G1777" s="66"/>
      <c r="H1777" s="82"/>
      <c r="I1777" s="174"/>
      <c r="J1777" s="174"/>
      <c r="K1777" s="84"/>
      <c r="L1777" s="102"/>
      <c r="M1777" s="66"/>
      <c r="N1777" s="66"/>
      <c r="R1777" s="72"/>
    </row>
    <row r="1778" spans="1:21" ht="18.75" customHeight="1" x14ac:dyDescent="0.2">
      <c r="A1778" s="70">
        <v>43611</v>
      </c>
      <c r="B1778" s="70">
        <v>43632</v>
      </c>
      <c r="C1778" s="71" t="s">
        <v>1796</v>
      </c>
      <c r="D1778" s="72" t="s">
        <v>1797</v>
      </c>
      <c r="E1778" s="145" t="s">
        <v>590</v>
      </c>
      <c r="F1778" s="72" t="s">
        <v>590</v>
      </c>
      <c r="G1778" s="72" t="s">
        <v>591</v>
      </c>
      <c r="H1778" s="74" t="s">
        <v>349</v>
      </c>
      <c r="I1778" s="173">
        <v>48.2</v>
      </c>
      <c r="J1778" s="173">
        <v>62.6</v>
      </c>
      <c r="K1778" s="76">
        <v>69.7</v>
      </c>
      <c r="L1778" s="77"/>
      <c r="M1778" s="134">
        <v>43647</v>
      </c>
      <c r="N1778" s="134">
        <v>44804</v>
      </c>
      <c r="O1778" s="101"/>
      <c r="P1778" s="101"/>
      <c r="Q1778" s="101"/>
      <c r="R1778" s="72"/>
      <c r="S1778" s="72" t="s">
        <v>1798</v>
      </c>
      <c r="T1778" s="101"/>
      <c r="U1778" s="101"/>
    </row>
    <row r="1779" spans="1:21" ht="18.75" customHeight="1" x14ac:dyDescent="0.2">
      <c r="A1779" s="79"/>
      <c r="B1779" s="79"/>
      <c r="C1779" s="80"/>
      <c r="D1779" s="66"/>
      <c r="E1779" s="86" t="s">
        <v>34</v>
      </c>
      <c r="F1779" s="66" t="s">
        <v>1799</v>
      </c>
      <c r="G1779" s="66" t="s">
        <v>1644</v>
      </c>
      <c r="H1779" s="82" t="s">
        <v>349</v>
      </c>
      <c r="I1779" s="174">
        <v>18.2</v>
      </c>
      <c r="J1779" s="174">
        <v>37.4</v>
      </c>
      <c r="K1779" s="84"/>
      <c r="L1779" s="102"/>
      <c r="M1779" s="66"/>
      <c r="N1779" s="66"/>
      <c r="R1779" s="72"/>
    </row>
    <row r="1780" spans="1:21" ht="18.75" customHeight="1" x14ac:dyDescent="0.2">
      <c r="A1780" s="79"/>
      <c r="B1780" s="79"/>
      <c r="C1780" s="80"/>
      <c r="D1780" s="66"/>
      <c r="E1780" s="86" t="s">
        <v>19</v>
      </c>
      <c r="F1780" s="66" t="s">
        <v>1800</v>
      </c>
      <c r="G1780" s="66" t="s">
        <v>1801</v>
      </c>
      <c r="H1780" s="82" t="s">
        <v>349</v>
      </c>
      <c r="I1780" s="174">
        <v>15.6</v>
      </c>
      <c r="J1780" s="174"/>
      <c r="K1780" s="84"/>
      <c r="L1780" s="102"/>
      <c r="M1780" s="66"/>
      <c r="N1780" s="66"/>
      <c r="R1780" s="72"/>
    </row>
    <row r="1781" spans="1:21" ht="18.75" customHeight="1" x14ac:dyDescent="0.2">
      <c r="A1781" s="79"/>
      <c r="B1781" s="79"/>
      <c r="C1781" s="80"/>
      <c r="D1781" s="66"/>
      <c r="E1781" s="86" t="s">
        <v>21</v>
      </c>
      <c r="F1781" s="66" t="s">
        <v>1802</v>
      </c>
      <c r="G1781" s="66" t="s">
        <v>1803</v>
      </c>
      <c r="H1781" s="82" t="s">
        <v>419</v>
      </c>
      <c r="I1781" s="174">
        <v>18.600000000000001</v>
      </c>
      <c r="J1781" s="174"/>
      <c r="K1781" s="84"/>
      <c r="L1781" s="102"/>
      <c r="M1781" s="66"/>
      <c r="N1781" s="66"/>
      <c r="R1781" s="72"/>
    </row>
    <row r="1782" spans="1:21" ht="18.75" customHeight="1" x14ac:dyDescent="0.2">
      <c r="A1782" s="79"/>
      <c r="B1782" s="79"/>
      <c r="C1782" s="80"/>
      <c r="D1782" s="66"/>
      <c r="E1782" s="86"/>
      <c r="F1782" s="66"/>
      <c r="G1782" s="66"/>
      <c r="H1782" s="82"/>
      <c r="I1782" s="174"/>
      <c r="J1782" s="174"/>
      <c r="K1782" s="84"/>
      <c r="L1782" s="102"/>
      <c r="M1782" s="66"/>
      <c r="N1782" s="66"/>
      <c r="R1782" s="72"/>
    </row>
    <row r="1783" spans="1:21" ht="18.75" customHeight="1" x14ac:dyDescent="0.2">
      <c r="A1783" s="70">
        <v>43611</v>
      </c>
      <c r="B1783" s="70">
        <v>43632</v>
      </c>
      <c r="C1783" s="71" t="s">
        <v>1804</v>
      </c>
      <c r="D1783" s="72" t="s">
        <v>808</v>
      </c>
      <c r="E1783" s="145" t="s">
        <v>19</v>
      </c>
      <c r="F1783" s="72" t="s">
        <v>1805</v>
      </c>
      <c r="G1783" s="72" t="s">
        <v>1117</v>
      </c>
      <c r="H1783" s="74" t="s">
        <v>349</v>
      </c>
      <c r="I1783" s="173">
        <v>64.400000000000006</v>
      </c>
      <c r="J1783" s="173"/>
      <c r="K1783" s="76">
        <v>63.5</v>
      </c>
      <c r="L1783" s="77"/>
      <c r="M1783" s="134">
        <v>43739</v>
      </c>
      <c r="N1783" s="134">
        <v>46660</v>
      </c>
      <c r="O1783" s="72" t="s">
        <v>19</v>
      </c>
      <c r="P1783" s="72" t="s">
        <v>1163</v>
      </c>
      <c r="Q1783" s="72" t="s">
        <v>423</v>
      </c>
      <c r="R1783" s="72" t="s">
        <v>349</v>
      </c>
    </row>
    <row r="1784" spans="1:21" ht="18.75" customHeight="1" x14ac:dyDescent="0.2">
      <c r="A1784" s="79"/>
      <c r="B1784" s="79"/>
      <c r="C1784" s="80"/>
      <c r="D1784" s="66"/>
      <c r="E1784" s="86" t="s">
        <v>21</v>
      </c>
      <c r="F1784" s="66" t="s">
        <v>1806</v>
      </c>
      <c r="G1784" s="66" t="s">
        <v>1699</v>
      </c>
      <c r="H1784" s="82" t="s">
        <v>419</v>
      </c>
      <c r="I1784" s="174">
        <v>35.6</v>
      </c>
      <c r="J1784" s="174"/>
      <c r="K1784" s="84"/>
      <c r="L1784" s="102"/>
      <c r="M1784" s="66"/>
      <c r="N1784" s="66"/>
      <c r="O1784" s="66"/>
      <c r="P1784" s="66"/>
      <c r="Q1784" s="66"/>
      <c r="R1784" s="72"/>
    </row>
    <row r="1785" spans="1:21" ht="18.75" customHeight="1" x14ac:dyDescent="0.2">
      <c r="A1785" s="79"/>
      <c r="B1785" s="79"/>
      <c r="C1785" s="80"/>
      <c r="D1785" s="66"/>
      <c r="E1785" s="86"/>
      <c r="F1785" s="66"/>
      <c r="G1785" s="66"/>
      <c r="H1785" s="82"/>
      <c r="I1785" s="174"/>
      <c r="J1785" s="174"/>
      <c r="K1785" s="84"/>
      <c r="L1785" s="102"/>
      <c r="M1785" s="66"/>
      <c r="N1785" s="66"/>
      <c r="O1785" s="66"/>
      <c r="P1785" s="66"/>
      <c r="Q1785" s="66"/>
      <c r="R1785" s="72"/>
    </row>
    <row r="1786" spans="1:21" ht="18.75" customHeight="1" x14ac:dyDescent="0.2">
      <c r="A1786" s="70">
        <v>43611</v>
      </c>
      <c r="B1786" s="70">
        <v>43632</v>
      </c>
      <c r="C1786" s="71" t="s">
        <v>1807</v>
      </c>
      <c r="D1786" s="72" t="s">
        <v>813</v>
      </c>
      <c r="E1786" s="145" t="s">
        <v>19</v>
      </c>
      <c r="F1786" s="72" t="s">
        <v>1808</v>
      </c>
      <c r="G1786" s="72" t="s">
        <v>1167</v>
      </c>
      <c r="H1786" s="74" t="s">
        <v>349</v>
      </c>
      <c r="I1786" s="173">
        <v>74.3</v>
      </c>
      <c r="J1786" s="173"/>
      <c r="K1786" s="76">
        <v>64.3</v>
      </c>
      <c r="L1786" s="77"/>
      <c r="M1786" s="134">
        <v>43862</v>
      </c>
      <c r="N1786" s="134">
        <v>46783</v>
      </c>
      <c r="O1786" s="72" t="s">
        <v>19</v>
      </c>
      <c r="P1786" s="72" t="s">
        <v>814</v>
      </c>
      <c r="Q1786" s="72" t="s">
        <v>815</v>
      </c>
      <c r="R1786" s="72" t="s">
        <v>349</v>
      </c>
    </row>
    <row r="1787" spans="1:21" ht="18.75" customHeight="1" x14ac:dyDescent="0.2">
      <c r="A1787" s="79"/>
      <c r="B1787" s="79"/>
      <c r="C1787" s="80"/>
      <c r="D1787" s="66"/>
      <c r="E1787" s="86"/>
      <c r="F1787" s="66"/>
      <c r="G1787" s="66"/>
      <c r="H1787" s="82"/>
      <c r="I1787" s="174"/>
      <c r="J1787" s="174"/>
      <c r="K1787" s="84"/>
      <c r="L1787" s="102"/>
      <c r="M1787" s="66"/>
      <c r="N1787" s="66"/>
      <c r="R1787" s="72"/>
    </row>
    <row r="1788" spans="1:21" s="72" customFormat="1" ht="18.75" customHeight="1" x14ac:dyDescent="0.2">
      <c r="A1788" s="70">
        <v>43611</v>
      </c>
      <c r="B1788" s="70">
        <v>43632</v>
      </c>
      <c r="C1788" s="71" t="s">
        <v>1809</v>
      </c>
      <c r="D1788" s="72" t="s">
        <v>664</v>
      </c>
      <c r="E1788" s="145" t="s">
        <v>19</v>
      </c>
      <c r="F1788" s="72" t="s">
        <v>1810</v>
      </c>
      <c r="G1788" s="72" t="s">
        <v>604</v>
      </c>
      <c r="H1788" s="74" t="s">
        <v>349</v>
      </c>
      <c r="I1788" s="173">
        <v>74.3</v>
      </c>
      <c r="J1788" s="173"/>
      <c r="K1788" s="76">
        <v>66.2</v>
      </c>
      <c r="L1788" s="77"/>
      <c r="M1788" s="134">
        <v>43647</v>
      </c>
      <c r="N1788" s="134">
        <v>45443</v>
      </c>
      <c r="O1788" s="72" t="s">
        <v>19</v>
      </c>
      <c r="P1788" s="72" t="s">
        <v>1103</v>
      </c>
      <c r="Q1788" s="72" t="s">
        <v>383</v>
      </c>
      <c r="R1788" s="72" t="s">
        <v>349</v>
      </c>
      <c r="S1788" s="72" t="s">
        <v>1811</v>
      </c>
    </row>
    <row r="1789" spans="1:21" s="72" customFormat="1" ht="18.75" customHeight="1" x14ac:dyDescent="0.2">
      <c r="A1789" s="70"/>
      <c r="B1789" s="70"/>
      <c r="C1789" s="71"/>
      <c r="E1789" s="145"/>
      <c r="H1789" s="74"/>
      <c r="I1789" s="173"/>
      <c r="J1789" s="173"/>
      <c r="K1789" s="76"/>
      <c r="L1789" s="77"/>
      <c r="M1789" s="134"/>
      <c r="N1789" s="134"/>
    </row>
    <row r="1790" spans="1:21" s="72" customFormat="1" ht="18.75" customHeight="1" x14ac:dyDescent="0.2">
      <c r="A1790" s="70">
        <v>43611</v>
      </c>
      <c r="B1790" s="70">
        <v>43632</v>
      </c>
      <c r="C1790" s="71" t="s">
        <v>1812</v>
      </c>
      <c r="D1790" s="72" t="s">
        <v>1813</v>
      </c>
      <c r="E1790" s="145" t="s">
        <v>19</v>
      </c>
      <c r="F1790" s="72" t="s">
        <v>1232</v>
      </c>
      <c r="G1790" s="72" t="s">
        <v>1233</v>
      </c>
      <c r="H1790" s="74" t="s">
        <v>419</v>
      </c>
      <c r="I1790" s="173">
        <v>81.3</v>
      </c>
      <c r="J1790" s="173"/>
      <c r="K1790" s="76">
        <v>69.3</v>
      </c>
      <c r="L1790" s="77"/>
      <c r="M1790" s="134">
        <v>43840</v>
      </c>
      <c r="N1790" s="134">
        <v>46761</v>
      </c>
      <c r="O1790" s="72" t="s">
        <v>19</v>
      </c>
      <c r="P1790" s="72" t="s">
        <v>1232</v>
      </c>
      <c r="Q1790" s="72" t="s">
        <v>1233</v>
      </c>
      <c r="R1790" s="72" t="s">
        <v>419</v>
      </c>
    </row>
    <row r="1791" spans="1:21" s="72" customFormat="1" ht="18.75" customHeight="1" x14ac:dyDescent="0.2">
      <c r="A1791" s="70"/>
      <c r="B1791" s="70"/>
      <c r="C1791" s="71"/>
      <c r="E1791" s="145"/>
      <c r="H1791" s="74"/>
      <c r="I1791" s="173"/>
      <c r="J1791" s="173"/>
      <c r="K1791" s="76"/>
      <c r="L1791" s="77"/>
      <c r="M1791" s="134"/>
      <c r="N1791" s="134"/>
    </row>
    <row r="1792" spans="1:21" s="72" customFormat="1" ht="18.75" customHeight="1" x14ac:dyDescent="0.2">
      <c r="A1792" s="70">
        <v>43611</v>
      </c>
      <c r="B1792" s="70">
        <v>43632</v>
      </c>
      <c r="C1792" s="71" t="s">
        <v>1814</v>
      </c>
      <c r="D1792" s="72" t="s">
        <v>1013</v>
      </c>
      <c r="E1792" s="145" t="s">
        <v>21</v>
      </c>
      <c r="F1792" s="72" t="s">
        <v>1124</v>
      </c>
      <c r="G1792" s="72" t="s">
        <v>427</v>
      </c>
      <c r="H1792" s="74" t="s">
        <v>349</v>
      </c>
      <c r="I1792" s="173">
        <v>76.099999999999994</v>
      </c>
      <c r="J1792" s="173"/>
      <c r="K1792" s="76">
        <v>70.2</v>
      </c>
      <c r="L1792" s="77"/>
      <c r="M1792" s="134">
        <v>43709</v>
      </c>
      <c r="N1792" s="134">
        <v>46630</v>
      </c>
      <c r="O1792" s="72" t="s">
        <v>21</v>
      </c>
      <c r="P1792" s="72" t="s">
        <v>1124</v>
      </c>
      <c r="Q1792" s="72" t="s">
        <v>427</v>
      </c>
      <c r="R1792" s="72" t="s">
        <v>349</v>
      </c>
    </row>
    <row r="1793" spans="1:19" s="72" customFormat="1" ht="18.75" customHeight="1" x14ac:dyDescent="0.2">
      <c r="A1793" s="70"/>
      <c r="B1793" s="70"/>
      <c r="C1793" s="71"/>
      <c r="E1793" s="145"/>
      <c r="H1793" s="74"/>
      <c r="I1793" s="173"/>
      <c r="J1793" s="173"/>
      <c r="K1793" s="76"/>
      <c r="L1793" s="77"/>
      <c r="M1793" s="134"/>
      <c r="N1793" s="134"/>
    </row>
    <row r="1794" spans="1:19" s="72" customFormat="1" ht="18.75" customHeight="1" x14ac:dyDescent="0.2">
      <c r="A1794" s="70">
        <v>43611</v>
      </c>
      <c r="B1794" s="70">
        <v>43632</v>
      </c>
      <c r="C1794" s="71" t="s">
        <v>1815</v>
      </c>
      <c r="D1794" s="72" t="s">
        <v>475</v>
      </c>
      <c r="E1794" s="145" t="s">
        <v>21</v>
      </c>
      <c r="F1794" s="72" t="s">
        <v>1402</v>
      </c>
      <c r="G1794" s="72" t="s">
        <v>776</v>
      </c>
      <c r="H1794" s="74" t="s">
        <v>349</v>
      </c>
      <c r="I1794" s="173">
        <v>68.400000000000006</v>
      </c>
      <c r="J1794" s="173"/>
      <c r="K1794" s="76">
        <v>63.6</v>
      </c>
      <c r="L1794" s="77"/>
      <c r="M1794" s="134">
        <v>43743</v>
      </c>
      <c r="N1794" s="134">
        <v>46664</v>
      </c>
      <c r="O1794" s="72" t="s">
        <v>21</v>
      </c>
      <c r="P1794" s="72" t="s">
        <v>1402</v>
      </c>
      <c r="Q1794" s="72" t="s">
        <v>776</v>
      </c>
      <c r="R1794" s="72" t="s">
        <v>349</v>
      </c>
    </row>
    <row r="1795" spans="1:19" s="72" customFormat="1" ht="18.75" customHeight="1" x14ac:dyDescent="0.2">
      <c r="A1795" s="70"/>
      <c r="B1795" s="70"/>
      <c r="C1795" s="71"/>
      <c r="E1795" s="86" t="s">
        <v>19</v>
      </c>
      <c r="F1795" s="66" t="s">
        <v>1816</v>
      </c>
      <c r="G1795" s="66" t="s">
        <v>1817</v>
      </c>
      <c r="H1795" s="82" t="s">
        <v>419</v>
      </c>
      <c r="I1795" s="174">
        <v>31.6</v>
      </c>
      <c r="J1795" s="174"/>
      <c r="K1795" s="76"/>
      <c r="L1795" s="77"/>
      <c r="M1795" s="134"/>
      <c r="N1795" s="134"/>
    </row>
    <row r="1796" spans="1:19" s="72" customFormat="1" ht="18.75" customHeight="1" x14ac:dyDescent="0.2">
      <c r="A1796" s="70"/>
      <c r="B1796" s="70"/>
      <c r="C1796" s="71"/>
      <c r="E1796" s="145"/>
      <c r="H1796" s="74"/>
      <c r="I1796" s="173"/>
      <c r="J1796" s="173"/>
      <c r="K1796" s="76"/>
      <c r="L1796" s="77"/>
      <c r="M1796" s="134"/>
      <c r="N1796" s="134"/>
    </row>
    <row r="1797" spans="1:19" s="72" customFormat="1" ht="18.75" customHeight="1" x14ac:dyDescent="0.2">
      <c r="A1797" s="70">
        <v>43611</v>
      </c>
      <c r="B1797" s="70">
        <v>43632</v>
      </c>
      <c r="C1797" s="71" t="s">
        <v>1818</v>
      </c>
      <c r="D1797" s="72" t="s">
        <v>582</v>
      </c>
      <c r="E1797" s="145" t="s">
        <v>19</v>
      </c>
      <c r="F1797" s="72" t="s">
        <v>1435</v>
      </c>
      <c r="G1797" s="72" t="s">
        <v>389</v>
      </c>
      <c r="H1797" s="74" t="s">
        <v>349</v>
      </c>
      <c r="I1797" s="173">
        <v>62.9</v>
      </c>
      <c r="J1797" s="173"/>
      <c r="K1797" s="76">
        <v>64.7</v>
      </c>
      <c r="L1797" s="77"/>
      <c r="M1797" s="134">
        <v>43831</v>
      </c>
      <c r="N1797" s="134">
        <v>46752</v>
      </c>
      <c r="S1797" s="72" t="s">
        <v>1819</v>
      </c>
    </row>
    <row r="1798" spans="1:19" s="72" customFormat="1" ht="18.75" customHeight="1" x14ac:dyDescent="0.2">
      <c r="A1798" s="70"/>
      <c r="B1798" s="70"/>
      <c r="C1798" s="71"/>
      <c r="E1798" s="86" t="s">
        <v>21</v>
      </c>
      <c r="F1798" s="66" t="s">
        <v>1820</v>
      </c>
      <c r="G1798" s="66" t="s">
        <v>1821</v>
      </c>
      <c r="H1798" s="82" t="s">
        <v>419</v>
      </c>
      <c r="I1798" s="174">
        <v>37.1</v>
      </c>
      <c r="J1798" s="174"/>
      <c r="K1798" s="84"/>
      <c r="L1798" s="77"/>
      <c r="M1798" s="134"/>
      <c r="N1798" s="134"/>
    </row>
    <row r="1799" spans="1:19" s="72" customFormat="1" ht="18.75" customHeight="1" x14ac:dyDescent="0.2">
      <c r="A1799" s="70"/>
      <c r="B1799" s="70"/>
      <c r="C1799" s="71"/>
      <c r="E1799" s="86"/>
      <c r="F1799" s="66"/>
      <c r="G1799" s="66"/>
      <c r="H1799" s="82"/>
      <c r="I1799" s="174"/>
      <c r="J1799" s="174"/>
      <c r="K1799" s="84"/>
      <c r="L1799" s="77"/>
      <c r="M1799" s="134"/>
      <c r="N1799" s="134"/>
    </row>
    <row r="1800" spans="1:19" s="72" customFormat="1" ht="18.75" customHeight="1" x14ac:dyDescent="0.2">
      <c r="A1800" s="70">
        <v>43611</v>
      </c>
      <c r="B1800" s="70">
        <v>43632</v>
      </c>
      <c r="C1800" s="71" t="s">
        <v>1822</v>
      </c>
      <c r="D1800" s="72" t="s">
        <v>1823</v>
      </c>
      <c r="E1800" s="145" t="s">
        <v>21</v>
      </c>
      <c r="F1800" s="72" t="s">
        <v>1470</v>
      </c>
      <c r="G1800" s="72" t="s">
        <v>383</v>
      </c>
      <c r="H1800" s="74" t="s">
        <v>349</v>
      </c>
      <c r="I1800" s="173">
        <v>45.8</v>
      </c>
      <c r="J1800" s="173">
        <v>54.1</v>
      </c>
      <c r="K1800" s="76">
        <v>68.5</v>
      </c>
      <c r="L1800" s="77">
        <v>57.8</v>
      </c>
      <c r="M1800" s="134">
        <v>43831</v>
      </c>
      <c r="N1800" s="134">
        <v>46752</v>
      </c>
      <c r="S1800" s="72" t="s">
        <v>1824</v>
      </c>
    </row>
    <row r="1801" spans="1:19" s="72" customFormat="1" ht="18.75" customHeight="1" x14ac:dyDescent="0.2">
      <c r="A1801" s="70"/>
      <c r="B1801" s="70"/>
      <c r="C1801" s="71"/>
      <c r="E1801" s="86" t="s">
        <v>19</v>
      </c>
      <c r="F1801" s="66" t="s">
        <v>1825</v>
      </c>
      <c r="G1801" s="66" t="s">
        <v>1826</v>
      </c>
      <c r="H1801" s="82" t="s">
        <v>419</v>
      </c>
      <c r="I1801" s="174">
        <v>32.5</v>
      </c>
      <c r="J1801" s="174">
        <v>45.9</v>
      </c>
      <c r="K1801" s="84"/>
      <c r="L1801" s="77"/>
      <c r="M1801" s="134"/>
      <c r="N1801" s="134"/>
    </row>
    <row r="1802" spans="1:19" s="72" customFormat="1" ht="18.75" customHeight="1" x14ac:dyDescent="0.2">
      <c r="A1802" s="70"/>
      <c r="B1802" s="70"/>
      <c r="C1802" s="71"/>
      <c r="E1802" s="86" t="s">
        <v>38</v>
      </c>
      <c r="F1802" s="66" t="s">
        <v>1827</v>
      </c>
      <c r="G1802" s="66" t="s">
        <v>776</v>
      </c>
      <c r="H1802" s="82" t="s">
        <v>349</v>
      </c>
      <c r="I1802" s="174">
        <v>7.2</v>
      </c>
      <c r="J1802" s="174"/>
      <c r="K1802" s="84"/>
      <c r="L1802" s="77"/>
      <c r="M1802" s="134"/>
      <c r="N1802" s="134"/>
    </row>
    <row r="1803" spans="1:19" s="72" customFormat="1" ht="18.75" customHeight="1" x14ac:dyDescent="0.2">
      <c r="A1803" s="70"/>
      <c r="B1803" s="70"/>
      <c r="C1803" s="71"/>
      <c r="E1803" s="86" t="s">
        <v>1828</v>
      </c>
      <c r="F1803" s="66" t="s">
        <v>1829</v>
      </c>
      <c r="G1803" s="66" t="s">
        <v>789</v>
      </c>
      <c r="H1803" s="82" t="s">
        <v>349</v>
      </c>
      <c r="I1803" s="174">
        <v>8.3000000000000007</v>
      </c>
      <c r="J1803" s="174"/>
      <c r="K1803" s="84"/>
      <c r="L1803" s="77"/>
      <c r="M1803" s="134"/>
      <c r="N1803" s="134"/>
    </row>
    <row r="1804" spans="1:19" ht="18.75" customHeight="1" x14ac:dyDescent="0.2">
      <c r="A1804" s="79"/>
      <c r="B1804" s="79"/>
      <c r="C1804" s="80"/>
      <c r="D1804" s="66"/>
      <c r="E1804" s="86" t="s">
        <v>428</v>
      </c>
      <c r="F1804" s="66" t="s">
        <v>428</v>
      </c>
      <c r="G1804" s="66" t="s">
        <v>1830</v>
      </c>
      <c r="H1804" s="82" t="s">
        <v>419</v>
      </c>
      <c r="I1804" s="174">
        <v>6.1</v>
      </c>
      <c r="J1804" s="174"/>
      <c r="K1804" s="84"/>
      <c r="L1804" s="102"/>
      <c r="M1804" s="66"/>
      <c r="N1804" s="66"/>
      <c r="R1804" s="72"/>
    </row>
    <row r="1805" spans="1:19" ht="18.75" customHeight="1" x14ac:dyDescent="0.2">
      <c r="A1805" s="79"/>
      <c r="B1805" s="79"/>
      <c r="C1805" s="80"/>
      <c r="D1805" s="66"/>
      <c r="E1805" s="86"/>
      <c r="F1805" s="66"/>
      <c r="G1805" s="66"/>
      <c r="H1805" s="82"/>
      <c r="I1805" s="174"/>
      <c r="J1805" s="174"/>
      <c r="K1805" s="84"/>
      <c r="L1805" s="102"/>
      <c r="M1805" s="66"/>
      <c r="N1805" s="66"/>
      <c r="R1805" s="72"/>
    </row>
    <row r="1806" spans="1:19" ht="18.75" customHeight="1" x14ac:dyDescent="0.2">
      <c r="A1806" s="70">
        <v>43611</v>
      </c>
      <c r="B1806" s="70">
        <v>43632</v>
      </c>
      <c r="C1806" s="71" t="s">
        <v>1831</v>
      </c>
      <c r="D1806" s="72" t="s">
        <v>630</v>
      </c>
      <c r="E1806" s="145" t="s">
        <v>21</v>
      </c>
      <c r="F1806" s="72" t="s">
        <v>1399</v>
      </c>
      <c r="G1806" s="72" t="s">
        <v>1400</v>
      </c>
      <c r="H1806" s="74" t="s">
        <v>349</v>
      </c>
      <c r="I1806" s="173">
        <v>67.099999999999994</v>
      </c>
      <c r="J1806" s="173"/>
      <c r="K1806" s="76">
        <v>74.5</v>
      </c>
      <c r="L1806" s="77"/>
      <c r="M1806" s="134">
        <v>43739</v>
      </c>
      <c r="N1806" s="134">
        <v>46660</v>
      </c>
      <c r="O1806" s="72" t="s">
        <v>21</v>
      </c>
      <c r="P1806" s="72" t="s">
        <v>1399</v>
      </c>
      <c r="Q1806" s="72" t="s">
        <v>1400</v>
      </c>
      <c r="R1806" s="72" t="s">
        <v>349</v>
      </c>
      <c r="S1806" s="72"/>
    </row>
    <row r="1807" spans="1:19" ht="18.75" customHeight="1" x14ac:dyDescent="0.2">
      <c r="A1807" s="79"/>
      <c r="B1807" s="79"/>
      <c r="C1807" s="80"/>
      <c r="D1807" s="66"/>
      <c r="E1807" s="86" t="s">
        <v>19</v>
      </c>
      <c r="F1807" s="66" t="s">
        <v>1832</v>
      </c>
      <c r="G1807" s="66" t="s">
        <v>1188</v>
      </c>
      <c r="H1807" s="82" t="s">
        <v>349</v>
      </c>
      <c r="I1807" s="174">
        <v>32.9</v>
      </c>
      <c r="J1807" s="174"/>
      <c r="K1807" s="84"/>
      <c r="L1807" s="102"/>
      <c r="M1807" s="66"/>
      <c r="N1807" s="66"/>
      <c r="R1807" s="72"/>
    </row>
    <row r="1808" spans="1:19" ht="18.75" customHeight="1" x14ac:dyDescent="0.2">
      <c r="A1808" s="79"/>
      <c r="B1808" s="79"/>
      <c r="C1808" s="80"/>
      <c r="D1808" s="66"/>
      <c r="E1808" s="86"/>
      <c r="F1808" s="66"/>
      <c r="G1808" s="66"/>
      <c r="H1808" s="82"/>
      <c r="I1808" s="174"/>
      <c r="J1808" s="174"/>
      <c r="K1808" s="84"/>
      <c r="L1808" s="102"/>
      <c r="M1808" s="66"/>
      <c r="N1808" s="66"/>
      <c r="R1808" s="72"/>
    </row>
    <row r="1809" spans="1:19" s="66" customFormat="1" ht="18.75" customHeight="1" x14ac:dyDescent="0.2">
      <c r="A1809" s="70">
        <v>43611</v>
      </c>
      <c r="B1809" s="70">
        <v>43632</v>
      </c>
      <c r="C1809" s="71" t="s">
        <v>1833</v>
      </c>
      <c r="D1809" s="72" t="s">
        <v>1834</v>
      </c>
      <c r="E1809" s="145" t="s">
        <v>21</v>
      </c>
      <c r="F1809" s="72" t="s">
        <v>1835</v>
      </c>
      <c r="G1809" s="72" t="s">
        <v>721</v>
      </c>
      <c r="H1809" s="74" t="s">
        <v>349</v>
      </c>
      <c r="I1809" s="173">
        <v>41.3</v>
      </c>
      <c r="J1809" s="173">
        <v>58.6</v>
      </c>
      <c r="K1809" s="76">
        <v>65.7</v>
      </c>
      <c r="L1809" s="77">
        <v>45.8</v>
      </c>
      <c r="M1809" s="134">
        <v>43709</v>
      </c>
      <c r="N1809" s="134">
        <v>46630</v>
      </c>
      <c r="O1809" s="72" t="s">
        <v>19</v>
      </c>
      <c r="P1809" s="72" t="s">
        <v>957</v>
      </c>
      <c r="Q1809" s="72" t="s">
        <v>587</v>
      </c>
      <c r="R1809" s="72" t="s">
        <v>349</v>
      </c>
      <c r="S1809" s="72" t="s">
        <v>1836</v>
      </c>
    </row>
    <row r="1810" spans="1:19" ht="18.75" customHeight="1" x14ac:dyDescent="0.2">
      <c r="A1810" s="79"/>
      <c r="B1810" s="79"/>
      <c r="C1810" s="80"/>
      <c r="D1810" s="66"/>
      <c r="E1810" s="86" t="s">
        <v>19</v>
      </c>
      <c r="F1810" s="66" t="s">
        <v>1837</v>
      </c>
      <c r="G1810" s="66" t="s">
        <v>392</v>
      </c>
      <c r="H1810" s="82" t="s">
        <v>349</v>
      </c>
      <c r="I1810" s="174">
        <v>32.9</v>
      </c>
      <c r="J1810" s="174">
        <v>41.4</v>
      </c>
      <c r="K1810" s="84"/>
      <c r="L1810" s="102"/>
      <c r="M1810" s="66"/>
      <c r="N1810" s="66"/>
      <c r="R1810" s="72"/>
    </row>
    <row r="1811" spans="1:19" ht="18.75" customHeight="1" x14ac:dyDescent="0.2">
      <c r="A1811" s="79"/>
      <c r="B1811" s="79"/>
      <c r="C1811" s="80"/>
      <c r="D1811" s="66"/>
      <c r="E1811" s="86" t="s">
        <v>1838</v>
      </c>
      <c r="F1811" s="66" t="s">
        <v>1838</v>
      </c>
      <c r="G1811" s="66" t="s">
        <v>476</v>
      </c>
      <c r="H1811" s="82" t="s">
        <v>349</v>
      </c>
      <c r="I1811" s="174">
        <v>8.6</v>
      </c>
      <c r="J1811" s="174"/>
      <c r="K1811" s="84"/>
      <c r="L1811" s="102"/>
      <c r="M1811" s="66"/>
      <c r="N1811" s="66"/>
      <c r="R1811" s="72"/>
    </row>
    <row r="1812" spans="1:19" ht="18.75" customHeight="1" x14ac:dyDescent="0.2">
      <c r="A1812" s="79"/>
      <c r="B1812" s="79"/>
      <c r="C1812" s="80"/>
      <c r="D1812" s="66"/>
      <c r="E1812" s="86" t="s">
        <v>481</v>
      </c>
      <c r="F1812" s="66" t="s">
        <v>481</v>
      </c>
      <c r="G1812" s="66" t="s">
        <v>476</v>
      </c>
      <c r="H1812" s="82" t="s">
        <v>349</v>
      </c>
      <c r="I1812" s="174">
        <v>4.5</v>
      </c>
      <c r="J1812" s="174"/>
      <c r="K1812" s="84"/>
      <c r="L1812" s="102"/>
      <c r="M1812" s="66"/>
      <c r="N1812" s="66"/>
      <c r="R1812" s="72"/>
    </row>
    <row r="1813" spans="1:19" ht="18.75" customHeight="1" x14ac:dyDescent="0.2">
      <c r="A1813" s="79"/>
      <c r="B1813" s="79"/>
      <c r="C1813" s="80"/>
      <c r="D1813" s="66"/>
      <c r="E1813" s="86" t="s">
        <v>1364</v>
      </c>
      <c r="F1813" s="66" t="s">
        <v>1364</v>
      </c>
      <c r="G1813" s="66" t="s">
        <v>889</v>
      </c>
      <c r="H1813" s="82" t="s">
        <v>349</v>
      </c>
      <c r="I1813" s="174">
        <v>6.1</v>
      </c>
      <c r="J1813" s="174"/>
      <c r="K1813" s="84"/>
      <c r="L1813" s="102"/>
      <c r="M1813" s="66"/>
      <c r="N1813" s="66"/>
      <c r="R1813" s="72"/>
    </row>
    <row r="1814" spans="1:19" ht="18.75" customHeight="1" x14ac:dyDescent="0.2">
      <c r="A1814" s="79"/>
      <c r="B1814" s="79"/>
      <c r="C1814" s="80"/>
      <c r="D1814" s="66"/>
      <c r="E1814" s="86" t="s">
        <v>1181</v>
      </c>
      <c r="F1814" s="66" t="s">
        <v>1181</v>
      </c>
      <c r="G1814" s="66" t="s">
        <v>1151</v>
      </c>
      <c r="H1814" s="82" t="s">
        <v>349</v>
      </c>
      <c r="I1814" s="174">
        <v>6.6</v>
      </c>
      <c r="J1814" s="174"/>
      <c r="K1814" s="84"/>
      <c r="L1814" s="102"/>
      <c r="M1814" s="66"/>
      <c r="N1814" s="66"/>
      <c r="R1814" s="72"/>
    </row>
    <row r="1815" spans="1:19" ht="18.75" customHeight="1" x14ac:dyDescent="0.2">
      <c r="A1815" s="79"/>
      <c r="B1815" s="79"/>
      <c r="C1815" s="80"/>
      <c r="D1815" s="66"/>
      <c r="E1815" s="86"/>
      <c r="F1815" s="66"/>
      <c r="G1815" s="66"/>
      <c r="H1815" s="82"/>
      <c r="I1815" s="174"/>
      <c r="J1815" s="174"/>
      <c r="K1815" s="84"/>
      <c r="L1815" s="102"/>
      <c r="M1815" s="66"/>
      <c r="N1815" s="66"/>
      <c r="R1815" s="72"/>
    </row>
    <row r="1816" spans="1:19" s="101" customFormat="1" ht="18.75" customHeight="1" x14ac:dyDescent="0.2">
      <c r="A1816" s="70">
        <v>43758</v>
      </c>
      <c r="B1816" s="70">
        <v>43779</v>
      </c>
      <c r="C1816" s="71" t="s">
        <v>1839</v>
      </c>
      <c r="D1816" s="72" t="s">
        <v>1840</v>
      </c>
      <c r="E1816" s="145" t="s">
        <v>580</v>
      </c>
      <c r="F1816" s="72" t="s">
        <v>580</v>
      </c>
      <c r="G1816" s="72" t="s">
        <v>476</v>
      </c>
      <c r="H1816" s="74" t="s">
        <v>349</v>
      </c>
      <c r="I1816" s="173">
        <v>57.9</v>
      </c>
      <c r="J1816" s="173"/>
      <c r="K1816" s="76">
        <v>49.1</v>
      </c>
      <c r="L1816" s="77"/>
      <c r="M1816" s="134">
        <v>43831</v>
      </c>
      <c r="N1816" s="134">
        <v>46752</v>
      </c>
      <c r="R1816" s="72"/>
      <c r="S1816" s="72" t="s">
        <v>1841</v>
      </c>
    </row>
    <row r="1817" spans="1:19" ht="18.75" customHeight="1" x14ac:dyDescent="0.2">
      <c r="A1817" s="79"/>
      <c r="B1817" s="79"/>
      <c r="C1817" s="80"/>
      <c r="D1817" s="66"/>
      <c r="E1817" s="86" t="s">
        <v>21</v>
      </c>
      <c r="F1817" s="66" t="s">
        <v>1842</v>
      </c>
      <c r="G1817" s="66" t="s">
        <v>935</v>
      </c>
      <c r="H1817" s="82" t="s">
        <v>349</v>
      </c>
      <c r="I1817" s="174">
        <v>37.9</v>
      </c>
      <c r="J1817" s="174"/>
      <c r="K1817" s="84"/>
      <c r="L1817" s="102"/>
      <c r="M1817" s="66"/>
      <c r="N1817" s="66"/>
      <c r="R1817" s="72"/>
    </row>
    <row r="1818" spans="1:19" ht="18.75" customHeight="1" x14ac:dyDescent="0.2">
      <c r="A1818" s="79"/>
      <c r="B1818" s="79"/>
      <c r="C1818" s="80"/>
      <c r="D1818" s="66"/>
      <c r="E1818" s="86" t="s">
        <v>1843</v>
      </c>
      <c r="F1818" s="66" t="s">
        <v>1843</v>
      </c>
      <c r="G1818" s="66" t="s">
        <v>1188</v>
      </c>
      <c r="H1818" s="82" t="s">
        <v>349</v>
      </c>
      <c r="I1818" s="174">
        <v>4.2</v>
      </c>
      <c r="J1818" s="174"/>
      <c r="K1818" s="84"/>
      <c r="L1818" s="102"/>
      <c r="M1818" s="66"/>
      <c r="N1818" s="66"/>
      <c r="R1818" s="72"/>
    </row>
    <row r="1819" spans="1:19" ht="18.75" customHeight="1" x14ac:dyDescent="0.2">
      <c r="A1819" s="79"/>
      <c r="B1819" s="79"/>
      <c r="C1819" s="80"/>
      <c r="D1819" s="66"/>
      <c r="E1819" s="86"/>
      <c r="F1819" s="66"/>
      <c r="G1819" s="66"/>
      <c r="H1819" s="82"/>
      <c r="I1819" s="174"/>
      <c r="J1819" s="174"/>
      <c r="K1819" s="84"/>
      <c r="L1819" s="102"/>
      <c r="M1819" s="66"/>
      <c r="N1819" s="66"/>
      <c r="R1819" s="72"/>
    </row>
    <row r="1820" spans="1:19" s="101" customFormat="1" ht="18.75" customHeight="1" x14ac:dyDescent="0.2">
      <c r="A1820" s="70">
        <v>43758</v>
      </c>
      <c r="B1820" s="70">
        <v>43779</v>
      </c>
      <c r="C1820" s="71" t="s">
        <v>1844</v>
      </c>
      <c r="D1820" s="72" t="s">
        <v>953</v>
      </c>
      <c r="E1820" s="145" t="s">
        <v>19</v>
      </c>
      <c r="F1820" s="72" t="s">
        <v>440</v>
      </c>
      <c r="G1820" s="72" t="s">
        <v>1845</v>
      </c>
      <c r="H1820" s="74" t="s">
        <v>349</v>
      </c>
      <c r="I1820" s="173">
        <v>56.5</v>
      </c>
      <c r="J1820" s="173"/>
      <c r="K1820" s="76">
        <v>56.4</v>
      </c>
      <c r="L1820" s="77"/>
      <c r="M1820" s="134">
        <v>43983</v>
      </c>
      <c r="N1820" s="134">
        <v>46904</v>
      </c>
      <c r="O1820" s="101" t="s">
        <v>21</v>
      </c>
      <c r="P1820" s="101" t="s">
        <v>1424</v>
      </c>
      <c r="Q1820" s="101" t="s">
        <v>1846</v>
      </c>
      <c r="R1820" s="72" t="s">
        <v>349</v>
      </c>
      <c r="S1820" s="72"/>
    </row>
    <row r="1821" spans="1:19" ht="18.75" customHeight="1" x14ac:dyDescent="0.2">
      <c r="A1821" s="79"/>
      <c r="B1821" s="79"/>
      <c r="C1821" s="80"/>
      <c r="D1821" s="66"/>
      <c r="E1821" s="86" t="s">
        <v>21</v>
      </c>
      <c r="F1821" s="66" t="s">
        <v>1424</v>
      </c>
      <c r="G1821" s="66" t="s">
        <v>477</v>
      </c>
      <c r="H1821" s="82" t="s">
        <v>349</v>
      </c>
      <c r="I1821" s="174">
        <v>43.5</v>
      </c>
      <c r="J1821" s="174"/>
      <c r="K1821" s="84"/>
      <c r="L1821" s="102"/>
      <c r="M1821" s="66"/>
      <c r="N1821" s="66"/>
      <c r="R1821" s="72"/>
    </row>
    <row r="1822" spans="1:19" ht="18.75" customHeight="1" x14ac:dyDescent="0.2">
      <c r="A1822" s="79"/>
      <c r="B1822" s="79"/>
      <c r="C1822" s="80"/>
      <c r="D1822" s="66"/>
      <c r="E1822" s="86"/>
      <c r="F1822" s="66"/>
      <c r="G1822" s="66"/>
      <c r="H1822" s="82"/>
      <c r="I1822" s="174"/>
      <c r="J1822" s="174"/>
      <c r="K1822" s="84"/>
      <c r="L1822" s="102"/>
      <c r="M1822" s="66"/>
      <c r="N1822" s="66"/>
      <c r="R1822" s="72"/>
    </row>
    <row r="1823" spans="1:19" s="101" customFormat="1" ht="18.75" customHeight="1" x14ac:dyDescent="0.2">
      <c r="A1823" s="70">
        <v>43779</v>
      </c>
      <c r="B1823" s="70">
        <v>43793</v>
      </c>
      <c r="C1823" s="71">
        <v>13208</v>
      </c>
      <c r="D1823" s="72" t="s">
        <v>528</v>
      </c>
      <c r="E1823" s="145" t="s">
        <v>19</v>
      </c>
      <c r="F1823" s="72" t="s">
        <v>1847</v>
      </c>
      <c r="G1823" s="72" t="s">
        <v>1848</v>
      </c>
      <c r="H1823" s="74" t="s">
        <v>349</v>
      </c>
      <c r="I1823" s="173">
        <v>82.2</v>
      </c>
      <c r="J1823" s="173"/>
      <c r="K1823" s="76">
        <v>27.4</v>
      </c>
      <c r="L1823" s="77"/>
      <c r="M1823" s="134">
        <v>44013</v>
      </c>
      <c r="N1823" s="134">
        <v>46934</v>
      </c>
      <c r="O1823" s="101" t="s">
        <v>19</v>
      </c>
      <c r="P1823" s="101" t="s">
        <v>529</v>
      </c>
      <c r="Q1823" s="101" t="s">
        <v>383</v>
      </c>
      <c r="R1823" s="72" t="s">
        <v>349</v>
      </c>
      <c r="S1823" s="72"/>
    </row>
    <row r="1824" spans="1:19" ht="18.75" customHeight="1" x14ac:dyDescent="0.2">
      <c r="A1824" s="79"/>
      <c r="B1824" s="79"/>
      <c r="C1824" s="80"/>
      <c r="D1824" s="66"/>
      <c r="E1824" s="86"/>
      <c r="F1824" s="66"/>
      <c r="G1824" s="66"/>
      <c r="H1824" s="82"/>
      <c r="I1824" s="174"/>
      <c r="J1824" s="174"/>
      <c r="K1824" s="84"/>
      <c r="L1824" s="102"/>
      <c r="M1824" s="66"/>
      <c r="N1824" s="134"/>
      <c r="R1824" s="72"/>
    </row>
    <row r="1825" spans="1:19" s="101" customFormat="1" ht="18.75" customHeight="1" x14ac:dyDescent="0.2">
      <c r="A1825" s="70">
        <v>43779</v>
      </c>
      <c r="B1825" s="70">
        <v>43800</v>
      </c>
      <c r="C1825" s="71">
        <v>13805</v>
      </c>
      <c r="D1825" s="72" t="s">
        <v>539</v>
      </c>
      <c r="E1825" s="145" t="s">
        <v>21</v>
      </c>
      <c r="F1825" s="72" t="s">
        <v>1418</v>
      </c>
      <c r="G1825" s="72" t="s">
        <v>695</v>
      </c>
      <c r="H1825" s="74" t="s">
        <v>349</v>
      </c>
      <c r="I1825" s="173">
        <v>85</v>
      </c>
      <c r="J1825" s="173"/>
      <c r="K1825" s="76">
        <v>29.5</v>
      </c>
      <c r="L1825" s="77"/>
      <c r="M1825" s="134">
        <v>44012</v>
      </c>
      <c r="N1825" s="134">
        <v>46022</v>
      </c>
      <c r="O1825" s="101" t="s">
        <v>21</v>
      </c>
      <c r="P1825" s="101" t="s">
        <v>1418</v>
      </c>
      <c r="Q1825" s="101" t="s">
        <v>695</v>
      </c>
      <c r="R1825" s="72" t="s">
        <v>349</v>
      </c>
      <c r="S1825" s="72"/>
    </row>
    <row r="1826" spans="1:19" ht="18.75" customHeight="1" x14ac:dyDescent="0.2">
      <c r="A1826" s="79"/>
      <c r="B1826" s="79"/>
      <c r="C1826" s="80"/>
      <c r="D1826" s="66"/>
      <c r="E1826" s="86"/>
      <c r="F1826" s="66"/>
      <c r="G1826" s="66"/>
      <c r="H1826" s="82"/>
      <c r="I1826" s="174"/>
      <c r="J1826" s="174"/>
      <c r="K1826" s="84"/>
      <c r="L1826" s="102"/>
      <c r="M1826" s="66"/>
      <c r="N1826" s="66"/>
      <c r="R1826" s="72"/>
    </row>
    <row r="1827" spans="1:19" s="101" customFormat="1" ht="18.75" customHeight="1" x14ac:dyDescent="0.2">
      <c r="A1827" s="70">
        <v>43793</v>
      </c>
      <c r="B1827" s="70">
        <v>43807</v>
      </c>
      <c r="C1827" s="71">
        <v>13807</v>
      </c>
      <c r="D1827" s="72" t="s">
        <v>507</v>
      </c>
      <c r="E1827" s="145" t="s">
        <v>1414</v>
      </c>
      <c r="F1827" s="72" t="s">
        <v>1414</v>
      </c>
      <c r="G1827" s="72" t="s">
        <v>495</v>
      </c>
      <c r="H1827" s="74" t="s">
        <v>349</v>
      </c>
      <c r="I1827" s="173">
        <v>70.2</v>
      </c>
      <c r="J1827" s="173"/>
      <c r="K1827" s="76">
        <v>38.200000000000003</v>
      </c>
      <c r="L1827" s="77"/>
      <c r="M1827" s="134">
        <v>43922</v>
      </c>
      <c r="N1827" s="134">
        <v>46843</v>
      </c>
      <c r="O1827" s="101" t="s">
        <v>1849</v>
      </c>
      <c r="P1827" s="101" t="s">
        <v>1414</v>
      </c>
      <c r="Q1827" s="101" t="s">
        <v>495</v>
      </c>
      <c r="R1827" s="72" t="s">
        <v>349</v>
      </c>
      <c r="S1827" s="72"/>
    </row>
    <row r="1828" spans="1:19" ht="18.75" customHeight="1" x14ac:dyDescent="0.2">
      <c r="A1828" s="79"/>
      <c r="B1828" s="79"/>
      <c r="C1828" s="80"/>
      <c r="D1828" s="66"/>
      <c r="E1828" s="86" t="s">
        <v>34</v>
      </c>
      <c r="F1828" s="66" t="s">
        <v>1850</v>
      </c>
      <c r="G1828" s="66" t="s">
        <v>1446</v>
      </c>
      <c r="H1828" s="82" t="s">
        <v>349</v>
      </c>
      <c r="I1828" s="174">
        <v>29.8</v>
      </c>
      <c r="J1828" s="174"/>
      <c r="K1828" s="84"/>
      <c r="L1828" s="102"/>
      <c r="M1828" s="66"/>
      <c r="N1828" s="134"/>
      <c r="R1828" s="72"/>
    </row>
    <row r="1829" spans="1:19" ht="18.75" customHeight="1" x14ac:dyDescent="0.2">
      <c r="A1829" s="79"/>
      <c r="B1829" s="79"/>
      <c r="C1829" s="80"/>
      <c r="D1829" s="66"/>
      <c r="E1829" s="86"/>
      <c r="F1829" s="66"/>
      <c r="G1829" s="66"/>
      <c r="H1829" s="82"/>
      <c r="I1829" s="174"/>
      <c r="J1829" s="174"/>
      <c r="K1829" s="84"/>
      <c r="L1829" s="102"/>
      <c r="M1829" s="66"/>
      <c r="N1829" s="66"/>
      <c r="R1829" s="72"/>
    </row>
    <row r="1830" spans="1:19" s="101" customFormat="1" ht="18.75" customHeight="1" x14ac:dyDescent="0.2">
      <c r="A1830" s="70">
        <v>43793</v>
      </c>
      <c r="B1830" s="70">
        <v>43807</v>
      </c>
      <c r="C1830" s="71">
        <v>13310</v>
      </c>
      <c r="D1830" s="72" t="s">
        <v>1851</v>
      </c>
      <c r="E1830" s="145" t="s">
        <v>21</v>
      </c>
      <c r="F1830" s="72" t="s">
        <v>1852</v>
      </c>
      <c r="G1830" s="72" t="s">
        <v>789</v>
      </c>
      <c r="H1830" s="74" t="s">
        <v>349</v>
      </c>
      <c r="I1830" s="173">
        <v>47.1</v>
      </c>
      <c r="J1830" s="173">
        <v>56.5</v>
      </c>
      <c r="K1830" s="76">
        <v>46.5</v>
      </c>
      <c r="L1830" s="77">
        <v>39.299999999999997</v>
      </c>
      <c r="M1830" s="134">
        <v>43831</v>
      </c>
      <c r="N1830" s="134">
        <v>46752</v>
      </c>
      <c r="R1830" s="72"/>
      <c r="S1830" s="72" t="s">
        <v>1853</v>
      </c>
    </row>
    <row r="1831" spans="1:19" ht="18.75" customHeight="1" x14ac:dyDescent="0.2">
      <c r="A1831" s="79"/>
      <c r="B1831" s="79"/>
      <c r="C1831" s="80"/>
      <c r="D1831" s="66"/>
      <c r="E1831" s="86" t="s">
        <v>19</v>
      </c>
      <c r="F1831" s="66" t="s">
        <v>1854</v>
      </c>
      <c r="G1831" s="66" t="s">
        <v>1855</v>
      </c>
      <c r="H1831" s="82" t="s">
        <v>349</v>
      </c>
      <c r="I1831" s="174">
        <v>37.1</v>
      </c>
      <c r="J1831" s="174">
        <v>43.5</v>
      </c>
      <c r="K1831" s="84"/>
      <c r="L1831" s="102"/>
      <c r="M1831" s="66"/>
      <c r="N1831" s="134"/>
      <c r="R1831" s="72"/>
    </row>
    <row r="1832" spans="1:19" ht="18.75" customHeight="1" x14ac:dyDescent="0.2">
      <c r="A1832" s="79"/>
      <c r="B1832" s="79"/>
      <c r="C1832" s="80"/>
      <c r="D1832" s="66"/>
      <c r="E1832" s="86" t="s">
        <v>34</v>
      </c>
      <c r="F1832" s="66" t="s">
        <v>1856</v>
      </c>
      <c r="G1832" s="66" t="s">
        <v>695</v>
      </c>
      <c r="H1832" s="82" t="s">
        <v>349</v>
      </c>
      <c r="I1832" s="174">
        <v>15.9</v>
      </c>
      <c r="J1832" s="174"/>
      <c r="K1832" s="84"/>
      <c r="L1832" s="102"/>
      <c r="M1832" s="66"/>
      <c r="N1832" s="134"/>
      <c r="R1832" s="72"/>
    </row>
    <row r="1833" spans="1:19" ht="18.75" customHeight="1" x14ac:dyDescent="0.2">
      <c r="A1833" s="79"/>
      <c r="B1833" s="79"/>
      <c r="C1833" s="80"/>
      <c r="D1833" s="66"/>
      <c r="E1833" s="86"/>
      <c r="F1833" s="66"/>
      <c r="G1833" s="66"/>
      <c r="H1833" s="82"/>
      <c r="I1833" s="174"/>
      <c r="J1833" s="174"/>
      <c r="K1833" s="84"/>
      <c r="L1833" s="102"/>
      <c r="M1833" s="66"/>
      <c r="N1833" s="66"/>
      <c r="R1833" s="72"/>
    </row>
    <row r="1834" spans="1:19" s="101" customFormat="1" ht="18.75" customHeight="1" x14ac:dyDescent="0.2">
      <c r="A1834" s="70">
        <v>43898</v>
      </c>
      <c r="B1834" s="70">
        <v>43919</v>
      </c>
      <c r="C1834" s="71" t="s">
        <v>1857</v>
      </c>
      <c r="D1834" s="72" t="s">
        <v>536</v>
      </c>
      <c r="E1834" s="145" t="s">
        <v>21</v>
      </c>
      <c r="F1834" s="72" t="s">
        <v>1416</v>
      </c>
      <c r="G1834" s="72" t="s">
        <v>861</v>
      </c>
      <c r="H1834" s="74" t="s">
        <v>349</v>
      </c>
      <c r="I1834" s="173">
        <v>89.5</v>
      </c>
      <c r="J1834" s="173"/>
      <c r="K1834" s="76">
        <v>31.8</v>
      </c>
      <c r="L1834" s="77"/>
      <c r="M1834" s="134">
        <v>44044</v>
      </c>
      <c r="N1834" s="134">
        <v>44651</v>
      </c>
      <c r="O1834" s="101" t="s">
        <v>21</v>
      </c>
      <c r="P1834" s="101" t="s">
        <v>1416</v>
      </c>
      <c r="Q1834" s="101" t="s">
        <v>861</v>
      </c>
      <c r="R1834" s="72" t="s">
        <v>349</v>
      </c>
      <c r="S1834" s="72"/>
    </row>
    <row r="1835" spans="1:19" ht="18.75" customHeight="1" x14ac:dyDescent="0.2">
      <c r="A1835" s="79"/>
      <c r="B1835" s="79"/>
      <c r="C1835" s="80"/>
      <c r="D1835" s="66"/>
      <c r="E1835" s="86"/>
      <c r="F1835" s="66"/>
      <c r="G1835" s="66"/>
      <c r="H1835" s="82"/>
      <c r="I1835" s="174"/>
      <c r="J1835" s="174"/>
      <c r="K1835" s="84"/>
      <c r="L1835" s="102"/>
      <c r="M1835" s="66"/>
      <c r="N1835" s="66"/>
      <c r="R1835" s="72"/>
    </row>
    <row r="1836" spans="1:19" s="101" customFormat="1" ht="18.75" customHeight="1" x14ac:dyDescent="0.2">
      <c r="A1836" s="70">
        <v>43905</v>
      </c>
      <c r="B1836" s="70">
        <v>43919</v>
      </c>
      <c r="C1836" s="71" t="s">
        <v>1858</v>
      </c>
      <c r="D1836" s="72" t="s">
        <v>902</v>
      </c>
      <c r="E1836" s="145" t="s">
        <v>21</v>
      </c>
      <c r="F1836" s="72" t="s">
        <v>1859</v>
      </c>
      <c r="G1836" s="72" t="s">
        <v>1860</v>
      </c>
      <c r="H1836" s="74" t="s">
        <v>349</v>
      </c>
      <c r="I1836" s="173">
        <v>60</v>
      </c>
      <c r="J1836" s="173"/>
      <c r="K1836" s="76">
        <v>56.7</v>
      </c>
      <c r="L1836" s="77"/>
      <c r="M1836" s="134">
        <v>44014</v>
      </c>
      <c r="N1836" s="134">
        <v>46935</v>
      </c>
      <c r="O1836" s="101" t="s">
        <v>19</v>
      </c>
      <c r="P1836" s="101" t="s">
        <v>551</v>
      </c>
      <c r="Q1836" s="101" t="s">
        <v>368</v>
      </c>
      <c r="R1836" s="72" t="s">
        <v>349</v>
      </c>
      <c r="S1836" s="72"/>
    </row>
    <row r="1837" spans="1:19" ht="18.75" customHeight="1" x14ac:dyDescent="0.2">
      <c r="A1837" s="79"/>
      <c r="B1837" s="79"/>
      <c r="C1837" s="80"/>
      <c r="D1837" s="66"/>
      <c r="E1837" s="86" t="s">
        <v>19</v>
      </c>
      <c r="F1837" s="66" t="s">
        <v>551</v>
      </c>
      <c r="G1837" s="66" t="s">
        <v>368</v>
      </c>
      <c r="H1837" s="82" t="s">
        <v>349</v>
      </c>
      <c r="I1837" s="174">
        <v>32</v>
      </c>
      <c r="J1837" s="174"/>
      <c r="K1837" s="84"/>
      <c r="L1837" s="102"/>
      <c r="M1837" s="66"/>
      <c r="N1837" s="66"/>
      <c r="R1837" s="72"/>
    </row>
    <row r="1838" spans="1:19" ht="18.75" customHeight="1" x14ac:dyDescent="0.2">
      <c r="A1838" s="79"/>
      <c r="B1838" s="79"/>
      <c r="C1838" s="80"/>
      <c r="D1838" s="66"/>
      <c r="E1838" s="86" t="s">
        <v>1444</v>
      </c>
      <c r="F1838" s="66" t="s">
        <v>1445</v>
      </c>
      <c r="G1838" s="66" t="s">
        <v>1446</v>
      </c>
      <c r="H1838" s="82" t="s">
        <v>349</v>
      </c>
      <c r="I1838" s="174">
        <v>5.6</v>
      </c>
      <c r="J1838" s="174"/>
      <c r="K1838" s="84"/>
      <c r="L1838" s="102"/>
      <c r="M1838" s="66"/>
      <c r="N1838" s="66"/>
      <c r="R1838" s="72"/>
    </row>
    <row r="1839" spans="1:19" ht="18.75" customHeight="1" x14ac:dyDescent="0.2">
      <c r="A1839" s="79"/>
      <c r="B1839" s="79"/>
      <c r="C1839" s="80"/>
      <c r="D1839" s="66"/>
      <c r="E1839" s="86" t="s">
        <v>1861</v>
      </c>
      <c r="F1839" s="66" t="s">
        <v>1861</v>
      </c>
      <c r="G1839" s="66" t="s">
        <v>1228</v>
      </c>
      <c r="H1839" s="82" t="s">
        <v>1729</v>
      </c>
      <c r="I1839" s="174">
        <v>2.4</v>
      </c>
      <c r="J1839" s="174"/>
      <c r="K1839" s="84"/>
      <c r="L1839" s="102"/>
      <c r="M1839" s="66"/>
      <c r="N1839" s="66"/>
      <c r="R1839" s="72"/>
    </row>
    <row r="1840" spans="1:19" ht="18.75" customHeight="1" x14ac:dyDescent="0.2">
      <c r="A1840" s="79"/>
      <c r="B1840" s="79"/>
      <c r="C1840" s="80"/>
      <c r="D1840" s="66"/>
      <c r="E1840" s="86"/>
      <c r="F1840" s="66"/>
      <c r="G1840" s="66"/>
      <c r="H1840" s="82"/>
      <c r="I1840" s="174"/>
      <c r="J1840" s="174"/>
      <c r="K1840" s="84"/>
      <c r="L1840" s="102"/>
      <c r="M1840" s="66"/>
      <c r="N1840" s="66"/>
      <c r="R1840" s="72"/>
    </row>
    <row r="1841" spans="1:19" s="101" customFormat="1" ht="18.75" customHeight="1" x14ac:dyDescent="0.2">
      <c r="A1841" s="70">
        <v>43912</v>
      </c>
      <c r="B1841" s="70">
        <v>43926</v>
      </c>
      <c r="C1841" s="71" t="s">
        <v>1862</v>
      </c>
      <c r="D1841" s="72" t="s">
        <v>1863</v>
      </c>
      <c r="E1841" s="145" t="s">
        <v>19</v>
      </c>
      <c r="F1841" s="72" t="s">
        <v>1455</v>
      </c>
      <c r="G1841" s="72" t="s">
        <v>383</v>
      </c>
      <c r="H1841" s="74" t="s">
        <v>349</v>
      </c>
      <c r="I1841" s="173">
        <v>56.9</v>
      </c>
      <c r="J1841" s="173"/>
      <c r="K1841" s="76">
        <v>40.5</v>
      </c>
      <c r="L1841" s="77"/>
      <c r="M1841" s="134">
        <v>43950</v>
      </c>
      <c r="N1841" s="134">
        <v>46871</v>
      </c>
      <c r="R1841" s="72"/>
      <c r="S1841" s="72" t="s">
        <v>1864</v>
      </c>
    </row>
    <row r="1842" spans="1:19" ht="18.75" customHeight="1" x14ac:dyDescent="0.2">
      <c r="A1842" s="79"/>
      <c r="B1842" s="79"/>
      <c r="C1842" s="80"/>
      <c r="D1842" s="66"/>
      <c r="E1842" s="86" t="s">
        <v>21</v>
      </c>
      <c r="F1842" s="66" t="s">
        <v>1865</v>
      </c>
      <c r="G1842" s="66" t="s">
        <v>469</v>
      </c>
      <c r="H1842" s="82" t="s">
        <v>349</v>
      </c>
      <c r="I1842" s="174">
        <v>43.1</v>
      </c>
      <c r="J1842" s="174"/>
      <c r="K1842" s="84"/>
      <c r="L1842" s="102"/>
      <c r="M1842" s="66"/>
      <c r="N1842" s="66"/>
      <c r="R1842" s="72"/>
    </row>
    <row r="1843" spans="1:19" ht="18.75" customHeight="1" x14ac:dyDescent="0.2">
      <c r="A1843" s="79"/>
      <c r="B1843" s="79"/>
      <c r="C1843" s="80"/>
      <c r="D1843" s="66"/>
      <c r="E1843" s="86"/>
      <c r="F1843" s="66"/>
      <c r="G1843" s="66"/>
      <c r="H1843" s="82"/>
      <c r="I1843" s="174"/>
      <c r="J1843" s="174"/>
      <c r="K1843" s="84"/>
      <c r="L1843" s="102"/>
      <c r="M1843" s="66"/>
      <c r="N1843" s="66"/>
      <c r="R1843" s="72"/>
    </row>
    <row r="1844" spans="1:19" s="101" customFormat="1" ht="18.75" customHeight="1" x14ac:dyDescent="0.2">
      <c r="A1844" s="70">
        <v>44080</v>
      </c>
      <c r="B1844" s="70">
        <v>44094</v>
      </c>
      <c r="C1844" s="71" t="s">
        <v>1866</v>
      </c>
      <c r="D1844" s="72" t="s">
        <v>739</v>
      </c>
      <c r="E1844" s="145" t="s">
        <v>19</v>
      </c>
      <c r="F1844" s="72" t="s">
        <v>1867</v>
      </c>
      <c r="G1844" s="72" t="s">
        <v>1369</v>
      </c>
      <c r="H1844" s="74" t="s">
        <v>419</v>
      </c>
      <c r="I1844" s="173">
        <v>44.7</v>
      </c>
      <c r="J1844" s="173">
        <v>62</v>
      </c>
      <c r="K1844" s="76">
        <v>58.4</v>
      </c>
      <c r="L1844" s="77">
        <v>52.3</v>
      </c>
      <c r="M1844" s="134">
        <v>44105</v>
      </c>
      <c r="N1844" s="134">
        <v>45930</v>
      </c>
      <c r="O1844" s="101" t="s">
        <v>1452</v>
      </c>
      <c r="P1844" s="101" t="s">
        <v>1452</v>
      </c>
      <c r="Q1844" s="101" t="s">
        <v>1376</v>
      </c>
      <c r="R1844" s="72" t="s">
        <v>349</v>
      </c>
      <c r="S1844" s="72"/>
    </row>
    <row r="1845" spans="1:19" ht="18.75" customHeight="1" x14ac:dyDescent="0.2">
      <c r="A1845" s="79"/>
      <c r="B1845" s="79"/>
      <c r="C1845" s="80"/>
      <c r="D1845" s="66"/>
      <c r="E1845" s="86" t="s">
        <v>21</v>
      </c>
      <c r="F1845" s="66" t="s">
        <v>1868</v>
      </c>
      <c r="G1845" s="66" t="s">
        <v>848</v>
      </c>
      <c r="H1845" s="82" t="s">
        <v>349</v>
      </c>
      <c r="I1845" s="174">
        <v>27</v>
      </c>
      <c r="J1845" s="174">
        <v>38</v>
      </c>
      <c r="K1845" s="84"/>
      <c r="L1845" s="102"/>
      <c r="M1845" s="66"/>
      <c r="N1845" s="66"/>
      <c r="R1845" s="72"/>
    </row>
    <row r="1846" spans="1:19" ht="18.75" customHeight="1" x14ac:dyDescent="0.2">
      <c r="A1846" s="79"/>
      <c r="B1846" s="79"/>
      <c r="C1846" s="80"/>
      <c r="D1846" s="66"/>
      <c r="E1846" s="86" t="s">
        <v>34</v>
      </c>
      <c r="F1846" s="66" t="s">
        <v>1869</v>
      </c>
      <c r="G1846" s="66" t="s">
        <v>1170</v>
      </c>
      <c r="H1846" s="82" t="s">
        <v>349</v>
      </c>
      <c r="I1846" s="174">
        <v>15.7</v>
      </c>
      <c r="J1846" s="174"/>
      <c r="K1846" s="84"/>
      <c r="L1846" s="102"/>
      <c r="M1846" s="66"/>
      <c r="N1846" s="66"/>
      <c r="R1846" s="72"/>
    </row>
    <row r="1847" spans="1:19" ht="18.75" customHeight="1" x14ac:dyDescent="0.2">
      <c r="A1847" s="79"/>
      <c r="B1847" s="79"/>
      <c r="C1847" s="80"/>
      <c r="D1847" s="66"/>
      <c r="E1847" s="86" t="s">
        <v>1714</v>
      </c>
      <c r="F1847" s="66" t="s">
        <v>1714</v>
      </c>
      <c r="G1847" s="66" t="s">
        <v>466</v>
      </c>
      <c r="H1847" s="82" t="s">
        <v>349</v>
      </c>
      <c r="I1847" s="174">
        <v>9.1999999999999993</v>
      </c>
      <c r="J1847" s="174"/>
      <c r="K1847" s="84"/>
      <c r="L1847" s="102"/>
      <c r="M1847" s="66"/>
      <c r="N1847" s="66"/>
      <c r="R1847" s="72"/>
    </row>
    <row r="1848" spans="1:19" ht="18.75" customHeight="1" x14ac:dyDescent="0.2">
      <c r="A1848" s="79"/>
      <c r="B1848" s="79"/>
      <c r="C1848" s="80"/>
      <c r="D1848" s="66"/>
      <c r="E1848" s="86" t="s">
        <v>276</v>
      </c>
      <c r="F1848" s="66" t="s">
        <v>276</v>
      </c>
      <c r="G1848" s="66" t="s">
        <v>1870</v>
      </c>
      <c r="H1848" s="82" t="s">
        <v>349</v>
      </c>
      <c r="I1848" s="174">
        <v>3.4</v>
      </c>
      <c r="J1848" s="174"/>
      <c r="K1848" s="84"/>
      <c r="L1848" s="102"/>
      <c r="M1848" s="66"/>
      <c r="N1848" s="66"/>
      <c r="R1848" s="72"/>
    </row>
    <row r="1849" spans="1:19" ht="18.75" customHeight="1" x14ac:dyDescent="0.2">
      <c r="A1849" s="79"/>
      <c r="B1849" s="79"/>
      <c r="C1849" s="80"/>
      <c r="D1849" s="66"/>
      <c r="E1849" s="86"/>
      <c r="F1849" s="66"/>
      <c r="G1849" s="66"/>
      <c r="H1849" s="82"/>
      <c r="I1849" s="174"/>
      <c r="J1849" s="174"/>
      <c r="K1849" s="84"/>
      <c r="L1849" s="102"/>
      <c r="M1849" s="66"/>
      <c r="N1849" s="66"/>
      <c r="R1849" s="72"/>
    </row>
    <row r="1850" spans="1:19" s="101" customFormat="1" ht="18.75" customHeight="1" x14ac:dyDescent="0.2">
      <c r="A1850" s="70">
        <v>44087</v>
      </c>
      <c r="B1850" s="70">
        <v>44101</v>
      </c>
      <c r="C1850" s="71" t="s">
        <v>1871</v>
      </c>
      <c r="D1850" s="72" t="s">
        <v>1210</v>
      </c>
      <c r="E1850" s="145" t="s">
        <v>1872</v>
      </c>
      <c r="F1850" s="72" t="s">
        <v>1872</v>
      </c>
      <c r="G1850" s="72" t="s">
        <v>721</v>
      </c>
      <c r="H1850" s="74" t="s">
        <v>349</v>
      </c>
      <c r="I1850" s="173">
        <v>41.4</v>
      </c>
      <c r="J1850" s="173">
        <v>69.7</v>
      </c>
      <c r="K1850" s="76">
        <v>51.2</v>
      </c>
      <c r="L1850" s="77">
        <v>44.1</v>
      </c>
      <c r="M1850" s="134">
        <v>44136</v>
      </c>
      <c r="N1850" s="134">
        <v>47057</v>
      </c>
      <c r="O1850" s="101" t="s">
        <v>1553</v>
      </c>
      <c r="P1850" s="101" t="s">
        <v>1553</v>
      </c>
      <c r="Q1850" s="101" t="s">
        <v>368</v>
      </c>
      <c r="R1850" s="72" t="s">
        <v>349</v>
      </c>
      <c r="S1850" s="72"/>
    </row>
    <row r="1851" spans="1:19" ht="18.75" customHeight="1" x14ac:dyDescent="0.2">
      <c r="A1851" s="79"/>
      <c r="B1851" s="79"/>
      <c r="C1851" s="80"/>
      <c r="D1851" s="66"/>
      <c r="E1851" s="86" t="s">
        <v>938</v>
      </c>
      <c r="F1851" s="66" t="s">
        <v>938</v>
      </c>
      <c r="G1851" s="66" t="s">
        <v>476</v>
      </c>
      <c r="H1851" s="82" t="s">
        <v>349</v>
      </c>
      <c r="I1851" s="174">
        <v>18.399999999999999</v>
      </c>
      <c r="J1851" s="174">
        <v>30.3</v>
      </c>
      <c r="K1851" s="84"/>
      <c r="L1851" s="102"/>
      <c r="M1851" s="66"/>
      <c r="N1851" s="66"/>
      <c r="R1851" s="72"/>
    </row>
    <row r="1852" spans="1:19" ht="18.75" customHeight="1" x14ac:dyDescent="0.2">
      <c r="A1852" s="79"/>
      <c r="B1852" s="79"/>
      <c r="C1852" s="80"/>
      <c r="D1852" s="66"/>
      <c r="E1852" s="86" t="s">
        <v>21</v>
      </c>
      <c r="F1852" s="66" t="s">
        <v>1873</v>
      </c>
      <c r="G1852" s="66" t="s">
        <v>476</v>
      </c>
      <c r="H1852" s="82" t="s">
        <v>349</v>
      </c>
      <c r="I1852" s="174">
        <v>15.3</v>
      </c>
      <c r="J1852" s="174"/>
      <c r="K1852" s="84"/>
      <c r="L1852" s="102"/>
      <c r="M1852" s="66"/>
      <c r="N1852" s="66"/>
      <c r="R1852" s="72"/>
    </row>
    <row r="1853" spans="1:19" ht="18.75" customHeight="1" x14ac:dyDescent="0.2">
      <c r="A1853" s="79"/>
      <c r="B1853" s="79"/>
      <c r="C1853" s="80"/>
      <c r="D1853" s="66"/>
      <c r="E1853" s="86" t="s">
        <v>347</v>
      </c>
      <c r="F1853" s="66" t="s">
        <v>347</v>
      </c>
      <c r="G1853" s="66" t="s">
        <v>355</v>
      </c>
      <c r="H1853" s="82" t="s">
        <v>349</v>
      </c>
      <c r="I1853" s="174">
        <v>15.5</v>
      </c>
      <c r="J1853" s="174"/>
      <c r="K1853" s="84"/>
      <c r="L1853" s="102"/>
      <c r="M1853" s="66"/>
      <c r="N1853" s="66"/>
      <c r="R1853" s="72"/>
    </row>
    <row r="1854" spans="1:19" ht="18.75" customHeight="1" x14ac:dyDescent="0.2">
      <c r="A1854" s="79"/>
      <c r="B1854" s="79"/>
      <c r="C1854" s="80"/>
      <c r="D1854" s="66"/>
      <c r="E1854" s="86" t="s">
        <v>550</v>
      </c>
      <c r="F1854" s="66" t="s">
        <v>550</v>
      </c>
      <c r="G1854" s="66" t="s">
        <v>1874</v>
      </c>
      <c r="H1854" s="82" t="s">
        <v>349</v>
      </c>
      <c r="I1854" s="174">
        <v>9.3000000000000007</v>
      </c>
      <c r="J1854" s="174"/>
      <c r="K1854" s="84"/>
      <c r="L1854" s="102"/>
      <c r="M1854" s="66"/>
      <c r="N1854" s="66"/>
      <c r="R1854" s="72"/>
    </row>
    <row r="1855" spans="1:19" ht="18.75" customHeight="1" x14ac:dyDescent="0.2">
      <c r="A1855" s="79"/>
      <c r="B1855" s="79"/>
      <c r="C1855" s="80"/>
      <c r="D1855" s="66"/>
      <c r="E1855" s="86"/>
      <c r="F1855" s="66"/>
      <c r="G1855" s="66"/>
      <c r="H1855" s="82"/>
      <c r="I1855" s="174"/>
      <c r="J1855" s="174"/>
      <c r="K1855" s="84"/>
      <c r="L1855" s="102"/>
      <c r="M1855" s="66"/>
      <c r="N1855" s="66"/>
      <c r="R1855" s="72"/>
    </row>
    <row r="1856" spans="1:19" s="101" customFormat="1" ht="18.75" customHeight="1" x14ac:dyDescent="0.2">
      <c r="A1856" s="70">
        <v>44094</v>
      </c>
      <c r="B1856" s="70">
        <v>44108</v>
      </c>
      <c r="C1856" s="71" t="s">
        <v>1875</v>
      </c>
      <c r="D1856" s="72" t="s">
        <v>524</v>
      </c>
      <c r="E1856" s="145" t="s">
        <v>1876</v>
      </c>
      <c r="F1856" s="72" t="s">
        <v>1876</v>
      </c>
      <c r="G1856" s="72" t="s">
        <v>1801</v>
      </c>
      <c r="H1856" s="74" t="s">
        <v>349</v>
      </c>
      <c r="I1856" s="173">
        <v>65.8</v>
      </c>
      <c r="J1856" s="173"/>
      <c r="K1856" s="76">
        <v>35.799999999999997</v>
      </c>
      <c r="L1856" s="77"/>
      <c r="M1856" s="134">
        <v>44111</v>
      </c>
      <c r="N1856" s="134">
        <v>47032</v>
      </c>
      <c r="O1856" s="101" t="s">
        <v>19</v>
      </c>
      <c r="P1856" s="101" t="s">
        <v>1137</v>
      </c>
      <c r="Q1856" s="101" t="s">
        <v>444</v>
      </c>
      <c r="R1856" s="72" t="s">
        <v>349</v>
      </c>
      <c r="S1856" s="72"/>
    </row>
    <row r="1857" spans="1:19" ht="18.75" customHeight="1" x14ac:dyDescent="0.2">
      <c r="A1857" s="79"/>
      <c r="B1857" s="79"/>
      <c r="C1857" s="80"/>
      <c r="D1857" s="66"/>
      <c r="E1857" s="86" t="s">
        <v>21</v>
      </c>
      <c r="F1857" s="66" t="s">
        <v>1877</v>
      </c>
      <c r="G1857" s="66" t="s">
        <v>1694</v>
      </c>
      <c r="H1857" s="82" t="s">
        <v>349</v>
      </c>
      <c r="I1857" s="174">
        <v>34.200000000000003</v>
      </c>
      <c r="J1857" s="174"/>
      <c r="K1857" s="84"/>
      <c r="L1857" s="102"/>
      <c r="M1857" s="66"/>
      <c r="N1857" s="66"/>
      <c r="R1857" s="72"/>
    </row>
    <row r="1858" spans="1:19" ht="18.75" customHeight="1" x14ac:dyDescent="0.2">
      <c r="A1858" s="79"/>
      <c r="B1858" s="79"/>
      <c r="C1858" s="80"/>
      <c r="D1858" s="66"/>
      <c r="E1858" s="86"/>
      <c r="F1858" s="66"/>
      <c r="G1858" s="66"/>
      <c r="H1858" s="82"/>
      <c r="I1858" s="174"/>
      <c r="J1858" s="174"/>
      <c r="K1858" s="84"/>
      <c r="L1858" s="102"/>
      <c r="M1858" s="66"/>
      <c r="N1858" s="66"/>
      <c r="R1858" s="72"/>
    </row>
    <row r="1859" spans="1:19" s="101" customFormat="1" ht="18.75" customHeight="1" x14ac:dyDescent="0.2">
      <c r="A1859" s="70">
        <v>44129</v>
      </c>
      <c r="B1859" s="70">
        <v>44150</v>
      </c>
      <c r="C1859" s="71" t="s">
        <v>1878</v>
      </c>
      <c r="D1859" s="72" t="s">
        <v>763</v>
      </c>
      <c r="E1859" s="145" t="s">
        <v>1879</v>
      </c>
      <c r="F1859" s="72" t="s">
        <v>1880</v>
      </c>
      <c r="G1859" s="72" t="s">
        <v>1658</v>
      </c>
      <c r="H1859" s="74" t="s">
        <v>349</v>
      </c>
      <c r="I1859" s="173">
        <v>57.2</v>
      </c>
      <c r="J1859" s="173"/>
      <c r="K1859" s="76">
        <v>50.9</v>
      </c>
      <c r="L1859" s="77"/>
      <c r="M1859" s="134">
        <v>44168</v>
      </c>
      <c r="N1859" s="134">
        <v>47089</v>
      </c>
      <c r="O1859" s="101" t="s">
        <v>21</v>
      </c>
      <c r="P1859" s="101" t="s">
        <v>764</v>
      </c>
      <c r="Q1859" s="101" t="s">
        <v>383</v>
      </c>
      <c r="R1859" s="72" t="s">
        <v>349</v>
      </c>
      <c r="S1859" s="72"/>
    </row>
    <row r="1860" spans="1:19" ht="18.75" customHeight="1" x14ac:dyDescent="0.2">
      <c r="A1860" s="79"/>
      <c r="B1860" s="79"/>
      <c r="C1860" s="80"/>
      <c r="D1860" s="66"/>
      <c r="E1860" s="86" t="s">
        <v>21</v>
      </c>
      <c r="F1860" s="66" t="s">
        <v>1881</v>
      </c>
      <c r="G1860" s="66" t="s">
        <v>723</v>
      </c>
      <c r="H1860" s="82" t="s">
        <v>349</v>
      </c>
      <c r="I1860" s="174">
        <v>28.6</v>
      </c>
      <c r="J1860" s="174"/>
      <c r="K1860" s="84"/>
      <c r="L1860" s="102"/>
      <c r="M1860" s="66"/>
      <c r="N1860" s="66"/>
      <c r="R1860" s="72"/>
    </row>
    <row r="1861" spans="1:19" ht="18.75" customHeight="1" x14ac:dyDescent="0.2">
      <c r="A1861" s="79"/>
      <c r="B1861" s="79"/>
      <c r="C1861" s="80"/>
      <c r="D1861" s="66"/>
      <c r="E1861" s="86" t="s">
        <v>34</v>
      </c>
      <c r="F1861" s="66" t="s">
        <v>1882</v>
      </c>
      <c r="G1861" s="66" t="s">
        <v>1821</v>
      </c>
      <c r="H1861" s="82" t="s">
        <v>419</v>
      </c>
      <c r="I1861" s="174">
        <v>14.2</v>
      </c>
      <c r="J1861" s="174"/>
      <c r="K1861" s="84"/>
      <c r="L1861" s="102"/>
      <c r="M1861" s="66"/>
      <c r="N1861" s="66"/>
      <c r="R1861" s="72"/>
    </row>
    <row r="1862" spans="1:19" ht="18.75" customHeight="1" x14ac:dyDescent="0.2">
      <c r="A1862" s="79"/>
      <c r="B1862" s="79"/>
      <c r="C1862" s="80"/>
      <c r="D1862" s="66"/>
      <c r="E1862" s="86"/>
      <c r="F1862" s="66"/>
      <c r="G1862" s="66"/>
      <c r="H1862" s="82"/>
      <c r="I1862" s="174"/>
      <c r="J1862" s="174"/>
      <c r="K1862" s="84"/>
      <c r="L1862" s="102"/>
      <c r="M1862" s="66"/>
      <c r="N1862" s="66"/>
      <c r="R1862" s="72"/>
    </row>
    <row r="1863" spans="1:19" s="101" customFormat="1" ht="18.75" customHeight="1" x14ac:dyDescent="0.2">
      <c r="A1863" s="70">
        <v>44129</v>
      </c>
      <c r="B1863" s="70">
        <v>44143</v>
      </c>
      <c r="C1863" s="71" t="s">
        <v>1883</v>
      </c>
      <c r="D1863" s="72" t="s">
        <v>563</v>
      </c>
      <c r="E1863" s="145" t="s">
        <v>19</v>
      </c>
      <c r="F1863" s="72" t="s">
        <v>1884</v>
      </c>
      <c r="G1863" s="72" t="s">
        <v>1885</v>
      </c>
      <c r="H1863" s="74" t="s">
        <v>419</v>
      </c>
      <c r="I1863" s="173">
        <v>54.4</v>
      </c>
      <c r="J1863" s="173"/>
      <c r="K1863" s="76">
        <v>51.4</v>
      </c>
      <c r="L1863" s="77"/>
      <c r="M1863" s="134">
        <v>44287</v>
      </c>
      <c r="N1863" s="134">
        <v>47208</v>
      </c>
      <c r="O1863" s="101" t="s">
        <v>21</v>
      </c>
      <c r="P1863" s="101" t="s">
        <v>592</v>
      </c>
      <c r="Q1863" s="101" t="s">
        <v>433</v>
      </c>
      <c r="R1863" s="72" t="s">
        <v>349</v>
      </c>
      <c r="S1863" s="72"/>
    </row>
    <row r="1864" spans="1:19" ht="18.75" customHeight="1" x14ac:dyDescent="0.2">
      <c r="A1864" s="79"/>
      <c r="B1864" s="79"/>
      <c r="C1864" s="80"/>
      <c r="D1864" s="66"/>
      <c r="E1864" s="86" t="s">
        <v>21</v>
      </c>
      <c r="F1864" s="66" t="s">
        <v>987</v>
      </c>
      <c r="G1864" s="66" t="s">
        <v>1886</v>
      </c>
      <c r="H1864" s="82" t="s">
        <v>349</v>
      </c>
      <c r="I1864" s="174">
        <v>45.6</v>
      </c>
      <c r="J1864" s="174"/>
      <c r="K1864" s="84"/>
      <c r="L1864" s="102"/>
      <c r="M1864" s="66"/>
      <c r="N1864" s="66"/>
      <c r="R1864" s="72"/>
    </row>
    <row r="1865" spans="1:19" ht="18.75" customHeight="1" x14ac:dyDescent="0.2">
      <c r="A1865" s="79"/>
      <c r="B1865" s="79"/>
      <c r="C1865" s="80"/>
      <c r="D1865" s="66"/>
      <c r="E1865" s="86"/>
      <c r="F1865" s="66"/>
      <c r="G1865" s="66"/>
      <c r="H1865" s="82"/>
      <c r="I1865" s="174"/>
      <c r="J1865" s="174"/>
      <c r="K1865" s="84"/>
      <c r="L1865" s="102"/>
      <c r="M1865" s="66"/>
      <c r="N1865" s="66"/>
      <c r="R1865" s="72"/>
    </row>
    <row r="1866" spans="1:19" s="101" customFormat="1" ht="18.75" customHeight="1" x14ac:dyDescent="0.2">
      <c r="A1866" s="70">
        <v>44143</v>
      </c>
      <c r="B1866" s="70">
        <v>44157</v>
      </c>
      <c r="C1866" s="71" t="s">
        <v>1887</v>
      </c>
      <c r="D1866" s="72" t="s">
        <v>1428</v>
      </c>
      <c r="E1866" s="145" t="s">
        <v>19</v>
      </c>
      <c r="F1866" s="72" t="s">
        <v>1888</v>
      </c>
      <c r="G1866" s="72" t="s">
        <v>1889</v>
      </c>
      <c r="H1866" s="74" t="s">
        <v>349</v>
      </c>
      <c r="I1866" s="173">
        <v>53.5</v>
      </c>
      <c r="J1866" s="173"/>
      <c r="K1866" s="76">
        <v>47.7</v>
      </c>
      <c r="L1866" s="77"/>
      <c r="M1866" s="134">
        <v>44197</v>
      </c>
      <c r="N1866" s="134">
        <v>47118</v>
      </c>
      <c r="O1866" s="101" t="s">
        <v>1429</v>
      </c>
      <c r="P1866" s="101" t="s">
        <v>1429</v>
      </c>
      <c r="Q1866" s="101" t="s">
        <v>360</v>
      </c>
      <c r="R1866" s="72" t="s">
        <v>349</v>
      </c>
      <c r="S1866" s="72"/>
    </row>
    <row r="1867" spans="1:19" ht="18.75" customHeight="1" x14ac:dyDescent="0.2">
      <c r="A1867" s="79"/>
      <c r="B1867" s="79"/>
      <c r="C1867" s="80"/>
      <c r="D1867" s="66"/>
      <c r="E1867" s="86" t="s">
        <v>21</v>
      </c>
      <c r="F1867" s="66" t="s">
        <v>1890</v>
      </c>
      <c r="G1867" s="66" t="s">
        <v>477</v>
      </c>
      <c r="H1867" s="82" t="s">
        <v>349</v>
      </c>
      <c r="I1867" s="174">
        <v>23.9</v>
      </c>
      <c r="J1867" s="174"/>
      <c r="K1867" s="84"/>
      <c r="L1867" s="102"/>
      <c r="M1867" s="66"/>
      <c r="N1867" s="66"/>
      <c r="R1867" s="72"/>
    </row>
    <row r="1868" spans="1:19" ht="18.75" customHeight="1" x14ac:dyDescent="0.2">
      <c r="A1868" s="79"/>
      <c r="B1868" s="79"/>
      <c r="C1868" s="80"/>
      <c r="D1868" s="66"/>
      <c r="E1868" s="86" t="s">
        <v>55</v>
      </c>
      <c r="F1868" s="66" t="s">
        <v>584</v>
      </c>
      <c r="G1868" s="66" t="s">
        <v>1891</v>
      </c>
      <c r="H1868" s="82" t="s">
        <v>349</v>
      </c>
      <c r="I1868" s="174">
        <v>22.6</v>
      </c>
      <c r="J1868" s="174"/>
      <c r="K1868" s="84"/>
      <c r="L1868" s="102"/>
      <c r="M1868" s="66"/>
      <c r="N1868" s="66"/>
      <c r="R1868" s="72"/>
    </row>
    <row r="1869" spans="1:19" ht="18.75" customHeight="1" x14ac:dyDescent="0.2">
      <c r="A1869" s="79"/>
      <c r="B1869" s="79"/>
      <c r="C1869" s="80"/>
      <c r="D1869" s="66"/>
      <c r="E1869" s="86"/>
      <c r="F1869" s="66"/>
      <c r="G1869" s="66"/>
      <c r="H1869" s="82"/>
      <c r="I1869" s="174"/>
      <c r="J1869" s="174"/>
      <c r="K1869" s="84"/>
      <c r="L1869" s="102"/>
      <c r="M1869" s="66"/>
      <c r="N1869" s="66"/>
      <c r="R1869" s="72"/>
    </row>
    <row r="1870" spans="1:19" s="101" customFormat="1" ht="18.75" customHeight="1" x14ac:dyDescent="0.2">
      <c r="A1870" s="70">
        <v>44164</v>
      </c>
      <c r="B1870" s="70">
        <v>44178</v>
      </c>
      <c r="C1870" s="71" t="s">
        <v>1892</v>
      </c>
      <c r="D1870" s="72" t="s">
        <v>142</v>
      </c>
      <c r="E1870" s="145" t="s">
        <v>19</v>
      </c>
      <c r="F1870" s="72" t="s">
        <v>1893</v>
      </c>
      <c r="G1870" s="72" t="s">
        <v>476</v>
      </c>
      <c r="H1870" s="74" t="s">
        <v>349</v>
      </c>
      <c r="I1870" s="173">
        <v>44.3</v>
      </c>
      <c r="J1870" s="173">
        <v>51.7</v>
      </c>
      <c r="K1870" s="76">
        <v>52.6</v>
      </c>
      <c r="L1870" s="77">
        <v>46.5</v>
      </c>
      <c r="M1870" s="134">
        <v>44197</v>
      </c>
      <c r="N1870" s="134">
        <v>47118</v>
      </c>
      <c r="O1870" s="101" t="s">
        <v>367</v>
      </c>
      <c r="P1870" s="101" t="s">
        <v>367</v>
      </c>
      <c r="Q1870" s="101" t="s">
        <v>368</v>
      </c>
      <c r="R1870" s="72" t="s">
        <v>349</v>
      </c>
      <c r="S1870" s="72"/>
    </row>
    <row r="1871" spans="1:19" ht="18.75" customHeight="1" x14ac:dyDescent="0.2">
      <c r="A1871" s="79"/>
      <c r="B1871" s="79"/>
      <c r="C1871" s="80"/>
      <c r="D1871" s="66"/>
      <c r="E1871" s="86" t="s">
        <v>21</v>
      </c>
      <c r="F1871" s="66" t="s">
        <v>369</v>
      </c>
      <c r="G1871" s="66" t="s">
        <v>1228</v>
      </c>
      <c r="H1871" s="82" t="s">
        <v>349</v>
      </c>
      <c r="I1871" s="174">
        <v>32.700000000000003</v>
      </c>
      <c r="J1871" s="174">
        <v>48.3</v>
      </c>
      <c r="K1871" s="84"/>
      <c r="L1871" s="102"/>
      <c r="M1871" s="66"/>
      <c r="N1871" s="66"/>
      <c r="R1871" s="72"/>
    </row>
    <row r="1872" spans="1:19" ht="18.75" customHeight="1" x14ac:dyDescent="0.2">
      <c r="A1872" s="79"/>
      <c r="B1872" s="79"/>
      <c r="C1872" s="80"/>
      <c r="D1872" s="66"/>
      <c r="E1872" s="86" t="s">
        <v>533</v>
      </c>
      <c r="F1872" s="66" t="s">
        <v>1894</v>
      </c>
      <c r="G1872" s="66" t="s">
        <v>1895</v>
      </c>
      <c r="H1872" s="82" t="s">
        <v>349</v>
      </c>
      <c r="I1872" s="174">
        <v>23</v>
      </c>
      <c r="J1872" s="174"/>
      <c r="K1872" s="84"/>
      <c r="L1872" s="102"/>
      <c r="M1872" s="66"/>
      <c r="N1872" s="66"/>
      <c r="R1872" s="72"/>
    </row>
    <row r="1873" spans="1:19" ht="18.75" customHeight="1" x14ac:dyDescent="0.2">
      <c r="A1873" s="79"/>
      <c r="B1873" s="79"/>
      <c r="C1873" s="80"/>
      <c r="D1873" s="66"/>
      <c r="E1873" s="86"/>
      <c r="F1873" s="66"/>
      <c r="G1873" s="66"/>
      <c r="H1873" s="82"/>
      <c r="I1873" s="174"/>
      <c r="J1873" s="174"/>
      <c r="K1873" s="84"/>
      <c r="L1873" s="102"/>
      <c r="M1873" s="66"/>
      <c r="N1873" s="66"/>
      <c r="R1873" s="72"/>
    </row>
    <row r="1874" spans="1:19" s="101" customFormat="1" ht="18.75" customHeight="1" x14ac:dyDescent="0.2">
      <c r="A1874" s="70">
        <v>44269</v>
      </c>
      <c r="B1874" s="70">
        <v>44283</v>
      </c>
      <c r="C1874" s="71" t="s">
        <v>1896</v>
      </c>
      <c r="D1874" s="72" t="s">
        <v>810</v>
      </c>
      <c r="E1874" s="145" t="s">
        <v>667</v>
      </c>
      <c r="F1874" s="72" t="s">
        <v>1897</v>
      </c>
      <c r="G1874" s="72" t="s">
        <v>1600</v>
      </c>
      <c r="H1874" s="74" t="s">
        <v>419</v>
      </c>
      <c r="I1874" s="173">
        <v>50.8</v>
      </c>
      <c r="J1874" s="173"/>
      <c r="K1874" s="76">
        <v>63.8</v>
      </c>
      <c r="L1874" s="77"/>
      <c r="M1874" s="134">
        <v>44470</v>
      </c>
      <c r="N1874" s="134">
        <v>47391</v>
      </c>
      <c r="O1874" s="101" t="s">
        <v>367</v>
      </c>
      <c r="P1874" s="101" t="s">
        <v>367</v>
      </c>
      <c r="Q1874" s="101" t="s">
        <v>389</v>
      </c>
      <c r="R1874" s="72" t="s">
        <v>349</v>
      </c>
      <c r="S1874" s="72"/>
    </row>
    <row r="1875" spans="1:19" ht="18.75" customHeight="1" x14ac:dyDescent="0.2">
      <c r="A1875" s="79"/>
      <c r="B1875" s="79"/>
      <c r="C1875" s="80"/>
      <c r="D1875" s="66"/>
      <c r="E1875" s="86" t="s">
        <v>19</v>
      </c>
      <c r="F1875" s="66" t="s">
        <v>1898</v>
      </c>
      <c r="G1875" s="66" t="s">
        <v>392</v>
      </c>
      <c r="H1875" s="82" t="s">
        <v>349</v>
      </c>
      <c r="I1875" s="174"/>
      <c r="J1875" s="174"/>
      <c r="K1875" s="84"/>
      <c r="L1875" s="102"/>
      <c r="M1875" s="66"/>
      <c r="N1875" s="66"/>
      <c r="R1875" s="72"/>
    </row>
    <row r="1876" spans="1:19" ht="18.75" customHeight="1" x14ac:dyDescent="0.2">
      <c r="A1876" s="79"/>
      <c r="B1876" s="79"/>
      <c r="C1876" s="80"/>
      <c r="D1876" s="66"/>
      <c r="E1876" s="86"/>
      <c r="F1876" s="66"/>
      <c r="G1876" s="66"/>
      <c r="H1876" s="82"/>
      <c r="I1876" s="174"/>
      <c r="J1876" s="174"/>
      <c r="K1876" s="84"/>
      <c r="L1876" s="102"/>
      <c r="M1876" s="66"/>
      <c r="N1876" s="66"/>
      <c r="R1876" s="72"/>
    </row>
    <row r="1877" spans="1:19" s="101" customFormat="1" ht="18.75" customHeight="1" x14ac:dyDescent="0.2">
      <c r="A1877" s="70">
        <v>44269</v>
      </c>
      <c r="B1877" s="70">
        <v>44283</v>
      </c>
      <c r="C1877" s="71" t="s">
        <v>1899</v>
      </c>
      <c r="D1877" s="72" t="s">
        <v>618</v>
      </c>
      <c r="E1877" s="145" t="s">
        <v>19</v>
      </c>
      <c r="F1877" s="72" t="s">
        <v>1900</v>
      </c>
      <c r="G1877" s="72" t="s">
        <v>1901</v>
      </c>
      <c r="H1877" s="74" t="s">
        <v>419</v>
      </c>
      <c r="I1877" s="173">
        <v>78.2</v>
      </c>
      <c r="J1877" s="173"/>
      <c r="K1877" s="76">
        <v>56.4</v>
      </c>
      <c r="L1877" s="77"/>
      <c r="M1877" s="134">
        <v>44441</v>
      </c>
      <c r="N1877" s="134">
        <v>47362</v>
      </c>
      <c r="O1877" s="101" t="s">
        <v>313</v>
      </c>
      <c r="P1877" s="101" t="s">
        <v>619</v>
      </c>
      <c r="Q1877" s="101" t="s">
        <v>383</v>
      </c>
      <c r="R1877" s="72" t="s">
        <v>349</v>
      </c>
      <c r="S1877" s="72"/>
    </row>
    <row r="1878" spans="1:19" ht="18.75" customHeight="1" x14ac:dyDescent="0.2">
      <c r="A1878" s="79"/>
      <c r="B1878" s="79"/>
      <c r="C1878" s="80"/>
      <c r="D1878" s="66"/>
      <c r="E1878" s="86"/>
      <c r="F1878" s="66"/>
      <c r="G1878" s="66"/>
      <c r="H1878" s="82"/>
      <c r="I1878" s="174"/>
      <c r="J1878" s="174"/>
      <c r="K1878" s="84"/>
      <c r="L1878" s="102"/>
      <c r="M1878" s="66"/>
      <c r="N1878" s="66"/>
      <c r="R1878" s="72"/>
    </row>
    <row r="1879" spans="1:19" s="101" customFormat="1" ht="18.75" customHeight="1" x14ac:dyDescent="0.2">
      <c r="A1879" s="70">
        <v>44269</v>
      </c>
      <c r="B1879" s="70">
        <v>44283</v>
      </c>
      <c r="C1879" s="71" t="s">
        <v>1902</v>
      </c>
      <c r="D1879" s="72" t="s">
        <v>612</v>
      </c>
      <c r="E1879" s="145" t="s">
        <v>21</v>
      </c>
      <c r="F1879" s="72" t="s">
        <v>1903</v>
      </c>
      <c r="G1879" s="72" t="s">
        <v>1904</v>
      </c>
      <c r="H1879" s="74" t="s">
        <v>419</v>
      </c>
      <c r="I1879" s="173">
        <v>35.4</v>
      </c>
      <c r="J1879" s="173">
        <v>59.8</v>
      </c>
      <c r="K1879" s="76">
        <v>59.2</v>
      </c>
      <c r="L1879" s="77">
        <v>45.7</v>
      </c>
      <c r="M1879" s="134">
        <v>44470</v>
      </c>
      <c r="N1879" s="134">
        <v>47391</v>
      </c>
      <c r="O1879" s="101" t="s">
        <v>1243</v>
      </c>
      <c r="P1879" s="101" t="s">
        <v>614</v>
      </c>
      <c r="Q1879" s="101" t="s">
        <v>615</v>
      </c>
      <c r="R1879" s="72" t="s">
        <v>349</v>
      </c>
      <c r="S1879" s="72"/>
    </row>
    <row r="1880" spans="1:19" ht="18.75" customHeight="1" x14ac:dyDescent="0.2">
      <c r="A1880" s="79"/>
      <c r="B1880" s="79"/>
      <c r="C1880" s="80"/>
      <c r="D1880" s="66"/>
      <c r="E1880" s="86" t="s">
        <v>19</v>
      </c>
      <c r="F1880" s="66" t="s">
        <v>1905</v>
      </c>
      <c r="G1880" s="66" t="s">
        <v>352</v>
      </c>
      <c r="H1880" s="82" t="s">
        <v>349</v>
      </c>
      <c r="I1880" s="174">
        <v>32.9</v>
      </c>
      <c r="J1880" s="174">
        <v>40.200000000000003</v>
      </c>
      <c r="K1880" s="84"/>
      <c r="L1880" s="102"/>
      <c r="M1880" s="66"/>
      <c r="N1880" s="66"/>
      <c r="R1880" s="72"/>
    </row>
    <row r="1881" spans="1:19" ht="18.75" customHeight="1" x14ac:dyDescent="0.2">
      <c r="A1881" s="79"/>
      <c r="B1881" s="79"/>
      <c r="C1881" s="80"/>
      <c r="D1881" s="66"/>
      <c r="E1881" s="86" t="s">
        <v>34</v>
      </c>
      <c r="F1881" s="66" t="s">
        <v>1401</v>
      </c>
      <c r="G1881" s="66" t="s">
        <v>348</v>
      </c>
      <c r="H1881" s="82" t="s">
        <v>349</v>
      </c>
      <c r="I1881" s="174">
        <v>31.6</v>
      </c>
      <c r="J1881" s="174"/>
      <c r="K1881" s="84"/>
      <c r="L1881" s="102"/>
      <c r="M1881" s="66"/>
      <c r="N1881" s="66"/>
      <c r="R1881" s="72"/>
    </row>
    <row r="1882" spans="1:19" ht="18.75" customHeight="1" x14ac:dyDescent="0.2">
      <c r="A1882" s="79"/>
      <c r="B1882" s="79"/>
      <c r="C1882" s="80"/>
      <c r="D1882" s="66"/>
      <c r="E1882" s="86"/>
      <c r="F1882" s="66"/>
      <c r="G1882" s="66"/>
      <c r="H1882" s="82"/>
      <c r="I1882" s="174"/>
      <c r="J1882" s="174"/>
      <c r="K1882" s="84"/>
      <c r="L1882" s="102"/>
      <c r="M1882" s="66"/>
      <c r="N1882" s="66"/>
      <c r="R1882" s="72"/>
    </row>
    <row r="1883" spans="1:19" s="101" customFormat="1" ht="18.75" customHeight="1" x14ac:dyDescent="0.2">
      <c r="A1883" s="70">
        <v>44311</v>
      </c>
      <c r="B1883" s="70">
        <v>44325</v>
      </c>
      <c r="C1883" s="71" t="s">
        <v>1906</v>
      </c>
      <c r="D1883" s="72" t="s">
        <v>636</v>
      </c>
      <c r="E1883" s="145" t="s">
        <v>21</v>
      </c>
      <c r="F1883" s="72" t="s">
        <v>1907</v>
      </c>
      <c r="G1883" s="72" t="s">
        <v>1908</v>
      </c>
      <c r="H1883" s="74" t="s">
        <v>349</v>
      </c>
      <c r="I1883" s="173">
        <v>64.2</v>
      </c>
      <c r="J1883" s="173"/>
      <c r="K1883" s="76">
        <v>64.2</v>
      </c>
      <c r="L1883" s="77"/>
      <c r="M1883" s="134">
        <v>44548</v>
      </c>
      <c r="N1883" s="134">
        <v>47469</v>
      </c>
      <c r="O1883" s="101" t="s">
        <v>19</v>
      </c>
      <c r="P1883" s="101" t="s">
        <v>914</v>
      </c>
      <c r="Q1883" s="101" t="s">
        <v>1164</v>
      </c>
      <c r="R1883" s="72" t="s">
        <v>419</v>
      </c>
      <c r="S1883" s="72"/>
    </row>
    <row r="1884" spans="1:19" ht="18.75" customHeight="1" x14ac:dyDescent="0.2">
      <c r="A1884" s="79"/>
      <c r="B1884" s="79"/>
      <c r="C1884" s="80"/>
      <c r="D1884" s="66"/>
      <c r="E1884" s="86" t="s">
        <v>19</v>
      </c>
      <c r="F1884" s="66" t="s">
        <v>914</v>
      </c>
      <c r="G1884" s="66" t="s">
        <v>1164</v>
      </c>
      <c r="H1884" s="82" t="s">
        <v>419</v>
      </c>
      <c r="I1884" s="174">
        <v>35.799999999999997</v>
      </c>
      <c r="J1884" s="174"/>
      <c r="K1884" s="84"/>
      <c r="L1884" s="102"/>
      <c r="M1884" s="66"/>
      <c r="N1884" s="66"/>
      <c r="R1884" s="72"/>
    </row>
    <row r="1885" spans="1:19" ht="18.75" customHeight="1" x14ac:dyDescent="0.2">
      <c r="A1885" s="79"/>
      <c r="B1885" s="79"/>
      <c r="C1885" s="80"/>
      <c r="D1885" s="66"/>
      <c r="E1885" s="86"/>
      <c r="F1885" s="66"/>
      <c r="G1885" s="66"/>
      <c r="H1885" s="82"/>
      <c r="I1885" s="174"/>
      <c r="J1885" s="174"/>
      <c r="K1885" s="84"/>
      <c r="L1885" s="102"/>
      <c r="M1885" s="66"/>
      <c r="N1885" s="66"/>
      <c r="R1885" s="72"/>
    </row>
    <row r="1886" spans="1:19" s="101" customFormat="1" ht="18.75" customHeight="1" x14ac:dyDescent="0.2">
      <c r="A1886" s="70">
        <v>44353</v>
      </c>
      <c r="B1886" s="70">
        <v>44367</v>
      </c>
      <c r="C1886" s="71" t="s">
        <v>1672</v>
      </c>
      <c r="D1886" s="72" t="s">
        <v>966</v>
      </c>
      <c r="E1886" s="145" t="s">
        <v>21</v>
      </c>
      <c r="F1886" s="72" t="s">
        <v>1909</v>
      </c>
      <c r="G1886" s="72" t="s">
        <v>1188</v>
      </c>
      <c r="H1886" s="74" t="s">
        <v>349</v>
      </c>
      <c r="I1886" s="173">
        <v>61.3</v>
      </c>
      <c r="J1886" s="173"/>
      <c r="K1886" s="76">
        <v>44.2</v>
      </c>
      <c r="L1886" s="77"/>
      <c r="M1886" s="134">
        <v>44371</v>
      </c>
      <c r="N1886" s="134">
        <v>47292</v>
      </c>
      <c r="O1886" s="101" t="s">
        <v>19</v>
      </c>
      <c r="P1886" s="101" t="s">
        <v>1674</v>
      </c>
      <c r="Q1886" s="101" t="s">
        <v>1673</v>
      </c>
      <c r="R1886" s="72" t="s">
        <v>349</v>
      </c>
      <c r="S1886" s="72"/>
    </row>
    <row r="1887" spans="1:19" ht="18.75" customHeight="1" x14ac:dyDescent="0.2">
      <c r="A1887" s="79"/>
      <c r="B1887" s="79"/>
      <c r="C1887" s="80"/>
      <c r="D1887" s="66"/>
      <c r="E1887" s="86" t="s">
        <v>19</v>
      </c>
      <c r="F1887" s="66" t="s">
        <v>1116</v>
      </c>
      <c r="G1887" s="66" t="s">
        <v>383</v>
      </c>
      <c r="H1887" s="82" t="s">
        <v>349</v>
      </c>
      <c r="I1887" s="174">
        <v>38.700000000000003</v>
      </c>
      <c r="J1887" s="174"/>
      <c r="K1887" s="84"/>
      <c r="L1887" s="102"/>
      <c r="M1887" s="66"/>
      <c r="N1887" s="66"/>
      <c r="R1887" s="72"/>
    </row>
    <row r="1888" spans="1:19" ht="18.75" customHeight="1" x14ac:dyDescent="0.2">
      <c r="A1888" s="79"/>
      <c r="B1888" s="79"/>
      <c r="C1888" s="80"/>
      <c r="D1888" s="66"/>
      <c r="E1888" s="86"/>
      <c r="F1888" s="66"/>
      <c r="G1888" s="66"/>
      <c r="H1888" s="82"/>
      <c r="I1888" s="174"/>
      <c r="J1888" s="174"/>
      <c r="K1888" s="84"/>
      <c r="L1888" s="102"/>
      <c r="M1888" s="66"/>
      <c r="N1888" s="66"/>
      <c r="R1888" s="72"/>
    </row>
    <row r="1889" spans="1:19" s="101" customFormat="1" ht="18.75" customHeight="1" x14ac:dyDescent="0.2">
      <c r="A1889" s="70">
        <v>44465</v>
      </c>
      <c r="B1889" s="70">
        <v>44479</v>
      </c>
      <c r="C1889" s="71" t="s">
        <v>1465</v>
      </c>
      <c r="D1889" s="72" t="s">
        <v>496</v>
      </c>
      <c r="E1889" s="145" t="s">
        <v>19</v>
      </c>
      <c r="F1889" s="72" t="s">
        <v>1466</v>
      </c>
      <c r="G1889" s="72" t="s">
        <v>1467</v>
      </c>
      <c r="H1889" s="74" t="s">
        <v>349</v>
      </c>
      <c r="I1889" s="173">
        <v>69.8</v>
      </c>
      <c r="J1889" s="173"/>
      <c r="K1889" s="76">
        <v>74.400000000000006</v>
      </c>
      <c r="L1889" s="77"/>
      <c r="M1889" s="134">
        <v>44598</v>
      </c>
      <c r="N1889" s="134">
        <v>47519</v>
      </c>
      <c r="O1889" s="101" t="s">
        <v>19</v>
      </c>
      <c r="P1889" s="101" t="s">
        <v>1466</v>
      </c>
      <c r="Q1889" s="101" t="s">
        <v>1467</v>
      </c>
      <c r="R1889" s="72" t="s">
        <v>349</v>
      </c>
      <c r="S1889" s="72"/>
    </row>
    <row r="1890" spans="1:19" ht="18.75" customHeight="1" x14ac:dyDescent="0.2">
      <c r="A1890" s="79"/>
      <c r="B1890" s="79"/>
      <c r="C1890" s="80"/>
      <c r="D1890" s="66"/>
      <c r="E1890" s="86"/>
      <c r="F1890" s="66"/>
      <c r="G1890" s="66"/>
      <c r="H1890" s="82"/>
      <c r="I1890" s="174"/>
      <c r="J1890" s="174"/>
      <c r="K1890" s="84"/>
      <c r="L1890" s="102"/>
      <c r="M1890" s="66"/>
      <c r="N1890" s="66"/>
      <c r="R1890" s="72"/>
    </row>
    <row r="1891" spans="1:19" s="101" customFormat="1" ht="18.75" customHeight="1" x14ac:dyDescent="0.2">
      <c r="A1891" s="70">
        <v>44465</v>
      </c>
      <c r="B1891" s="70">
        <v>44479</v>
      </c>
      <c r="C1891" s="71" t="s">
        <v>1875</v>
      </c>
      <c r="D1891" s="72" t="s">
        <v>1476</v>
      </c>
      <c r="E1891" s="145" t="s">
        <v>1910</v>
      </c>
      <c r="F1891" s="72" t="s">
        <v>1910</v>
      </c>
      <c r="G1891" s="72" t="s">
        <v>512</v>
      </c>
      <c r="H1891" s="74" t="s">
        <v>349</v>
      </c>
      <c r="I1891" s="173">
        <v>73.8</v>
      </c>
      <c r="J1891" s="173"/>
      <c r="K1891" s="76">
        <v>71.400000000000006</v>
      </c>
      <c r="L1891" s="77"/>
      <c r="M1891" s="134">
        <v>44713</v>
      </c>
      <c r="N1891" s="134">
        <v>47634</v>
      </c>
      <c r="O1891" s="101" t="s">
        <v>347</v>
      </c>
      <c r="P1891" s="101" t="s">
        <v>347</v>
      </c>
      <c r="Q1891" s="101" t="s">
        <v>348</v>
      </c>
      <c r="R1891" s="72" t="s">
        <v>349</v>
      </c>
      <c r="S1891" s="72"/>
    </row>
    <row r="1892" spans="1:19" ht="18.75" customHeight="1" x14ac:dyDescent="0.2">
      <c r="A1892" s="79"/>
      <c r="B1892" s="79"/>
      <c r="C1892" s="80"/>
      <c r="D1892" s="66"/>
      <c r="E1892" s="86"/>
      <c r="F1892" s="66"/>
      <c r="G1892" s="66"/>
      <c r="H1892" s="82"/>
      <c r="I1892" s="174"/>
      <c r="J1892" s="174"/>
      <c r="K1892" s="84"/>
      <c r="L1892" s="102"/>
      <c r="M1892" s="66"/>
      <c r="N1892" s="66"/>
      <c r="R1892" s="72"/>
    </row>
    <row r="1893" spans="1:19" s="101" customFormat="1" ht="18.75" customHeight="1" x14ac:dyDescent="0.2">
      <c r="A1893" s="70">
        <v>44465</v>
      </c>
      <c r="B1893" s="70">
        <v>44479</v>
      </c>
      <c r="C1893" s="71" t="s">
        <v>1911</v>
      </c>
      <c r="D1893" s="72" t="s">
        <v>941</v>
      </c>
      <c r="E1893" s="145" t="s">
        <v>19</v>
      </c>
      <c r="F1893" s="72" t="s">
        <v>1912</v>
      </c>
      <c r="G1893" s="72" t="s">
        <v>1913</v>
      </c>
      <c r="H1893" s="74" t="s">
        <v>349</v>
      </c>
      <c r="I1893" s="173">
        <v>68.3</v>
      </c>
      <c r="J1893" s="173"/>
      <c r="K1893" s="76">
        <v>68.3</v>
      </c>
      <c r="L1893" s="77"/>
      <c r="M1893" s="134">
        <v>44501</v>
      </c>
      <c r="N1893" s="134">
        <v>47422</v>
      </c>
      <c r="O1893" s="101" t="s">
        <v>19</v>
      </c>
      <c r="P1893" s="101" t="s">
        <v>1317</v>
      </c>
      <c r="Q1893" s="101" t="s">
        <v>1491</v>
      </c>
      <c r="R1893" s="72" t="s">
        <v>349</v>
      </c>
      <c r="S1893" s="72"/>
    </row>
    <row r="1894" spans="1:19" ht="18.75" customHeight="1" x14ac:dyDescent="0.2">
      <c r="A1894" s="79"/>
      <c r="B1894" s="79"/>
      <c r="C1894" s="80"/>
      <c r="D1894" s="66"/>
      <c r="E1894" s="86" t="s">
        <v>1914</v>
      </c>
      <c r="F1894" s="66" t="s">
        <v>1914</v>
      </c>
      <c r="G1894" s="66" t="s">
        <v>477</v>
      </c>
      <c r="H1894" s="82" t="s">
        <v>349</v>
      </c>
      <c r="I1894" s="174">
        <v>31.7</v>
      </c>
      <c r="J1894" s="174"/>
      <c r="K1894" s="84"/>
      <c r="L1894" s="102"/>
      <c r="M1894" s="66"/>
      <c r="N1894" s="66"/>
      <c r="R1894" s="72"/>
    </row>
    <row r="1895" spans="1:19" ht="18.75" customHeight="1" x14ac:dyDescent="0.2">
      <c r="A1895" s="79"/>
      <c r="B1895" s="79"/>
      <c r="C1895" s="80"/>
      <c r="D1895" s="66"/>
      <c r="E1895" s="86"/>
      <c r="F1895" s="66"/>
      <c r="G1895" s="66"/>
      <c r="H1895" s="82"/>
      <c r="I1895" s="174"/>
      <c r="J1895" s="174"/>
      <c r="K1895" s="84"/>
      <c r="L1895" s="102"/>
      <c r="M1895" s="66"/>
      <c r="N1895" s="66"/>
      <c r="R1895" s="72"/>
    </row>
    <row r="1896" spans="1:19" s="101" customFormat="1" ht="18.75" customHeight="1" x14ac:dyDescent="0.2">
      <c r="A1896" s="70">
        <v>44514</v>
      </c>
      <c r="B1896" s="70">
        <v>44528</v>
      </c>
      <c r="C1896" s="71" t="s">
        <v>1915</v>
      </c>
      <c r="D1896" s="72" t="s">
        <v>1518</v>
      </c>
      <c r="E1896" s="145" t="s">
        <v>21</v>
      </c>
      <c r="F1896" s="72" t="s">
        <v>1335</v>
      </c>
      <c r="G1896" s="72" t="s">
        <v>591</v>
      </c>
      <c r="H1896" s="74" t="s">
        <v>349</v>
      </c>
      <c r="I1896" s="173">
        <v>80.099999999999994</v>
      </c>
      <c r="J1896" s="173"/>
      <c r="K1896" s="76">
        <v>32.799999999999997</v>
      </c>
      <c r="L1896" s="77"/>
      <c r="M1896" s="134">
        <v>44743</v>
      </c>
      <c r="N1896" s="134">
        <v>47664</v>
      </c>
      <c r="O1896" s="101" t="s">
        <v>21</v>
      </c>
      <c r="P1896" s="101" t="s">
        <v>1335</v>
      </c>
      <c r="Q1896" s="101" t="s">
        <v>591</v>
      </c>
      <c r="R1896" s="72" t="s">
        <v>349</v>
      </c>
      <c r="S1896" s="72"/>
    </row>
    <row r="1897" spans="1:19" ht="18.75" customHeight="1" x14ac:dyDescent="0.2">
      <c r="A1897" s="79"/>
      <c r="B1897" s="79"/>
      <c r="C1897" s="80"/>
      <c r="D1897" s="66"/>
      <c r="E1897" s="86"/>
      <c r="F1897" s="66"/>
      <c r="G1897" s="66"/>
      <c r="H1897" s="82"/>
      <c r="I1897" s="174"/>
      <c r="J1897" s="174"/>
      <c r="K1897" s="84"/>
      <c r="L1897" s="102"/>
      <c r="M1897" s="66"/>
      <c r="N1897" s="66"/>
      <c r="R1897" s="72"/>
    </row>
    <row r="1898" spans="1:19" s="101" customFormat="1" ht="18.75" customHeight="1" x14ac:dyDescent="0.2">
      <c r="A1898" s="70">
        <v>44521</v>
      </c>
      <c r="B1898" s="70">
        <v>44542</v>
      </c>
      <c r="C1898" s="71" t="s">
        <v>1916</v>
      </c>
      <c r="D1898" s="72" t="s">
        <v>1502</v>
      </c>
      <c r="E1898" s="145" t="s">
        <v>19</v>
      </c>
      <c r="F1898" s="72" t="s">
        <v>291</v>
      </c>
      <c r="G1898" s="72" t="s">
        <v>1319</v>
      </c>
      <c r="H1898" s="74" t="s">
        <v>349</v>
      </c>
      <c r="I1898" s="173">
        <v>83.3</v>
      </c>
      <c r="J1898" s="173"/>
      <c r="K1898" s="76">
        <v>33.1</v>
      </c>
      <c r="L1898" s="77"/>
      <c r="M1898" s="134">
        <v>44744</v>
      </c>
      <c r="N1898" s="134">
        <v>45382</v>
      </c>
      <c r="O1898" s="101" t="s">
        <v>19</v>
      </c>
      <c r="P1898" s="101" t="s">
        <v>291</v>
      </c>
      <c r="Q1898" s="101" t="s">
        <v>1319</v>
      </c>
      <c r="R1898" s="72" t="s">
        <v>349</v>
      </c>
      <c r="S1898" s="72"/>
    </row>
    <row r="1899" spans="1:19" ht="18.75" customHeight="1" x14ac:dyDescent="0.2">
      <c r="A1899" s="79"/>
      <c r="B1899" s="79"/>
      <c r="C1899" s="80"/>
      <c r="D1899" s="66"/>
      <c r="E1899" s="86"/>
      <c r="F1899" s="66"/>
      <c r="G1899" s="66"/>
      <c r="H1899" s="82"/>
      <c r="I1899" s="174"/>
      <c r="J1899" s="174"/>
      <c r="K1899" s="84"/>
      <c r="L1899" s="102"/>
      <c r="M1899" s="66"/>
      <c r="N1899" s="66"/>
      <c r="R1899" s="72"/>
    </row>
    <row r="1900" spans="1:19" s="101" customFormat="1" ht="18.75" customHeight="1" x14ac:dyDescent="0.2">
      <c r="A1900" s="70">
        <v>44528</v>
      </c>
      <c r="B1900" s="70">
        <v>44542</v>
      </c>
      <c r="C1900" s="71" t="s">
        <v>1917</v>
      </c>
      <c r="D1900" s="72" t="s">
        <v>1036</v>
      </c>
      <c r="E1900" s="145" t="s">
        <v>21</v>
      </c>
      <c r="F1900" s="72" t="s">
        <v>1918</v>
      </c>
      <c r="G1900" s="72" t="s">
        <v>1535</v>
      </c>
      <c r="H1900" s="74" t="s">
        <v>419</v>
      </c>
      <c r="I1900" s="173">
        <v>51.3</v>
      </c>
      <c r="J1900" s="173"/>
      <c r="K1900" s="76">
        <v>43.2</v>
      </c>
      <c r="L1900" s="77"/>
      <c r="M1900" s="134">
        <v>44743</v>
      </c>
      <c r="N1900" s="134">
        <v>47664</v>
      </c>
      <c r="O1900" s="101" t="s">
        <v>21</v>
      </c>
      <c r="P1900" s="101" t="s">
        <v>1515</v>
      </c>
      <c r="Q1900" s="101" t="s">
        <v>1188</v>
      </c>
      <c r="R1900" s="72" t="s">
        <v>349</v>
      </c>
      <c r="S1900" s="72"/>
    </row>
    <row r="1901" spans="1:19" ht="18.75" customHeight="1" x14ac:dyDescent="0.2">
      <c r="A1901" s="79"/>
      <c r="B1901" s="79"/>
      <c r="C1901" s="80"/>
      <c r="D1901" s="66"/>
      <c r="E1901" s="86" t="s">
        <v>19</v>
      </c>
      <c r="F1901" s="66" t="s">
        <v>1919</v>
      </c>
      <c r="G1901" s="66" t="s">
        <v>561</v>
      </c>
      <c r="H1901" s="82" t="s">
        <v>349</v>
      </c>
      <c r="I1901" s="174">
        <v>48.7</v>
      </c>
      <c r="J1901" s="174"/>
      <c r="K1901" s="84"/>
      <c r="L1901" s="102"/>
      <c r="M1901" s="66"/>
      <c r="N1901" s="66"/>
      <c r="R1901" s="72"/>
    </row>
    <row r="1902" spans="1:19" ht="18.75" customHeight="1" x14ac:dyDescent="0.2">
      <c r="A1902" s="79"/>
      <c r="B1902" s="79"/>
      <c r="C1902" s="80"/>
      <c r="D1902" s="66"/>
      <c r="E1902" s="86"/>
      <c r="F1902" s="66"/>
      <c r="G1902" s="66"/>
      <c r="H1902" s="82"/>
      <c r="I1902" s="174"/>
      <c r="J1902" s="174"/>
      <c r="K1902" s="84"/>
      <c r="L1902" s="102"/>
      <c r="M1902" s="66"/>
      <c r="N1902" s="66"/>
      <c r="R1902" s="72"/>
    </row>
    <row r="1903" spans="1:19" s="101" customFormat="1" ht="18.75" customHeight="1" x14ac:dyDescent="0.2">
      <c r="A1903" s="70">
        <v>44577</v>
      </c>
      <c r="B1903" s="70">
        <v>44598</v>
      </c>
      <c r="C1903" s="71" t="s">
        <v>1857</v>
      </c>
      <c r="D1903" s="72" t="s">
        <v>536</v>
      </c>
      <c r="E1903" s="145" t="s">
        <v>1302</v>
      </c>
      <c r="F1903" s="72" t="s">
        <v>1302</v>
      </c>
      <c r="G1903" s="72" t="s">
        <v>1913</v>
      </c>
      <c r="H1903" s="74" t="s">
        <v>349</v>
      </c>
      <c r="I1903" s="173">
        <v>56.2</v>
      </c>
      <c r="J1903" s="173"/>
      <c r="K1903" s="76">
        <v>46.2</v>
      </c>
      <c r="L1903" s="77"/>
      <c r="M1903" s="134">
        <v>44652</v>
      </c>
      <c r="N1903" s="134">
        <v>47573</v>
      </c>
      <c r="O1903" s="101" t="s">
        <v>21</v>
      </c>
      <c r="P1903" s="101" t="s">
        <v>1416</v>
      </c>
      <c r="Q1903" s="101" t="s">
        <v>861</v>
      </c>
      <c r="R1903" s="72" t="s">
        <v>349</v>
      </c>
      <c r="S1903" s="72"/>
    </row>
    <row r="1904" spans="1:19" ht="18.75" customHeight="1" x14ac:dyDescent="0.2">
      <c r="A1904" s="79"/>
      <c r="B1904" s="79"/>
      <c r="C1904" s="80"/>
      <c r="D1904" s="66"/>
      <c r="E1904" s="86" t="s">
        <v>21</v>
      </c>
      <c r="F1904" s="66" t="s">
        <v>1920</v>
      </c>
      <c r="G1904" s="66" t="s">
        <v>629</v>
      </c>
      <c r="H1904" s="82" t="s">
        <v>349</v>
      </c>
      <c r="I1904" s="174">
        <v>21.2</v>
      </c>
      <c r="J1904" s="174"/>
      <c r="K1904" s="84"/>
      <c r="L1904" s="102"/>
      <c r="M1904" s="66"/>
      <c r="N1904" s="66"/>
      <c r="R1904" s="72"/>
    </row>
    <row r="1905" spans="1:19" ht="18.75" customHeight="1" x14ac:dyDescent="0.2">
      <c r="A1905" s="79"/>
      <c r="B1905" s="79"/>
      <c r="C1905" s="80"/>
      <c r="D1905" s="66"/>
      <c r="E1905" s="86" t="s">
        <v>19</v>
      </c>
      <c r="F1905" s="66" t="s">
        <v>1921</v>
      </c>
      <c r="G1905" s="66" t="s">
        <v>741</v>
      </c>
      <c r="H1905" s="82" t="s">
        <v>349</v>
      </c>
      <c r="I1905" s="174">
        <v>22.6</v>
      </c>
      <c r="J1905" s="174"/>
      <c r="K1905" s="84"/>
      <c r="L1905" s="102"/>
      <c r="M1905" s="66"/>
      <c r="N1905" s="66"/>
      <c r="R1905" s="72"/>
    </row>
    <row r="1906" spans="1:19" ht="18.75" customHeight="1" x14ac:dyDescent="0.2">
      <c r="A1906" s="79"/>
      <c r="B1906" s="79"/>
      <c r="C1906" s="80"/>
      <c r="D1906" s="66"/>
      <c r="E1906" s="86"/>
      <c r="F1906" s="66"/>
      <c r="G1906" s="66"/>
      <c r="H1906" s="82"/>
      <c r="I1906" s="174"/>
      <c r="J1906" s="174"/>
      <c r="K1906" s="84"/>
      <c r="L1906" s="102"/>
      <c r="M1906" s="66"/>
      <c r="N1906" s="66"/>
      <c r="R1906" s="72"/>
    </row>
    <row r="1907" spans="1:19" s="101" customFormat="1" ht="18.75" customHeight="1" x14ac:dyDescent="0.2">
      <c r="A1907" s="70">
        <v>44577</v>
      </c>
      <c r="B1907" s="70">
        <v>44591</v>
      </c>
      <c r="C1907" s="71" t="s">
        <v>1922</v>
      </c>
      <c r="D1907" s="72" t="s">
        <v>707</v>
      </c>
      <c r="E1907" s="145" t="s">
        <v>1483</v>
      </c>
      <c r="F1907" s="72" t="s">
        <v>1483</v>
      </c>
      <c r="G1907" s="72" t="s">
        <v>1923</v>
      </c>
      <c r="H1907" s="74" t="s">
        <v>349</v>
      </c>
      <c r="I1907" s="173">
        <v>81.099999999999994</v>
      </c>
      <c r="J1907" s="173"/>
      <c r="K1907" s="76">
        <v>43.7</v>
      </c>
      <c r="L1907" s="77"/>
      <c r="M1907" s="134">
        <v>44743</v>
      </c>
      <c r="N1907" s="134">
        <v>47664</v>
      </c>
      <c r="O1907" s="101" t="s">
        <v>1483</v>
      </c>
      <c r="P1907" s="101" t="s">
        <v>1483</v>
      </c>
      <c r="Q1907" s="101" t="s">
        <v>1923</v>
      </c>
      <c r="R1907" s="72" t="s">
        <v>349</v>
      </c>
      <c r="S1907" s="72"/>
    </row>
    <row r="1908" spans="1:19" ht="18.75" customHeight="1" x14ac:dyDescent="0.2">
      <c r="A1908" s="79"/>
      <c r="B1908" s="79"/>
      <c r="C1908" s="80"/>
      <c r="D1908" s="66"/>
      <c r="E1908" s="86"/>
      <c r="F1908" s="66"/>
      <c r="G1908" s="66"/>
      <c r="H1908" s="82"/>
      <c r="I1908" s="174"/>
      <c r="J1908" s="174"/>
      <c r="K1908" s="84"/>
      <c r="L1908" s="102"/>
      <c r="M1908" s="66"/>
      <c r="N1908" s="66"/>
      <c r="R1908" s="72"/>
    </row>
    <row r="1909" spans="1:19" s="101" customFormat="1" ht="18.75" customHeight="1" x14ac:dyDescent="0.2">
      <c r="A1909" s="70">
        <v>44577</v>
      </c>
      <c r="B1909" s="70">
        <v>44591</v>
      </c>
      <c r="C1909" s="71" t="s">
        <v>1924</v>
      </c>
      <c r="D1909" s="72" t="s">
        <v>402</v>
      </c>
      <c r="E1909" s="145" t="s">
        <v>55</v>
      </c>
      <c r="F1909" s="72" t="s">
        <v>1925</v>
      </c>
      <c r="G1909" s="72" t="s">
        <v>1682</v>
      </c>
      <c r="H1909" s="74" t="s">
        <v>349</v>
      </c>
      <c r="I1909" s="173">
        <v>38.700000000000003</v>
      </c>
      <c r="J1909" s="173">
        <v>62.2</v>
      </c>
      <c r="K1909" s="76">
        <v>45.9</v>
      </c>
      <c r="L1909" s="77">
        <v>41.7</v>
      </c>
      <c r="M1909" s="134">
        <v>44743</v>
      </c>
      <c r="N1909" s="134">
        <v>47664</v>
      </c>
      <c r="O1909" s="101" t="s">
        <v>19</v>
      </c>
      <c r="P1909" s="101" t="s">
        <v>403</v>
      </c>
      <c r="Q1909" s="101" t="s">
        <v>404</v>
      </c>
      <c r="R1909" s="72" t="s">
        <v>349</v>
      </c>
      <c r="S1909" s="72"/>
    </row>
    <row r="1910" spans="1:19" ht="18.75" customHeight="1" x14ac:dyDescent="0.2">
      <c r="A1910" s="79"/>
      <c r="B1910" s="79"/>
      <c r="C1910" s="80"/>
      <c r="D1910" s="66"/>
      <c r="E1910" s="86" t="s">
        <v>19</v>
      </c>
      <c r="F1910" s="66" t="s">
        <v>1926</v>
      </c>
      <c r="G1910" s="66" t="s">
        <v>638</v>
      </c>
      <c r="H1910" s="82" t="s">
        <v>349</v>
      </c>
      <c r="I1910" s="174">
        <v>28.5</v>
      </c>
      <c r="J1910" s="174">
        <v>37.799999999999997</v>
      </c>
      <c r="K1910" s="84"/>
      <c r="L1910" s="102"/>
      <c r="M1910" s="66"/>
      <c r="N1910" s="66"/>
      <c r="R1910" s="72"/>
    </row>
    <row r="1911" spans="1:19" ht="18.75" customHeight="1" x14ac:dyDescent="0.2">
      <c r="A1911" s="79"/>
      <c r="B1911" s="79"/>
      <c r="C1911" s="80"/>
      <c r="D1911" s="66"/>
      <c r="E1911" s="86" t="s">
        <v>21</v>
      </c>
      <c r="F1911" s="66" t="s">
        <v>1927</v>
      </c>
      <c r="G1911" s="66" t="s">
        <v>738</v>
      </c>
      <c r="H1911" s="82" t="s">
        <v>349</v>
      </c>
      <c r="I1911" s="174">
        <v>22.2</v>
      </c>
      <c r="J1911" s="174"/>
      <c r="K1911" s="84"/>
      <c r="L1911" s="102"/>
      <c r="M1911" s="66"/>
      <c r="N1911" s="66"/>
      <c r="R1911" s="72"/>
    </row>
    <row r="1912" spans="1:19" ht="18.75" customHeight="1" x14ac:dyDescent="0.2">
      <c r="A1912" s="79"/>
      <c r="B1912" s="79"/>
      <c r="C1912" s="80"/>
      <c r="D1912" s="66"/>
      <c r="E1912" s="86" t="s">
        <v>34</v>
      </c>
      <c r="F1912" s="66" t="s">
        <v>1928</v>
      </c>
      <c r="G1912" s="66" t="s">
        <v>1644</v>
      </c>
      <c r="H1912" s="82" t="s">
        <v>349</v>
      </c>
      <c r="I1912" s="174">
        <v>10.7</v>
      </c>
      <c r="J1912" s="174"/>
      <c r="K1912" s="84"/>
      <c r="L1912" s="102"/>
      <c r="M1912" s="66"/>
      <c r="N1912" s="66"/>
      <c r="R1912" s="72"/>
    </row>
    <row r="1913" spans="1:19" ht="18.75" customHeight="1" x14ac:dyDescent="0.2">
      <c r="A1913" s="79"/>
      <c r="B1913" s="79"/>
      <c r="C1913" s="80"/>
      <c r="D1913" s="66"/>
      <c r="E1913" s="86"/>
      <c r="F1913" s="66"/>
      <c r="G1913" s="66"/>
      <c r="H1913" s="82"/>
      <c r="I1913" s="174"/>
      <c r="J1913" s="174"/>
      <c r="K1913" s="84"/>
      <c r="L1913" s="102"/>
      <c r="M1913" s="66"/>
      <c r="N1913" s="66"/>
      <c r="R1913" s="72"/>
    </row>
    <row r="1914" spans="1:19" s="101" customFormat="1" ht="18.75" customHeight="1" x14ac:dyDescent="0.2">
      <c r="A1914" s="70">
        <v>44584</v>
      </c>
      <c r="B1914" s="70">
        <v>44605</v>
      </c>
      <c r="C1914" s="71" t="s">
        <v>1929</v>
      </c>
      <c r="D1914" s="72" t="s">
        <v>1503</v>
      </c>
      <c r="E1914" s="145" t="s">
        <v>830</v>
      </c>
      <c r="F1914" s="72" t="s">
        <v>830</v>
      </c>
      <c r="G1914" s="72" t="s">
        <v>1930</v>
      </c>
      <c r="H1914" s="74" t="s">
        <v>419</v>
      </c>
      <c r="I1914" s="173">
        <v>49.8</v>
      </c>
      <c r="J1914" s="173">
        <v>71.5</v>
      </c>
      <c r="K1914" s="76">
        <v>45.7</v>
      </c>
      <c r="L1914" s="77">
        <v>44.1</v>
      </c>
      <c r="M1914" s="134">
        <v>44743</v>
      </c>
      <c r="N1914" s="134">
        <v>47664</v>
      </c>
      <c r="O1914" s="101" t="s">
        <v>21</v>
      </c>
      <c r="P1914" s="101" t="s">
        <v>1317</v>
      </c>
      <c r="Q1914" s="101" t="s">
        <v>487</v>
      </c>
      <c r="R1914" s="72" t="s">
        <v>349</v>
      </c>
      <c r="S1914" s="72"/>
    </row>
    <row r="1915" spans="1:19" ht="18.75" customHeight="1" x14ac:dyDescent="0.2">
      <c r="A1915" s="79"/>
      <c r="B1915" s="79"/>
      <c r="C1915" s="80"/>
      <c r="D1915" s="66"/>
      <c r="E1915" s="86" t="s">
        <v>19</v>
      </c>
      <c r="F1915" s="66" t="s">
        <v>1931</v>
      </c>
      <c r="G1915" s="66" t="s">
        <v>476</v>
      </c>
      <c r="H1915" s="82" t="s">
        <v>349</v>
      </c>
      <c r="I1915" s="174">
        <v>30.8</v>
      </c>
      <c r="J1915" s="174">
        <v>28.5</v>
      </c>
      <c r="K1915" s="84"/>
      <c r="L1915" s="102"/>
      <c r="M1915" s="66"/>
      <c r="N1915" s="66"/>
      <c r="R1915" s="72"/>
    </row>
    <row r="1916" spans="1:19" ht="18.75" customHeight="1" x14ac:dyDescent="0.2">
      <c r="A1916" s="79"/>
      <c r="B1916" s="79"/>
      <c r="C1916" s="80"/>
      <c r="D1916" s="66"/>
      <c r="E1916" s="86" t="s">
        <v>21</v>
      </c>
      <c r="F1916" s="66" t="s">
        <v>1932</v>
      </c>
      <c r="G1916" s="66" t="s">
        <v>1170</v>
      </c>
      <c r="H1916" s="82" t="s">
        <v>349</v>
      </c>
      <c r="I1916" s="174">
        <v>19.5</v>
      </c>
      <c r="J1916" s="174"/>
      <c r="K1916" s="84"/>
      <c r="L1916" s="102"/>
      <c r="M1916" s="66"/>
      <c r="N1916" s="66"/>
      <c r="R1916" s="72"/>
    </row>
    <row r="1917" spans="1:19" ht="18.75" customHeight="1" x14ac:dyDescent="0.2">
      <c r="A1917" s="79"/>
      <c r="B1917" s="79"/>
      <c r="C1917" s="80"/>
      <c r="D1917" s="66"/>
      <c r="E1917" s="86"/>
      <c r="F1917" s="66"/>
      <c r="G1917" s="66"/>
      <c r="H1917" s="82"/>
      <c r="I1917" s="174"/>
      <c r="J1917" s="174"/>
      <c r="K1917" s="84"/>
      <c r="L1917" s="102"/>
      <c r="M1917" s="66"/>
      <c r="N1917" s="66"/>
      <c r="R1917" s="72"/>
    </row>
    <row r="1918" spans="1:19" s="101" customFormat="1" ht="18.75" customHeight="1" x14ac:dyDescent="0.2">
      <c r="A1918" s="70">
        <v>44612</v>
      </c>
      <c r="B1918" s="70">
        <v>44633</v>
      </c>
      <c r="C1918" s="71" t="s">
        <v>1695</v>
      </c>
      <c r="D1918" s="72" t="s">
        <v>719</v>
      </c>
      <c r="E1918" s="145" t="s">
        <v>19</v>
      </c>
      <c r="F1918" s="72" t="s">
        <v>1933</v>
      </c>
      <c r="G1918" s="72" t="s">
        <v>629</v>
      </c>
      <c r="H1918" s="74" t="s">
        <v>349</v>
      </c>
      <c r="I1918" s="173">
        <v>86.1</v>
      </c>
      <c r="J1918" s="173"/>
      <c r="K1918" s="76">
        <v>35.700000000000003</v>
      </c>
      <c r="L1918" s="77"/>
      <c r="M1918" s="134">
        <v>44680</v>
      </c>
      <c r="N1918" s="134">
        <v>47601</v>
      </c>
      <c r="O1918" s="101" t="s">
        <v>256</v>
      </c>
      <c r="P1918" s="101" t="s">
        <v>256</v>
      </c>
      <c r="Q1918" s="101" t="s">
        <v>1188</v>
      </c>
      <c r="R1918" s="72" t="s">
        <v>349</v>
      </c>
      <c r="S1918" s="72"/>
    </row>
    <row r="1919" spans="1:19" ht="18.75" customHeight="1" x14ac:dyDescent="0.2">
      <c r="A1919" s="79"/>
      <c r="B1919" s="79"/>
      <c r="C1919" s="80"/>
      <c r="D1919" s="66"/>
      <c r="E1919" s="86"/>
      <c r="F1919" s="66"/>
      <c r="G1919" s="66"/>
      <c r="H1919" s="82"/>
      <c r="I1919" s="174"/>
      <c r="J1919" s="174"/>
      <c r="K1919" s="84"/>
      <c r="L1919" s="102"/>
      <c r="M1919" s="66"/>
      <c r="N1919" s="66"/>
      <c r="R1919" s="72"/>
    </row>
    <row r="1920" spans="1:19" s="101" customFormat="1" ht="18.75" customHeight="1" x14ac:dyDescent="0.2">
      <c r="A1920" s="70">
        <v>44626</v>
      </c>
      <c r="B1920" s="70">
        <v>44640</v>
      </c>
      <c r="C1920" s="71" t="s">
        <v>1934</v>
      </c>
      <c r="D1920" s="72" t="s">
        <v>937</v>
      </c>
      <c r="E1920" s="145" t="s">
        <v>21</v>
      </c>
      <c r="F1920" s="72" t="s">
        <v>1499</v>
      </c>
      <c r="G1920" s="72" t="s">
        <v>1208</v>
      </c>
      <c r="H1920" s="74" t="s">
        <v>1729</v>
      </c>
      <c r="I1920" s="173">
        <v>67.900000000000006</v>
      </c>
      <c r="J1920" s="173"/>
      <c r="K1920" s="76">
        <v>41.5</v>
      </c>
      <c r="L1920" s="77"/>
      <c r="M1920" s="134">
        <v>44743</v>
      </c>
      <c r="N1920" s="134">
        <v>47664</v>
      </c>
      <c r="O1920" s="101" t="s">
        <v>21</v>
      </c>
      <c r="P1920" s="101" t="s">
        <v>1499</v>
      </c>
      <c r="Q1920" s="101" t="s">
        <v>1208</v>
      </c>
      <c r="R1920" s="72" t="s">
        <v>349</v>
      </c>
      <c r="S1920" s="72"/>
    </row>
    <row r="1921" spans="1:19" ht="18.75" customHeight="1" x14ac:dyDescent="0.2">
      <c r="A1921" s="79"/>
      <c r="B1921" s="79"/>
      <c r="C1921" s="80"/>
      <c r="D1921" s="66"/>
      <c r="E1921" s="86" t="s">
        <v>19</v>
      </c>
      <c r="F1921" s="66" t="s">
        <v>1935</v>
      </c>
      <c r="G1921" s="66" t="s">
        <v>477</v>
      </c>
      <c r="H1921" s="82" t="s">
        <v>349</v>
      </c>
      <c r="I1921" s="174">
        <v>32.1</v>
      </c>
      <c r="J1921" s="174"/>
      <c r="K1921" s="84"/>
      <c r="L1921" s="102"/>
      <c r="M1921" s="66"/>
      <c r="N1921" s="66"/>
      <c r="R1921" s="72"/>
    </row>
    <row r="1922" spans="1:19" ht="18.75" customHeight="1" x14ac:dyDescent="0.2">
      <c r="A1922" s="79"/>
      <c r="B1922" s="79"/>
      <c r="C1922" s="80"/>
      <c r="D1922" s="66"/>
      <c r="E1922" s="86"/>
      <c r="F1922" s="66"/>
      <c r="G1922" s="66"/>
      <c r="H1922" s="82"/>
      <c r="I1922" s="174"/>
      <c r="J1922" s="174"/>
      <c r="K1922" s="84"/>
      <c r="L1922" s="102"/>
      <c r="M1922" s="66"/>
      <c r="N1922" s="66"/>
      <c r="R1922" s="72"/>
    </row>
    <row r="1923" spans="1:19" s="101" customFormat="1" ht="18.75" customHeight="1" x14ac:dyDescent="0.2">
      <c r="A1923" s="70">
        <v>44626</v>
      </c>
      <c r="B1923" s="70">
        <v>44640</v>
      </c>
      <c r="C1923" s="71" t="s">
        <v>1936</v>
      </c>
      <c r="D1923" s="72" t="s">
        <v>1528</v>
      </c>
      <c r="E1923" s="145" t="s">
        <v>21</v>
      </c>
      <c r="F1923" s="72" t="s">
        <v>1529</v>
      </c>
      <c r="G1923" s="72" t="s">
        <v>383</v>
      </c>
      <c r="H1923" s="74" t="s">
        <v>349</v>
      </c>
      <c r="I1923" s="173">
        <v>75.900000000000006</v>
      </c>
      <c r="J1923" s="173"/>
      <c r="K1923" s="76">
        <v>45.8</v>
      </c>
      <c r="L1923" s="77"/>
      <c r="M1923" s="134">
        <v>44743</v>
      </c>
      <c r="N1923" s="134">
        <v>47664</v>
      </c>
      <c r="O1923" s="101" t="s">
        <v>21</v>
      </c>
      <c r="P1923" s="101" t="s">
        <v>1529</v>
      </c>
      <c r="Q1923" s="101" t="s">
        <v>383</v>
      </c>
      <c r="R1923" s="72" t="s">
        <v>349</v>
      </c>
      <c r="S1923" s="72"/>
    </row>
    <row r="1924" spans="1:19" ht="18.75" customHeight="1" x14ac:dyDescent="0.2">
      <c r="A1924" s="79"/>
      <c r="B1924" s="79"/>
      <c r="C1924" s="80"/>
      <c r="D1924" s="66"/>
      <c r="E1924" s="86" t="s">
        <v>38</v>
      </c>
      <c r="F1924" s="66" t="s">
        <v>380</v>
      </c>
      <c r="G1924" s="66" t="s">
        <v>1937</v>
      </c>
      <c r="H1924" s="82" t="s">
        <v>349</v>
      </c>
      <c r="I1924" s="174">
        <v>24.1</v>
      </c>
      <c r="J1924" s="174"/>
      <c r="K1924" s="84"/>
      <c r="L1924" s="102"/>
      <c r="M1924" s="66"/>
      <c r="N1924" s="66"/>
      <c r="R1924" s="72"/>
    </row>
    <row r="1925" spans="1:19" ht="18.75" customHeight="1" x14ac:dyDescent="0.2">
      <c r="A1925" s="79"/>
      <c r="B1925" s="79"/>
      <c r="C1925" s="80"/>
      <c r="D1925" s="66"/>
      <c r="E1925" s="86"/>
      <c r="F1925" s="66"/>
      <c r="G1925" s="66"/>
      <c r="H1925" s="82"/>
      <c r="I1925" s="174"/>
      <c r="J1925" s="174"/>
      <c r="K1925" s="84"/>
      <c r="L1925" s="102"/>
      <c r="M1925" s="66"/>
      <c r="N1925" s="66"/>
      <c r="R1925" s="72"/>
    </row>
    <row r="1926" spans="1:19" s="101" customFormat="1" ht="18.75" customHeight="1" x14ac:dyDescent="0.2">
      <c r="A1926" s="70">
        <v>44626</v>
      </c>
      <c r="B1926" s="70">
        <v>44640</v>
      </c>
      <c r="C1926" s="71" t="s">
        <v>1938</v>
      </c>
      <c r="D1926" s="72" t="s">
        <v>1510</v>
      </c>
      <c r="E1926" s="145" t="s">
        <v>19</v>
      </c>
      <c r="F1926" s="72" t="s">
        <v>109</v>
      </c>
      <c r="G1926" s="72" t="s">
        <v>550</v>
      </c>
      <c r="H1926" s="74" t="s">
        <v>349</v>
      </c>
      <c r="I1926" s="173">
        <v>54.6</v>
      </c>
      <c r="J1926" s="173"/>
      <c r="K1926" s="76">
        <v>42.4</v>
      </c>
      <c r="L1926" s="77"/>
      <c r="M1926" s="134">
        <v>44743</v>
      </c>
      <c r="N1926" s="134">
        <v>47664</v>
      </c>
      <c r="O1926" s="101" t="s">
        <v>19</v>
      </c>
      <c r="P1926" s="101" t="s">
        <v>109</v>
      </c>
      <c r="Q1926" s="101" t="s">
        <v>550</v>
      </c>
      <c r="R1926" s="72" t="s">
        <v>349</v>
      </c>
      <c r="S1926" s="72"/>
    </row>
    <row r="1927" spans="1:19" ht="18.75" customHeight="1" x14ac:dyDescent="0.2">
      <c r="A1927" s="79"/>
      <c r="B1927" s="79"/>
      <c r="C1927" s="80"/>
      <c r="D1927" s="66"/>
      <c r="E1927" s="86" t="s">
        <v>21</v>
      </c>
      <c r="F1927" s="66" t="s">
        <v>1939</v>
      </c>
      <c r="G1927" s="66" t="s">
        <v>476</v>
      </c>
      <c r="H1927" s="82" t="s">
        <v>349</v>
      </c>
      <c r="I1927" s="174">
        <v>41.5</v>
      </c>
      <c r="J1927" s="174"/>
      <c r="K1927" s="84"/>
      <c r="L1927" s="102"/>
      <c r="M1927" s="66"/>
      <c r="N1927" s="66"/>
      <c r="R1927" s="72"/>
    </row>
    <row r="1928" spans="1:19" ht="18.75" customHeight="1" x14ac:dyDescent="0.2">
      <c r="A1928" s="79"/>
      <c r="B1928" s="79"/>
      <c r="C1928" s="80"/>
      <c r="D1928" s="66"/>
      <c r="E1928" s="86" t="s">
        <v>1495</v>
      </c>
      <c r="F1928" s="66" t="s">
        <v>1940</v>
      </c>
      <c r="G1928" s="66" t="s">
        <v>1208</v>
      </c>
      <c r="H1928" s="82" t="s">
        <v>349</v>
      </c>
      <c r="I1928" s="174">
        <v>3.9</v>
      </c>
      <c r="J1928" s="174"/>
      <c r="K1928" s="84"/>
      <c r="L1928" s="102"/>
      <c r="M1928" s="66"/>
      <c r="N1928" s="66"/>
      <c r="R1928" s="72"/>
    </row>
    <row r="1929" spans="1:19" ht="18.75" customHeight="1" x14ac:dyDescent="0.2">
      <c r="A1929" s="79"/>
      <c r="B1929" s="79"/>
      <c r="C1929" s="80"/>
      <c r="D1929" s="66"/>
      <c r="E1929" s="86"/>
      <c r="F1929" s="66"/>
      <c r="G1929" s="66"/>
      <c r="H1929" s="82"/>
      <c r="I1929" s="174"/>
      <c r="J1929" s="174"/>
      <c r="K1929" s="84"/>
      <c r="L1929" s="102"/>
      <c r="M1929" s="66"/>
      <c r="N1929" s="66"/>
      <c r="R1929" s="72"/>
    </row>
    <row r="1930" spans="1:19" s="101" customFormat="1" ht="18.75" customHeight="1" x14ac:dyDescent="0.2">
      <c r="A1930" s="70">
        <v>44626</v>
      </c>
      <c r="B1930" s="70">
        <v>44647</v>
      </c>
      <c r="C1930" s="71" t="s">
        <v>1941</v>
      </c>
      <c r="D1930" s="72" t="s">
        <v>1533</v>
      </c>
      <c r="E1930" s="145" t="s">
        <v>21</v>
      </c>
      <c r="F1930" s="72" t="s">
        <v>1942</v>
      </c>
      <c r="G1930" s="72" t="s">
        <v>1535</v>
      </c>
      <c r="H1930" s="74" t="s">
        <v>419</v>
      </c>
      <c r="I1930" s="173">
        <v>27.2</v>
      </c>
      <c r="J1930" s="173">
        <v>53.9</v>
      </c>
      <c r="K1930" s="76">
        <v>49.9</v>
      </c>
      <c r="L1930" s="77">
        <v>43.3</v>
      </c>
      <c r="M1930" s="134">
        <v>44743</v>
      </c>
      <c r="N1930" s="134">
        <v>47664</v>
      </c>
      <c r="O1930" s="101" t="s">
        <v>19</v>
      </c>
      <c r="P1930" s="101" t="s">
        <v>1534</v>
      </c>
      <c r="Q1930" s="101" t="s">
        <v>360</v>
      </c>
      <c r="R1930" s="72" t="s">
        <v>349</v>
      </c>
      <c r="S1930" s="72"/>
    </row>
    <row r="1931" spans="1:19" ht="18.75" customHeight="1" x14ac:dyDescent="0.2">
      <c r="A1931" s="79"/>
      <c r="B1931" s="79"/>
      <c r="C1931" s="80"/>
      <c r="D1931" s="66"/>
      <c r="E1931" s="86" t="s">
        <v>19</v>
      </c>
      <c r="F1931" s="66" t="s">
        <v>1341</v>
      </c>
      <c r="G1931" s="66" t="s">
        <v>591</v>
      </c>
      <c r="H1931" s="82" t="s">
        <v>349</v>
      </c>
      <c r="I1931" s="174">
        <v>34.9</v>
      </c>
      <c r="J1931" s="174">
        <v>46.1</v>
      </c>
      <c r="K1931" s="84"/>
      <c r="L1931" s="102"/>
      <c r="M1931" s="66"/>
      <c r="N1931" s="66"/>
      <c r="R1931" s="72"/>
    </row>
    <row r="1932" spans="1:19" ht="18.75" customHeight="1" x14ac:dyDescent="0.2">
      <c r="A1932" s="79"/>
      <c r="B1932" s="79"/>
      <c r="C1932" s="80"/>
      <c r="D1932" s="66"/>
      <c r="E1932" s="86" t="s">
        <v>38</v>
      </c>
      <c r="F1932" s="66" t="s">
        <v>1943</v>
      </c>
      <c r="G1932" s="66" t="s">
        <v>1944</v>
      </c>
      <c r="H1932" s="82" t="s">
        <v>349</v>
      </c>
      <c r="I1932" s="174">
        <v>15.3</v>
      </c>
      <c r="J1932" s="174"/>
      <c r="K1932" s="84"/>
      <c r="L1932" s="102"/>
      <c r="M1932" s="66"/>
      <c r="N1932" s="66"/>
      <c r="R1932" s="72"/>
    </row>
    <row r="1933" spans="1:19" ht="18.75" customHeight="1" x14ac:dyDescent="0.2">
      <c r="A1933" s="79"/>
      <c r="B1933" s="79"/>
      <c r="C1933" s="80"/>
      <c r="D1933" s="66"/>
      <c r="E1933" s="86" t="s">
        <v>34</v>
      </c>
      <c r="F1933" s="66" t="s">
        <v>541</v>
      </c>
      <c r="G1933" s="66" t="s">
        <v>469</v>
      </c>
      <c r="H1933" s="82" t="s">
        <v>349</v>
      </c>
      <c r="I1933" s="174">
        <v>22.6</v>
      </c>
      <c r="J1933" s="174"/>
      <c r="K1933" s="84"/>
      <c r="L1933" s="102"/>
      <c r="M1933" s="66"/>
      <c r="N1933" s="66"/>
      <c r="R1933" s="72"/>
    </row>
    <row r="1934" spans="1:19" ht="18.75" customHeight="1" x14ac:dyDescent="0.2">
      <c r="A1934" s="79"/>
      <c r="B1934" s="79"/>
      <c r="C1934" s="80"/>
      <c r="D1934" s="66"/>
      <c r="E1934" s="86"/>
      <c r="F1934" s="66"/>
      <c r="G1934" s="66"/>
      <c r="H1934" s="82"/>
      <c r="I1934" s="174"/>
      <c r="J1934" s="174"/>
      <c r="K1934" s="84"/>
      <c r="L1934" s="102"/>
      <c r="M1934" s="66"/>
      <c r="N1934" s="66"/>
      <c r="R1934" s="72"/>
    </row>
    <row r="1935" spans="1:19" s="101" customFormat="1" ht="18.75" customHeight="1" x14ac:dyDescent="0.2">
      <c r="A1935" s="70">
        <v>44633</v>
      </c>
      <c r="B1935" s="70">
        <v>44647</v>
      </c>
      <c r="C1935" s="71" t="s">
        <v>1945</v>
      </c>
      <c r="D1935" s="72" t="s">
        <v>1480</v>
      </c>
      <c r="E1935" s="145" t="s">
        <v>55</v>
      </c>
      <c r="F1935" s="72" t="s">
        <v>1946</v>
      </c>
      <c r="G1935" s="72" t="s">
        <v>1947</v>
      </c>
      <c r="H1935" s="74" t="s">
        <v>419</v>
      </c>
      <c r="I1935" s="173">
        <v>33.9</v>
      </c>
      <c r="J1935" s="173">
        <v>57</v>
      </c>
      <c r="K1935" s="76">
        <v>47.7</v>
      </c>
      <c r="L1935" s="77">
        <v>44.6</v>
      </c>
      <c r="M1935" s="134">
        <v>44743</v>
      </c>
      <c r="N1935" s="134">
        <v>47664</v>
      </c>
      <c r="O1935" s="101" t="s">
        <v>1948</v>
      </c>
      <c r="P1935" s="101" t="s">
        <v>853</v>
      </c>
      <c r="Q1935" s="101" t="s">
        <v>854</v>
      </c>
      <c r="R1935" s="72" t="s">
        <v>349</v>
      </c>
      <c r="S1935" s="72"/>
    </row>
    <row r="1936" spans="1:19" ht="18.75" customHeight="1" x14ac:dyDescent="0.2">
      <c r="A1936" s="79"/>
      <c r="B1936" s="79"/>
      <c r="C1936" s="80"/>
      <c r="D1936" s="66"/>
      <c r="E1936" s="86" t="s">
        <v>19</v>
      </c>
      <c r="F1936" s="66" t="s">
        <v>1949</v>
      </c>
      <c r="G1936" s="66" t="s">
        <v>1228</v>
      </c>
      <c r="H1936" s="82" t="s">
        <v>349</v>
      </c>
      <c r="I1936" s="174">
        <v>37.4</v>
      </c>
      <c r="J1936" s="174">
        <v>43</v>
      </c>
      <c r="K1936" s="84"/>
      <c r="L1936" s="102"/>
      <c r="M1936" s="66"/>
      <c r="N1936" s="66"/>
      <c r="R1936" s="72"/>
    </row>
    <row r="1937" spans="1:19" ht="18.75" customHeight="1" x14ac:dyDescent="0.2">
      <c r="A1937" s="79"/>
      <c r="B1937" s="79"/>
      <c r="C1937" s="80"/>
      <c r="D1937" s="66"/>
      <c r="E1937" s="86" t="s">
        <v>21</v>
      </c>
      <c r="F1937" s="66" t="s">
        <v>347</v>
      </c>
      <c r="G1937" s="66" t="s">
        <v>1950</v>
      </c>
      <c r="H1937" s="82" t="s">
        <v>349</v>
      </c>
      <c r="I1937" s="174">
        <v>12</v>
      </c>
      <c r="J1937" s="174"/>
      <c r="K1937" s="84"/>
      <c r="L1937" s="102"/>
      <c r="M1937" s="66"/>
      <c r="N1937" s="66"/>
      <c r="R1937" s="72"/>
    </row>
    <row r="1938" spans="1:19" ht="18.75" customHeight="1" x14ac:dyDescent="0.2">
      <c r="A1938" s="79"/>
      <c r="B1938" s="79"/>
      <c r="C1938" s="80"/>
      <c r="D1938" s="66"/>
      <c r="E1938" s="86" t="s">
        <v>34</v>
      </c>
      <c r="F1938" s="66" t="s">
        <v>1951</v>
      </c>
      <c r="G1938" s="66" t="s">
        <v>1952</v>
      </c>
      <c r="H1938" s="82" t="s">
        <v>349</v>
      </c>
      <c r="I1938" s="174">
        <v>10.6</v>
      </c>
      <c r="J1938" s="174"/>
      <c r="K1938" s="84"/>
      <c r="L1938" s="102"/>
      <c r="M1938" s="66"/>
      <c r="N1938" s="66"/>
      <c r="R1938" s="72"/>
    </row>
    <row r="1939" spans="1:19" ht="18.75" customHeight="1" x14ac:dyDescent="0.2">
      <c r="A1939" s="79"/>
      <c r="B1939" s="79"/>
      <c r="C1939" s="80"/>
      <c r="D1939" s="66"/>
      <c r="E1939" s="86" t="s">
        <v>1953</v>
      </c>
      <c r="F1939" s="66" t="s">
        <v>1953</v>
      </c>
      <c r="G1939" s="66" t="s">
        <v>1146</v>
      </c>
      <c r="H1939" s="82" t="s">
        <v>349</v>
      </c>
      <c r="I1939" s="174">
        <v>6.1</v>
      </c>
      <c r="J1939" s="174"/>
      <c r="K1939" s="84"/>
      <c r="L1939" s="102"/>
      <c r="M1939" s="66"/>
      <c r="N1939" s="66"/>
      <c r="R1939" s="72"/>
    </row>
    <row r="1940" spans="1:19" ht="18.75" customHeight="1" x14ac:dyDescent="0.2">
      <c r="A1940" s="79"/>
      <c r="B1940" s="79"/>
      <c r="C1940" s="80"/>
      <c r="D1940" s="66"/>
      <c r="E1940" s="86"/>
      <c r="F1940" s="66"/>
      <c r="G1940" s="66"/>
      <c r="H1940" s="82"/>
      <c r="I1940" s="174"/>
      <c r="J1940" s="174"/>
      <c r="K1940" s="84"/>
      <c r="L1940" s="102"/>
      <c r="M1940" s="66"/>
      <c r="N1940" s="66"/>
      <c r="R1940" s="72"/>
    </row>
    <row r="1941" spans="1:19" s="101" customFormat="1" ht="18.75" customHeight="1" x14ac:dyDescent="0.2">
      <c r="A1941" s="70">
        <v>44633</v>
      </c>
      <c r="B1941" s="70">
        <v>44647</v>
      </c>
      <c r="C1941" s="71" t="s">
        <v>1954</v>
      </c>
      <c r="D1941" s="72" t="s">
        <v>681</v>
      </c>
      <c r="E1941" s="145" t="s">
        <v>1485</v>
      </c>
      <c r="F1941" s="72" t="s">
        <v>1485</v>
      </c>
      <c r="G1941" s="72" t="s">
        <v>1228</v>
      </c>
      <c r="H1941" s="74" t="s">
        <v>349</v>
      </c>
      <c r="I1941" s="173">
        <v>93.4</v>
      </c>
      <c r="J1941" s="173"/>
      <c r="K1941" s="76">
        <v>50</v>
      </c>
      <c r="L1941" s="77"/>
      <c r="M1941" s="134">
        <v>44805</v>
      </c>
      <c r="N1941" s="134">
        <v>47726</v>
      </c>
      <c r="O1941" s="101" t="s">
        <v>19</v>
      </c>
      <c r="P1941" s="101" t="s">
        <v>1485</v>
      </c>
      <c r="Q1941" s="101" t="s">
        <v>1228</v>
      </c>
      <c r="R1941" s="72" t="s">
        <v>349</v>
      </c>
      <c r="S1941" s="72"/>
    </row>
    <row r="1942" spans="1:19" ht="18.75" customHeight="1" x14ac:dyDescent="0.2">
      <c r="A1942" s="79"/>
      <c r="B1942" s="79"/>
      <c r="C1942" s="80"/>
      <c r="D1942" s="66"/>
      <c r="E1942" s="86"/>
      <c r="F1942" s="66"/>
      <c r="G1942" s="66"/>
      <c r="H1942" s="82"/>
      <c r="I1942" s="174"/>
      <c r="J1942" s="174"/>
      <c r="K1942" s="84"/>
      <c r="L1942" s="102"/>
      <c r="M1942" s="66"/>
      <c r="N1942" s="66"/>
      <c r="R1942" s="72"/>
    </row>
    <row r="1943" spans="1:19" s="101" customFormat="1" ht="18.75" customHeight="1" x14ac:dyDescent="0.2">
      <c r="A1943" s="70">
        <v>44633</v>
      </c>
      <c r="B1943" s="70">
        <v>44647</v>
      </c>
      <c r="C1943" s="71" t="s">
        <v>1796</v>
      </c>
      <c r="D1943" s="72" t="s">
        <v>1797</v>
      </c>
      <c r="E1943" s="145" t="s">
        <v>21</v>
      </c>
      <c r="F1943" s="72" t="s">
        <v>1955</v>
      </c>
      <c r="G1943" s="72" t="s">
        <v>1956</v>
      </c>
      <c r="H1943" s="74" t="s">
        <v>349</v>
      </c>
      <c r="I1943" s="173">
        <v>57.8</v>
      </c>
      <c r="J1943" s="173"/>
      <c r="K1943" s="76">
        <v>48.4</v>
      </c>
      <c r="L1943" s="77"/>
      <c r="M1943" s="134">
        <v>44805</v>
      </c>
      <c r="N1943" s="134">
        <v>47726</v>
      </c>
      <c r="O1943" s="101" t="s">
        <v>590</v>
      </c>
      <c r="P1943" s="101" t="s">
        <v>590</v>
      </c>
      <c r="Q1943" s="101" t="s">
        <v>591</v>
      </c>
      <c r="R1943" s="72" t="s">
        <v>349</v>
      </c>
      <c r="S1943" s="72"/>
    </row>
    <row r="1944" spans="1:19" ht="18.75" customHeight="1" x14ac:dyDescent="0.2">
      <c r="A1944" s="79"/>
      <c r="B1944" s="79"/>
      <c r="C1944" s="80"/>
      <c r="D1944" s="66"/>
      <c r="E1944" s="86" t="s">
        <v>1957</v>
      </c>
      <c r="F1944" s="66" t="s">
        <v>1957</v>
      </c>
      <c r="G1944" s="66" t="s">
        <v>561</v>
      </c>
      <c r="H1944" s="82" t="s">
        <v>349</v>
      </c>
      <c r="I1944" s="174">
        <v>42.2</v>
      </c>
      <c r="J1944" s="174"/>
      <c r="K1944" s="84"/>
      <c r="L1944" s="102"/>
      <c r="M1944" s="66"/>
      <c r="N1944" s="66"/>
      <c r="R1944" s="72"/>
    </row>
    <row r="1945" spans="1:19" ht="18.75" customHeight="1" x14ac:dyDescent="0.2">
      <c r="A1945" s="79"/>
      <c r="B1945" s="79"/>
      <c r="C1945" s="80"/>
      <c r="D1945" s="66"/>
      <c r="E1945" s="86"/>
      <c r="F1945" s="66"/>
      <c r="G1945" s="66"/>
      <c r="H1945" s="82"/>
      <c r="I1945" s="174"/>
      <c r="J1945" s="174"/>
      <c r="K1945" s="84"/>
      <c r="L1945" s="102"/>
      <c r="M1945" s="66"/>
      <c r="N1945" s="66"/>
      <c r="R1945" s="72"/>
    </row>
    <row r="1946" spans="1:19" s="101" customFormat="1" ht="18.75" customHeight="1" x14ac:dyDescent="0.2">
      <c r="A1946" s="70">
        <v>44633</v>
      </c>
      <c r="B1946" s="70">
        <v>44647</v>
      </c>
      <c r="C1946" s="71" t="s">
        <v>1958</v>
      </c>
      <c r="D1946" s="72" t="s">
        <v>1538</v>
      </c>
      <c r="E1946" s="145" t="s">
        <v>55</v>
      </c>
      <c r="F1946" s="72" t="s">
        <v>1959</v>
      </c>
      <c r="G1946" s="72" t="s">
        <v>915</v>
      </c>
      <c r="H1946" s="74" t="s">
        <v>349</v>
      </c>
      <c r="I1946" s="173">
        <v>28.9</v>
      </c>
      <c r="J1946" s="173">
        <v>62.3</v>
      </c>
      <c r="K1946" s="76">
        <v>44.8</v>
      </c>
      <c r="L1946" s="77">
        <v>38.700000000000003</v>
      </c>
      <c r="M1946" s="134">
        <v>44743</v>
      </c>
      <c r="N1946" s="134">
        <v>47664</v>
      </c>
      <c r="O1946" s="101" t="s">
        <v>21</v>
      </c>
      <c r="P1946" s="101" t="s">
        <v>432</v>
      </c>
      <c r="Q1946" s="101" t="s">
        <v>358</v>
      </c>
      <c r="R1946" s="72" t="s">
        <v>349</v>
      </c>
      <c r="S1946" s="72"/>
    </row>
    <row r="1947" spans="1:19" ht="18.75" customHeight="1" x14ac:dyDescent="0.2">
      <c r="A1947" s="79"/>
      <c r="B1947" s="79"/>
      <c r="C1947" s="80"/>
      <c r="D1947" s="66"/>
      <c r="E1947" s="86" t="s">
        <v>19</v>
      </c>
      <c r="F1947" s="66" t="s">
        <v>109</v>
      </c>
      <c r="G1947" s="66" t="s">
        <v>1600</v>
      </c>
      <c r="H1947" s="82" t="s">
        <v>419</v>
      </c>
      <c r="I1947" s="174">
        <v>24.7</v>
      </c>
      <c r="J1947" s="174">
        <v>37.700000000000003</v>
      </c>
      <c r="K1947" s="84"/>
      <c r="L1947" s="102"/>
      <c r="M1947" s="66"/>
      <c r="N1947" s="66"/>
      <c r="R1947" s="72"/>
    </row>
    <row r="1948" spans="1:19" ht="18.75" customHeight="1" x14ac:dyDescent="0.2">
      <c r="A1948" s="79"/>
      <c r="B1948" s="79"/>
      <c r="C1948" s="80"/>
      <c r="D1948" s="66"/>
      <c r="E1948" s="86" t="s">
        <v>21</v>
      </c>
      <c r="F1948" s="66" t="s">
        <v>1960</v>
      </c>
      <c r="G1948" s="66" t="s">
        <v>1462</v>
      </c>
      <c r="H1948" s="82" t="s">
        <v>349</v>
      </c>
      <c r="I1948" s="174">
        <v>22.1</v>
      </c>
      <c r="J1948" s="174"/>
      <c r="K1948" s="84"/>
      <c r="L1948" s="102"/>
      <c r="M1948" s="66"/>
      <c r="N1948" s="66"/>
      <c r="R1948" s="72"/>
    </row>
    <row r="1949" spans="1:19" ht="18.75" customHeight="1" x14ac:dyDescent="0.2">
      <c r="A1949" s="79"/>
      <c r="B1949" s="79"/>
      <c r="C1949" s="80"/>
      <c r="D1949" s="66"/>
      <c r="E1949" s="86" t="s">
        <v>34</v>
      </c>
      <c r="F1949" s="66" t="s">
        <v>1961</v>
      </c>
      <c r="G1949" s="66" t="s">
        <v>1400</v>
      </c>
      <c r="H1949" s="82" t="s">
        <v>349</v>
      </c>
      <c r="I1949" s="174">
        <v>24.3</v>
      </c>
      <c r="J1949" s="174"/>
      <c r="K1949" s="84"/>
      <c r="L1949" s="102"/>
      <c r="M1949" s="66"/>
      <c r="N1949" s="66"/>
      <c r="R1949" s="72"/>
    </row>
    <row r="1950" spans="1:19" ht="18.75" customHeight="1" x14ac:dyDescent="0.2">
      <c r="A1950" s="79"/>
      <c r="B1950" s="79"/>
      <c r="C1950" s="80"/>
      <c r="D1950" s="66"/>
      <c r="E1950" s="86"/>
      <c r="F1950" s="66"/>
      <c r="G1950" s="66"/>
      <c r="H1950" s="82"/>
      <c r="I1950" s="174"/>
      <c r="J1950" s="174"/>
      <c r="K1950" s="84"/>
      <c r="L1950" s="102"/>
      <c r="M1950" s="66"/>
      <c r="N1950" s="66"/>
      <c r="R1950" s="72"/>
    </row>
    <row r="1951" spans="1:19" s="101" customFormat="1" ht="18.75" customHeight="1" x14ac:dyDescent="0.2">
      <c r="A1951" s="70">
        <v>44633</v>
      </c>
      <c r="B1951" s="70">
        <v>44647</v>
      </c>
      <c r="C1951" s="71" t="s">
        <v>1962</v>
      </c>
      <c r="D1951" s="72" t="s">
        <v>1963</v>
      </c>
      <c r="E1951" s="145" t="s">
        <v>21</v>
      </c>
      <c r="F1951" s="72" t="s">
        <v>1964</v>
      </c>
      <c r="G1951" s="72" t="s">
        <v>721</v>
      </c>
      <c r="H1951" s="74" t="s">
        <v>349</v>
      </c>
      <c r="I1951" s="173">
        <v>35.6</v>
      </c>
      <c r="J1951" s="173">
        <v>55.3</v>
      </c>
      <c r="K1951" s="76">
        <v>50.5</v>
      </c>
      <c r="L1951" s="77">
        <v>47.8</v>
      </c>
      <c r="M1951" s="134">
        <v>44743</v>
      </c>
      <c r="N1951" s="134">
        <v>47664</v>
      </c>
      <c r="O1951" s="101" t="s">
        <v>19</v>
      </c>
      <c r="P1951" s="101" t="s">
        <v>1157</v>
      </c>
      <c r="Q1951" s="101" t="s">
        <v>476</v>
      </c>
      <c r="R1951" s="72" t="s">
        <v>349</v>
      </c>
      <c r="S1951" s="72"/>
    </row>
    <row r="1952" spans="1:19" ht="18.75" customHeight="1" x14ac:dyDescent="0.2">
      <c r="A1952" s="79"/>
      <c r="B1952" s="79"/>
      <c r="C1952" s="80"/>
      <c r="D1952" s="66"/>
      <c r="E1952" s="86" t="s">
        <v>19</v>
      </c>
      <c r="F1952" s="66" t="s">
        <v>1157</v>
      </c>
      <c r="G1952" s="66" t="s">
        <v>476</v>
      </c>
      <c r="H1952" s="82" t="s">
        <v>349</v>
      </c>
      <c r="I1952" s="174">
        <v>44.8</v>
      </c>
      <c r="J1952" s="174">
        <v>44.7</v>
      </c>
      <c r="K1952" s="84"/>
      <c r="L1952" s="102"/>
      <c r="M1952" s="66"/>
      <c r="N1952" s="66"/>
      <c r="R1952" s="72"/>
    </row>
    <row r="1953" spans="1:19" ht="18.75" customHeight="1" x14ac:dyDescent="0.2">
      <c r="A1953" s="79"/>
      <c r="B1953" s="79"/>
      <c r="C1953" s="80"/>
      <c r="D1953" s="66"/>
      <c r="E1953" s="86" t="s">
        <v>38</v>
      </c>
      <c r="F1953" s="66" t="s">
        <v>428</v>
      </c>
      <c r="G1953" s="66" t="s">
        <v>1694</v>
      </c>
      <c r="H1953" s="82" t="s">
        <v>349</v>
      </c>
      <c r="I1953" s="174">
        <v>5.0999999999999996</v>
      </c>
      <c r="J1953" s="174"/>
      <c r="K1953" s="84"/>
      <c r="L1953" s="102"/>
      <c r="M1953" s="66"/>
      <c r="N1953" s="66"/>
      <c r="R1953" s="72"/>
    </row>
    <row r="1954" spans="1:19" ht="18.75" customHeight="1" x14ac:dyDescent="0.2">
      <c r="A1954" s="79"/>
      <c r="B1954" s="79"/>
      <c r="C1954" s="80"/>
      <c r="D1954" s="66"/>
      <c r="E1954" s="86" t="s">
        <v>55</v>
      </c>
      <c r="F1954" s="66" t="s">
        <v>1965</v>
      </c>
      <c r="G1954" s="66" t="s">
        <v>915</v>
      </c>
      <c r="H1954" s="82" t="s">
        <v>349</v>
      </c>
      <c r="I1954" s="174">
        <v>14.5</v>
      </c>
      <c r="J1954" s="174"/>
      <c r="K1954" s="84"/>
      <c r="L1954" s="102"/>
      <c r="M1954" s="66"/>
      <c r="N1954" s="66"/>
      <c r="R1954" s="72"/>
    </row>
    <row r="1955" spans="1:19" ht="18.75" customHeight="1" x14ac:dyDescent="0.2">
      <c r="A1955" s="79"/>
      <c r="B1955" s="79"/>
      <c r="C1955" s="80"/>
      <c r="D1955" s="66"/>
      <c r="E1955" s="86"/>
      <c r="F1955" s="66"/>
      <c r="G1955" s="66"/>
      <c r="H1955" s="82"/>
      <c r="I1955" s="174"/>
      <c r="J1955" s="174"/>
      <c r="K1955" s="84"/>
      <c r="L1955" s="102"/>
      <c r="M1955" s="66"/>
      <c r="N1955" s="66"/>
      <c r="R1955" s="72"/>
    </row>
    <row r="1956" spans="1:19" s="101" customFormat="1" ht="18.75" customHeight="1" x14ac:dyDescent="0.2">
      <c r="A1956" s="70">
        <v>44640</v>
      </c>
      <c r="B1956" s="70">
        <v>44654</v>
      </c>
      <c r="C1956" s="71" t="s">
        <v>1966</v>
      </c>
      <c r="D1956" s="72" t="s">
        <v>986</v>
      </c>
      <c r="E1956" s="145" t="s">
        <v>19</v>
      </c>
      <c r="F1956" s="72" t="s">
        <v>716</v>
      </c>
      <c r="G1956" s="72" t="s">
        <v>1488</v>
      </c>
      <c r="H1956" s="74" t="s">
        <v>349</v>
      </c>
      <c r="I1956" s="173">
        <v>79.599999999999994</v>
      </c>
      <c r="J1956" s="173"/>
      <c r="K1956" s="76">
        <v>42</v>
      </c>
      <c r="L1956" s="77"/>
      <c r="M1956" s="134">
        <v>44808</v>
      </c>
      <c r="N1956" s="134">
        <v>47729</v>
      </c>
      <c r="O1956" s="101" t="s">
        <v>19</v>
      </c>
      <c r="P1956" s="101" t="s">
        <v>716</v>
      </c>
      <c r="Q1956" s="101" t="s">
        <v>1967</v>
      </c>
      <c r="R1956" s="72" t="s">
        <v>349</v>
      </c>
      <c r="S1956" s="72"/>
    </row>
    <row r="1957" spans="1:19" ht="18.75" customHeight="1" x14ac:dyDescent="0.2">
      <c r="A1957" s="79"/>
      <c r="B1957" s="79"/>
      <c r="C1957" s="80"/>
      <c r="D1957" s="66"/>
      <c r="E1957" s="86" t="s">
        <v>55</v>
      </c>
      <c r="F1957" s="66" t="s">
        <v>580</v>
      </c>
      <c r="G1957" s="66" t="s">
        <v>629</v>
      </c>
      <c r="H1957" s="82" t="s">
        <v>349</v>
      </c>
      <c r="I1957" s="174">
        <v>20.399999999999999</v>
      </c>
      <c r="J1957" s="174"/>
      <c r="K1957" s="84"/>
      <c r="L1957" s="102"/>
      <c r="M1957" s="66"/>
      <c r="N1957" s="66"/>
      <c r="R1957" s="72"/>
    </row>
    <row r="1958" spans="1:19" ht="18.75" customHeight="1" x14ac:dyDescent="0.2">
      <c r="A1958" s="79"/>
      <c r="B1958" s="79"/>
      <c r="C1958" s="80"/>
      <c r="D1958" s="66"/>
      <c r="E1958" s="86"/>
      <c r="F1958" s="66"/>
      <c r="G1958" s="66"/>
      <c r="H1958" s="82"/>
      <c r="I1958" s="174"/>
      <c r="J1958" s="174"/>
      <c r="K1958" s="84"/>
      <c r="L1958" s="102"/>
      <c r="M1958" s="66"/>
      <c r="N1958" s="66"/>
      <c r="R1958" s="72"/>
    </row>
    <row r="1959" spans="1:19" s="101" customFormat="1" ht="18.75" customHeight="1" x14ac:dyDescent="0.2">
      <c r="A1959" s="70">
        <v>44640</v>
      </c>
      <c r="B1959" s="70">
        <v>44661</v>
      </c>
      <c r="C1959" s="71" t="s">
        <v>1968</v>
      </c>
      <c r="D1959" s="72" t="s">
        <v>482</v>
      </c>
      <c r="E1959" s="145" t="s">
        <v>580</v>
      </c>
      <c r="F1959" s="72" t="s">
        <v>580</v>
      </c>
      <c r="G1959" s="72" t="s">
        <v>1257</v>
      </c>
      <c r="H1959" s="74" t="s">
        <v>349</v>
      </c>
      <c r="I1959" s="173">
        <v>48.4</v>
      </c>
      <c r="J1959" s="173">
        <v>59.5</v>
      </c>
      <c r="K1959" s="76">
        <v>47.8</v>
      </c>
      <c r="L1959" s="77">
        <v>42.4</v>
      </c>
      <c r="M1959" s="134">
        <v>44757</v>
      </c>
      <c r="N1959" s="134">
        <v>47678</v>
      </c>
      <c r="O1959" s="101" t="s">
        <v>580</v>
      </c>
      <c r="P1959" s="101" t="s">
        <v>580</v>
      </c>
      <c r="Q1959" s="101" t="s">
        <v>1257</v>
      </c>
      <c r="R1959" s="72" t="s">
        <v>349</v>
      </c>
      <c r="S1959" s="72"/>
    </row>
    <row r="1960" spans="1:19" ht="18.75" customHeight="1" x14ac:dyDescent="0.2">
      <c r="A1960" s="79"/>
      <c r="B1960" s="79"/>
      <c r="C1960" s="80"/>
      <c r="D1960" s="66"/>
      <c r="E1960" s="86" t="s">
        <v>19</v>
      </c>
      <c r="F1960" s="66" t="s">
        <v>1181</v>
      </c>
      <c r="G1960" s="66" t="s">
        <v>423</v>
      </c>
      <c r="H1960" s="82" t="s">
        <v>349</v>
      </c>
      <c r="I1960" s="174">
        <v>32.4</v>
      </c>
      <c r="J1960" s="174">
        <v>40.5</v>
      </c>
      <c r="K1960" s="84"/>
      <c r="L1960" s="102"/>
      <c r="M1960" s="66"/>
      <c r="N1960" s="66"/>
      <c r="R1960" s="72"/>
    </row>
    <row r="1961" spans="1:19" ht="18.75" customHeight="1" x14ac:dyDescent="0.2">
      <c r="A1961" s="79"/>
      <c r="B1961" s="79"/>
      <c r="C1961" s="80"/>
      <c r="D1961" s="66"/>
      <c r="E1961" s="86" t="s">
        <v>21</v>
      </c>
      <c r="F1961" s="66" t="s">
        <v>497</v>
      </c>
      <c r="G1961" s="66" t="s">
        <v>451</v>
      </c>
      <c r="H1961" s="82" t="s">
        <v>349</v>
      </c>
      <c r="I1961" s="174">
        <v>6.6</v>
      </c>
      <c r="J1961" s="174"/>
      <c r="K1961" s="84"/>
      <c r="L1961" s="102"/>
      <c r="M1961" s="66"/>
      <c r="N1961" s="66"/>
      <c r="R1961" s="72"/>
    </row>
    <row r="1962" spans="1:19" ht="18.75" customHeight="1" x14ac:dyDescent="0.2">
      <c r="A1962" s="79"/>
      <c r="B1962" s="79"/>
      <c r="C1962" s="80"/>
      <c r="D1962" s="66"/>
      <c r="E1962" s="86" t="s">
        <v>1969</v>
      </c>
      <c r="F1962" s="66" t="s">
        <v>1969</v>
      </c>
      <c r="G1962" s="66" t="s">
        <v>1970</v>
      </c>
      <c r="H1962" s="82" t="s">
        <v>419</v>
      </c>
      <c r="I1962" s="174">
        <v>12.5</v>
      </c>
      <c r="J1962" s="174"/>
      <c r="K1962" s="84"/>
      <c r="L1962" s="102"/>
      <c r="M1962" s="66"/>
      <c r="N1962" s="66"/>
      <c r="R1962" s="72"/>
    </row>
    <row r="1963" spans="1:19" ht="18.75" customHeight="1" x14ac:dyDescent="0.2">
      <c r="A1963" s="79"/>
      <c r="B1963" s="79"/>
      <c r="C1963" s="80"/>
      <c r="D1963" s="66"/>
      <c r="E1963" s="86"/>
      <c r="F1963" s="66"/>
      <c r="G1963" s="66"/>
      <c r="H1963" s="82"/>
      <c r="I1963" s="174"/>
      <c r="J1963" s="174"/>
      <c r="K1963" s="84"/>
      <c r="L1963" s="102"/>
      <c r="M1963" s="66"/>
      <c r="N1963" s="66"/>
      <c r="R1963" s="72"/>
    </row>
    <row r="1964" spans="1:19" s="101" customFormat="1" ht="18.75" customHeight="1" x14ac:dyDescent="0.2">
      <c r="A1964" s="70">
        <v>44647</v>
      </c>
      <c r="B1964" s="70">
        <v>44661</v>
      </c>
      <c r="C1964" s="71" t="s">
        <v>1971</v>
      </c>
      <c r="D1964" s="72" t="s">
        <v>1008</v>
      </c>
      <c r="E1964" s="145" t="s">
        <v>19</v>
      </c>
      <c r="F1964" s="72" t="s">
        <v>1079</v>
      </c>
      <c r="G1964" s="72" t="s">
        <v>1208</v>
      </c>
      <c r="H1964" s="74" t="s">
        <v>349</v>
      </c>
      <c r="I1964" s="173">
        <v>48.4</v>
      </c>
      <c r="J1964" s="173">
        <v>53.3</v>
      </c>
      <c r="K1964" s="76">
        <v>47.6</v>
      </c>
      <c r="L1964" s="77">
        <v>45.4</v>
      </c>
      <c r="M1964" s="134">
        <v>44774</v>
      </c>
      <c r="N1964" s="134">
        <v>47695</v>
      </c>
      <c r="O1964" s="101" t="s">
        <v>19</v>
      </c>
      <c r="P1964" s="101" t="s">
        <v>1972</v>
      </c>
      <c r="Q1964" s="101" t="s">
        <v>360</v>
      </c>
      <c r="R1964" s="72" t="s">
        <v>349</v>
      </c>
      <c r="S1964" s="72"/>
    </row>
    <row r="1965" spans="1:19" ht="18.75" customHeight="1" x14ac:dyDescent="0.2">
      <c r="A1965" s="79"/>
      <c r="B1965" s="79"/>
      <c r="C1965" s="80"/>
      <c r="D1965" s="66"/>
      <c r="E1965" s="86" t="s">
        <v>21</v>
      </c>
      <c r="F1965" s="66" t="s">
        <v>1973</v>
      </c>
      <c r="G1965" s="66" t="s">
        <v>477</v>
      </c>
      <c r="H1965" s="82" t="s">
        <v>349</v>
      </c>
      <c r="I1965" s="174">
        <v>36.5</v>
      </c>
      <c r="J1965" s="174">
        <v>46.7</v>
      </c>
      <c r="K1965" s="84"/>
      <c r="L1965" s="102"/>
      <c r="M1965" s="66"/>
      <c r="N1965" s="66"/>
      <c r="R1965" s="72"/>
    </row>
    <row r="1966" spans="1:19" ht="18.75" customHeight="1" x14ac:dyDescent="0.2">
      <c r="A1966" s="79"/>
      <c r="B1966" s="79"/>
      <c r="C1966" s="80"/>
      <c r="D1966" s="66"/>
      <c r="E1966" s="86" t="s">
        <v>1974</v>
      </c>
      <c r="F1966" s="66" t="s">
        <v>1974</v>
      </c>
      <c r="G1966" s="66" t="s">
        <v>591</v>
      </c>
      <c r="H1966" s="82" t="s">
        <v>349</v>
      </c>
      <c r="I1966" s="174"/>
      <c r="J1966" s="174"/>
      <c r="K1966" s="84"/>
      <c r="L1966" s="102"/>
      <c r="M1966" s="66"/>
      <c r="N1966" s="66"/>
      <c r="R1966" s="72"/>
    </row>
    <row r="1967" spans="1:19" ht="18.75" customHeight="1" x14ac:dyDescent="0.2">
      <c r="A1967" s="79"/>
      <c r="B1967" s="79"/>
      <c r="C1967" s="80"/>
      <c r="D1967" s="66"/>
      <c r="E1967" s="86"/>
      <c r="F1967" s="66"/>
      <c r="G1967" s="66"/>
      <c r="H1967" s="82"/>
      <c r="I1967" s="174"/>
      <c r="J1967" s="174"/>
      <c r="K1967" s="84"/>
      <c r="L1967" s="102"/>
      <c r="M1967" s="66"/>
      <c r="N1967" s="66"/>
      <c r="R1967" s="72"/>
    </row>
    <row r="1968" spans="1:19" s="101" customFormat="1" ht="18.75" customHeight="1" x14ac:dyDescent="0.2">
      <c r="A1968" s="70">
        <v>44647</v>
      </c>
      <c r="B1968" s="70">
        <v>44661</v>
      </c>
      <c r="C1968" s="71" t="s">
        <v>1975</v>
      </c>
      <c r="D1968" s="72" t="s">
        <v>909</v>
      </c>
      <c r="E1968" s="145" t="s">
        <v>19</v>
      </c>
      <c r="F1968" s="72" t="s">
        <v>1513</v>
      </c>
      <c r="G1968" s="72" t="s">
        <v>469</v>
      </c>
      <c r="H1968" s="74" t="s">
        <v>349</v>
      </c>
      <c r="I1968" s="173">
        <v>89.5</v>
      </c>
      <c r="J1968" s="173"/>
      <c r="K1968" s="76">
        <v>39.200000000000003</v>
      </c>
      <c r="L1968" s="77"/>
      <c r="M1968" s="134">
        <v>44866</v>
      </c>
      <c r="N1968" s="134">
        <v>47787</v>
      </c>
      <c r="O1968" s="101" t="s">
        <v>19</v>
      </c>
      <c r="P1968" s="101" t="s">
        <v>1513</v>
      </c>
      <c r="Q1968" s="101" t="s">
        <v>469</v>
      </c>
      <c r="R1968" s="72" t="s">
        <v>349</v>
      </c>
      <c r="S1968" s="72"/>
    </row>
    <row r="1969" spans="1:19" ht="18.75" customHeight="1" x14ac:dyDescent="0.2">
      <c r="A1969" s="79"/>
      <c r="B1969" s="79"/>
      <c r="C1969" s="80"/>
      <c r="D1969" s="66"/>
      <c r="E1969" s="86"/>
      <c r="F1969" s="66"/>
      <c r="G1969" s="66"/>
      <c r="H1969" s="82"/>
      <c r="I1969" s="174"/>
      <c r="J1969" s="174"/>
      <c r="K1969" s="84"/>
      <c r="L1969" s="102"/>
      <c r="M1969" s="66"/>
      <c r="N1969" s="66"/>
      <c r="R1969" s="72"/>
    </row>
    <row r="1970" spans="1:19" s="101" customFormat="1" ht="18.75" customHeight="1" x14ac:dyDescent="0.2">
      <c r="A1970" s="70">
        <v>44647</v>
      </c>
      <c r="B1970" s="70">
        <v>44661</v>
      </c>
      <c r="C1970" s="71" t="s">
        <v>1976</v>
      </c>
      <c r="D1970" s="72" t="s">
        <v>438</v>
      </c>
      <c r="E1970" s="145" t="s">
        <v>19</v>
      </c>
      <c r="F1970" s="72" t="s">
        <v>1181</v>
      </c>
      <c r="G1970" s="72" t="s">
        <v>358</v>
      </c>
      <c r="H1970" s="74" t="s">
        <v>349</v>
      </c>
      <c r="I1970" s="173">
        <v>42.8</v>
      </c>
      <c r="J1970" s="173">
        <v>54.4</v>
      </c>
      <c r="K1970" s="76">
        <v>50.9</v>
      </c>
      <c r="L1970" s="77">
        <v>46.7</v>
      </c>
      <c r="M1970" s="134">
        <v>44682</v>
      </c>
      <c r="N1970" s="134">
        <v>47603</v>
      </c>
      <c r="O1970" s="101" t="s">
        <v>19</v>
      </c>
      <c r="P1970" s="101" t="s">
        <v>1261</v>
      </c>
      <c r="Q1970" s="101" t="s">
        <v>1262</v>
      </c>
      <c r="R1970" s="72" t="s">
        <v>419</v>
      </c>
      <c r="S1970" s="72"/>
    </row>
    <row r="1971" spans="1:19" ht="18.75" customHeight="1" x14ac:dyDescent="0.2">
      <c r="A1971" s="79"/>
      <c r="B1971" s="79"/>
      <c r="C1971" s="80"/>
      <c r="D1971" s="66"/>
      <c r="E1971" s="86" t="s">
        <v>21</v>
      </c>
      <c r="F1971" s="66" t="s">
        <v>1977</v>
      </c>
      <c r="G1971" s="66" t="s">
        <v>591</v>
      </c>
      <c r="H1971" s="82" t="s">
        <v>349</v>
      </c>
      <c r="I1971" s="174">
        <v>37.5</v>
      </c>
      <c r="J1971" s="174">
        <v>45.6</v>
      </c>
      <c r="K1971" s="84"/>
      <c r="L1971" s="102"/>
      <c r="M1971" s="66"/>
      <c r="N1971" s="66"/>
      <c r="R1971" s="72"/>
    </row>
    <row r="1972" spans="1:19" ht="18.75" customHeight="1" x14ac:dyDescent="0.2">
      <c r="A1972" s="79"/>
      <c r="B1972" s="79"/>
      <c r="C1972" s="80"/>
      <c r="D1972" s="66"/>
      <c r="E1972" s="86" t="s">
        <v>1978</v>
      </c>
      <c r="F1972" s="66" t="s">
        <v>1978</v>
      </c>
      <c r="G1972" s="66" t="s">
        <v>1979</v>
      </c>
      <c r="H1972" s="82"/>
      <c r="I1972" s="174"/>
      <c r="J1972" s="174"/>
      <c r="K1972" s="84"/>
      <c r="L1972" s="102"/>
      <c r="M1972" s="66"/>
      <c r="N1972" s="66"/>
      <c r="R1972" s="72"/>
    </row>
    <row r="1973" spans="1:19" ht="18.75" customHeight="1" x14ac:dyDescent="0.2">
      <c r="A1973" s="79"/>
      <c r="B1973" s="79"/>
      <c r="C1973" s="80"/>
      <c r="D1973" s="66"/>
      <c r="E1973" s="86"/>
      <c r="F1973" s="66"/>
      <c r="G1973" s="66"/>
      <c r="H1973" s="82"/>
      <c r="I1973" s="174"/>
      <c r="J1973" s="174"/>
      <c r="K1973" s="84"/>
      <c r="L1973" s="102"/>
      <c r="M1973" s="66"/>
      <c r="N1973" s="66"/>
      <c r="R1973" s="72"/>
    </row>
    <row r="1974" spans="1:19" s="101" customFormat="1" ht="18.75" customHeight="1" x14ac:dyDescent="0.2">
      <c r="A1974" s="70">
        <v>44689</v>
      </c>
      <c r="B1974" s="70">
        <v>44703</v>
      </c>
      <c r="C1974" s="71" t="s">
        <v>1777</v>
      </c>
      <c r="D1974" s="72" t="s">
        <v>462</v>
      </c>
      <c r="E1974" s="145" t="s">
        <v>1980</v>
      </c>
      <c r="F1974" s="72" t="s">
        <v>1980</v>
      </c>
      <c r="G1974" s="72" t="s">
        <v>1981</v>
      </c>
      <c r="H1974" s="74" t="s">
        <v>349</v>
      </c>
      <c r="I1974" s="173">
        <v>93.4</v>
      </c>
      <c r="J1974" s="173"/>
      <c r="K1974" s="76">
        <v>38.200000000000003</v>
      </c>
      <c r="L1974" s="77"/>
      <c r="M1974" s="134">
        <v>44714</v>
      </c>
      <c r="N1974" s="134">
        <v>47635</v>
      </c>
      <c r="O1974" s="101" t="s">
        <v>667</v>
      </c>
      <c r="P1974" s="101" t="s">
        <v>273</v>
      </c>
      <c r="Q1974" s="101" t="s">
        <v>1778</v>
      </c>
      <c r="R1974" s="72" t="s">
        <v>419</v>
      </c>
      <c r="S1974" s="72"/>
    </row>
    <row r="1975" spans="1:19" ht="18.75" customHeight="1" x14ac:dyDescent="0.2">
      <c r="A1975" s="79"/>
      <c r="B1975" s="79"/>
      <c r="C1975" s="80"/>
      <c r="D1975" s="66"/>
      <c r="E1975" s="86"/>
      <c r="F1975" s="66"/>
      <c r="G1975" s="66"/>
      <c r="H1975" s="82"/>
      <c r="I1975" s="174"/>
      <c r="J1975" s="174"/>
      <c r="K1975" s="84"/>
      <c r="L1975" s="102"/>
      <c r="M1975" s="66"/>
      <c r="N1975" s="66"/>
      <c r="R1975" s="72"/>
    </row>
    <row r="1976" spans="1:19" s="101" customFormat="1" ht="18.75" customHeight="1" x14ac:dyDescent="0.2">
      <c r="A1976" s="70">
        <v>44724</v>
      </c>
      <c r="B1976" s="70">
        <v>44738</v>
      </c>
      <c r="C1976" s="71" t="s">
        <v>1982</v>
      </c>
      <c r="D1976" s="72" t="s">
        <v>687</v>
      </c>
      <c r="E1976" s="145" t="s">
        <v>1184</v>
      </c>
      <c r="F1976" s="72" t="s">
        <v>1184</v>
      </c>
      <c r="G1976" s="72" t="s">
        <v>383</v>
      </c>
      <c r="H1976" s="74" t="s">
        <v>349</v>
      </c>
      <c r="I1976" s="173">
        <v>76.7</v>
      </c>
      <c r="J1976" s="173"/>
      <c r="K1976" s="76">
        <v>29.9</v>
      </c>
      <c r="L1976" s="77"/>
      <c r="M1976" s="134">
        <v>44866</v>
      </c>
      <c r="N1976" s="134">
        <v>47787</v>
      </c>
      <c r="O1976" s="101" t="s">
        <v>1184</v>
      </c>
      <c r="P1976" s="101" t="s">
        <v>1184</v>
      </c>
      <c r="Q1976" s="101" t="s">
        <v>383</v>
      </c>
      <c r="R1976" s="72" t="s">
        <v>349</v>
      </c>
      <c r="S1976" s="72"/>
    </row>
    <row r="1977" spans="1:19" ht="18.75" customHeight="1" x14ac:dyDescent="0.2">
      <c r="A1977" s="79"/>
      <c r="B1977" s="79"/>
      <c r="C1977" s="80"/>
      <c r="D1977" s="66"/>
      <c r="E1977" s="86"/>
      <c r="F1977" s="66"/>
      <c r="G1977" s="66"/>
      <c r="H1977" s="82"/>
      <c r="I1977" s="174"/>
      <c r="J1977" s="174"/>
      <c r="K1977" s="84"/>
      <c r="L1977" s="102"/>
      <c r="M1977" s="66"/>
      <c r="N1977" s="66"/>
      <c r="R1977" s="72"/>
    </row>
    <row r="1978" spans="1:19" s="101" customFormat="1" ht="18.75" customHeight="1" x14ac:dyDescent="0.2">
      <c r="A1978" s="70">
        <v>44745</v>
      </c>
      <c r="B1978" s="70">
        <v>44759</v>
      </c>
      <c r="C1978" s="71" t="s">
        <v>1983</v>
      </c>
      <c r="D1978" s="72" t="s">
        <v>828</v>
      </c>
      <c r="E1978" s="145" t="s">
        <v>1984</v>
      </c>
      <c r="F1978" s="72" t="s">
        <v>541</v>
      </c>
      <c r="G1978" s="72" t="s">
        <v>477</v>
      </c>
      <c r="H1978" s="74" t="s">
        <v>349</v>
      </c>
      <c r="I1978" s="173">
        <v>29.1</v>
      </c>
      <c r="J1978" s="173">
        <v>54.3</v>
      </c>
      <c r="K1978" s="76">
        <v>42.4</v>
      </c>
      <c r="L1978" s="77">
        <v>39.799999999999997</v>
      </c>
      <c r="M1978" s="134">
        <v>44927</v>
      </c>
      <c r="N1978" s="134">
        <v>47848</v>
      </c>
      <c r="O1978" s="101" t="s">
        <v>21</v>
      </c>
      <c r="P1978" s="101" t="s">
        <v>1985</v>
      </c>
      <c r="Q1978" s="101" t="s">
        <v>416</v>
      </c>
      <c r="R1978" s="72" t="s">
        <v>349</v>
      </c>
      <c r="S1978" s="72"/>
    </row>
    <row r="1979" spans="1:19" ht="18.75" customHeight="1" x14ac:dyDescent="0.2">
      <c r="A1979" s="79"/>
      <c r="B1979" s="79"/>
      <c r="C1979" s="80"/>
      <c r="D1979" s="66"/>
      <c r="E1979" s="86" t="s">
        <v>19</v>
      </c>
      <c r="F1979" s="66" t="s">
        <v>1986</v>
      </c>
      <c r="G1979" s="66" t="s">
        <v>1987</v>
      </c>
      <c r="H1979" s="82" t="s">
        <v>349</v>
      </c>
      <c r="I1979" s="174">
        <v>43.1</v>
      </c>
      <c r="J1979" s="174">
        <v>45.7</v>
      </c>
      <c r="K1979" s="84"/>
      <c r="L1979" s="102"/>
      <c r="M1979" s="66"/>
      <c r="N1979" s="66"/>
      <c r="R1979" s="72"/>
    </row>
    <row r="1980" spans="1:19" ht="18.75" customHeight="1" x14ac:dyDescent="0.2">
      <c r="A1980" s="79"/>
      <c r="B1980" s="79"/>
      <c r="C1980" s="80"/>
      <c r="D1980" s="66"/>
      <c r="E1980" s="86" t="s">
        <v>21</v>
      </c>
      <c r="F1980" s="66" t="s">
        <v>1988</v>
      </c>
      <c r="G1980" s="66" t="s">
        <v>1989</v>
      </c>
      <c r="H1980" s="82" t="s">
        <v>349</v>
      </c>
      <c r="I1980" s="174">
        <v>27.8</v>
      </c>
      <c r="J1980" s="174"/>
      <c r="K1980" s="84"/>
      <c r="L1980" s="102"/>
      <c r="M1980" s="66"/>
      <c r="N1980" s="66"/>
      <c r="R1980" s="72"/>
    </row>
    <row r="1981" spans="1:19" ht="18.75" customHeight="1" x14ac:dyDescent="0.2">
      <c r="A1981" s="79"/>
      <c r="B1981" s="79"/>
      <c r="C1981" s="80"/>
      <c r="D1981" s="66"/>
      <c r="E1981" s="86"/>
      <c r="F1981" s="66"/>
      <c r="G1981" s="66"/>
      <c r="H1981" s="82"/>
      <c r="I1981" s="174"/>
      <c r="J1981" s="174"/>
      <c r="K1981" s="84"/>
      <c r="L1981" s="102"/>
      <c r="M1981" s="66"/>
      <c r="N1981" s="66"/>
      <c r="R1981" s="72"/>
    </row>
    <row r="1982" spans="1:19" s="101" customFormat="1" ht="18.75" customHeight="1" x14ac:dyDescent="0.2">
      <c r="A1982" s="70">
        <v>44815</v>
      </c>
      <c r="B1982" s="70">
        <v>44829</v>
      </c>
      <c r="C1982" s="71" t="s">
        <v>1990</v>
      </c>
      <c r="D1982" s="72" t="s">
        <v>703</v>
      </c>
      <c r="E1982" s="145" t="s">
        <v>55</v>
      </c>
      <c r="F1982" s="72" t="s">
        <v>533</v>
      </c>
      <c r="G1982" s="72" t="s">
        <v>776</v>
      </c>
      <c r="H1982" s="74" t="s">
        <v>349</v>
      </c>
      <c r="I1982" s="173">
        <v>52.4</v>
      </c>
      <c r="J1982" s="173"/>
      <c r="K1982" s="76">
        <v>40.299999999999997</v>
      </c>
      <c r="L1982" s="77"/>
      <c r="M1982" s="134">
        <v>44954</v>
      </c>
      <c r="N1982" s="134">
        <v>47875</v>
      </c>
      <c r="O1982" s="101" t="s">
        <v>19</v>
      </c>
      <c r="P1982" s="101" t="s">
        <v>830</v>
      </c>
      <c r="Q1982" s="101" t="s">
        <v>1176</v>
      </c>
      <c r="R1982" s="72" t="s">
        <v>349</v>
      </c>
      <c r="S1982" s="72"/>
    </row>
    <row r="1983" spans="1:19" ht="18.75" customHeight="1" x14ac:dyDescent="0.2">
      <c r="A1983" s="79"/>
      <c r="B1983" s="79"/>
      <c r="C1983" s="80"/>
      <c r="D1983" s="66"/>
      <c r="E1983" s="86" t="s">
        <v>19</v>
      </c>
      <c r="F1983" s="66" t="s">
        <v>1991</v>
      </c>
      <c r="G1983" s="66" t="s">
        <v>965</v>
      </c>
      <c r="H1983" s="82" t="s">
        <v>349</v>
      </c>
      <c r="I1983" s="174">
        <v>47.6</v>
      </c>
      <c r="J1983" s="174"/>
      <c r="K1983" s="84"/>
      <c r="L1983" s="102"/>
      <c r="M1983" s="66"/>
      <c r="N1983" s="66"/>
      <c r="R1983" s="72"/>
    </row>
    <row r="1984" spans="1:19" ht="18.75" customHeight="1" x14ac:dyDescent="0.2">
      <c r="A1984" s="79"/>
      <c r="B1984" s="79"/>
      <c r="C1984" s="80"/>
      <c r="D1984" s="66"/>
      <c r="E1984" s="86"/>
      <c r="F1984" s="66"/>
      <c r="G1984" s="66"/>
      <c r="H1984" s="82"/>
      <c r="I1984" s="174"/>
      <c r="J1984" s="174"/>
      <c r="K1984" s="84"/>
      <c r="L1984" s="102"/>
      <c r="M1984" s="66"/>
      <c r="N1984" s="66"/>
      <c r="R1984" s="72"/>
    </row>
    <row r="1985" spans="1:19" s="101" customFormat="1" ht="18.75" customHeight="1" x14ac:dyDescent="0.2">
      <c r="A1985" s="70">
        <v>44815</v>
      </c>
      <c r="B1985" s="70">
        <v>44829</v>
      </c>
      <c r="C1985" s="71" t="s">
        <v>1643</v>
      </c>
      <c r="D1985" s="72" t="s">
        <v>916</v>
      </c>
      <c r="E1985" s="145" t="s">
        <v>55</v>
      </c>
      <c r="F1985" s="72" t="s">
        <v>1992</v>
      </c>
      <c r="G1985" s="72" t="s">
        <v>968</v>
      </c>
      <c r="H1985" s="74" t="s">
        <v>349</v>
      </c>
      <c r="I1985" s="173">
        <v>72.2</v>
      </c>
      <c r="J1985" s="173"/>
      <c r="K1985" s="76">
        <v>50.7</v>
      </c>
      <c r="L1985" s="77"/>
      <c r="M1985" s="134">
        <v>44927</v>
      </c>
      <c r="N1985" s="134">
        <v>47848</v>
      </c>
      <c r="O1985" s="101" t="s">
        <v>918</v>
      </c>
      <c r="P1985" s="101" t="s">
        <v>918</v>
      </c>
      <c r="Q1985" s="101" t="s">
        <v>516</v>
      </c>
      <c r="R1985" s="72" t="s">
        <v>349</v>
      </c>
      <c r="S1985" s="72"/>
    </row>
    <row r="1986" spans="1:19" ht="18.75" customHeight="1" x14ac:dyDescent="0.2">
      <c r="A1986" s="79"/>
      <c r="B1986" s="79"/>
      <c r="C1986" s="80"/>
      <c r="D1986" s="66"/>
      <c r="E1986" s="86" t="s">
        <v>1993</v>
      </c>
      <c r="F1986" s="66" t="s">
        <v>1993</v>
      </c>
      <c r="G1986" s="66" t="s">
        <v>1054</v>
      </c>
      <c r="H1986" s="82" t="s">
        <v>349</v>
      </c>
      <c r="I1986" s="174">
        <v>27.8</v>
      </c>
      <c r="J1986" s="174"/>
      <c r="K1986" s="84"/>
      <c r="L1986" s="102"/>
      <c r="M1986" s="66"/>
      <c r="N1986" s="66"/>
      <c r="R1986" s="72"/>
    </row>
    <row r="1987" spans="1:19" ht="18.75" customHeight="1" x14ac:dyDescent="0.2">
      <c r="A1987" s="79"/>
      <c r="B1987" s="79"/>
      <c r="C1987" s="80"/>
      <c r="D1987" s="66"/>
      <c r="E1987" s="86"/>
      <c r="F1987" s="66"/>
      <c r="G1987" s="66"/>
      <c r="H1987" s="82"/>
      <c r="I1987" s="174"/>
      <c r="J1987" s="174"/>
      <c r="K1987" s="84"/>
      <c r="L1987" s="102"/>
      <c r="M1987" s="66"/>
      <c r="N1987" s="66"/>
      <c r="R1987" s="72"/>
    </row>
    <row r="1988" spans="1:19" s="101" customFormat="1" ht="18.75" customHeight="1" x14ac:dyDescent="0.2">
      <c r="A1988" s="70">
        <v>44815</v>
      </c>
      <c r="B1988" s="70">
        <v>44829</v>
      </c>
      <c r="C1988" s="71" t="s">
        <v>1994</v>
      </c>
      <c r="D1988" s="72" t="s">
        <v>804</v>
      </c>
      <c r="E1988" s="145" t="s">
        <v>19</v>
      </c>
      <c r="F1988" s="72" t="s">
        <v>1995</v>
      </c>
      <c r="G1988" s="72" t="s">
        <v>1996</v>
      </c>
      <c r="H1988" s="74" t="s">
        <v>349</v>
      </c>
      <c r="I1988" s="173">
        <v>56.8</v>
      </c>
      <c r="J1988" s="173"/>
      <c r="K1988" s="76">
        <v>54.7</v>
      </c>
      <c r="L1988" s="77"/>
      <c r="M1988" s="134">
        <v>44927</v>
      </c>
      <c r="N1988" s="134">
        <v>47848</v>
      </c>
      <c r="O1988" s="101" t="s">
        <v>21</v>
      </c>
      <c r="P1988" s="101" t="s">
        <v>1181</v>
      </c>
      <c r="Q1988" s="101" t="s">
        <v>1215</v>
      </c>
      <c r="R1988" s="72" t="s">
        <v>349</v>
      </c>
      <c r="S1988" s="72"/>
    </row>
    <row r="1989" spans="1:19" ht="18.75" customHeight="1" x14ac:dyDescent="0.2">
      <c r="A1989" s="79"/>
      <c r="B1989" s="79"/>
      <c r="C1989" s="80"/>
      <c r="D1989" s="66"/>
      <c r="E1989" s="86" t="s">
        <v>21</v>
      </c>
      <c r="F1989" s="66" t="s">
        <v>843</v>
      </c>
      <c r="G1989" s="66" t="s">
        <v>1989</v>
      </c>
      <c r="H1989" s="82" t="s">
        <v>349</v>
      </c>
      <c r="I1989" s="174">
        <v>43.2</v>
      </c>
      <c r="J1989" s="174"/>
      <c r="K1989" s="84"/>
      <c r="L1989" s="102"/>
      <c r="M1989" s="66"/>
      <c r="N1989" s="66"/>
      <c r="R1989" s="72"/>
    </row>
    <row r="1990" spans="1:19" ht="18.75" customHeight="1" x14ac:dyDescent="0.2">
      <c r="A1990" s="79"/>
      <c r="B1990" s="79"/>
      <c r="C1990" s="80"/>
      <c r="D1990" s="66"/>
      <c r="E1990" s="86"/>
      <c r="F1990" s="66"/>
      <c r="G1990" s="66"/>
      <c r="H1990" s="82"/>
      <c r="I1990" s="174"/>
      <c r="J1990" s="174"/>
      <c r="K1990" s="84"/>
      <c r="L1990" s="102"/>
      <c r="M1990" s="66"/>
      <c r="N1990" s="66"/>
      <c r="R1990" s="72"/>
    </row>
    <row r="1991" spans="1:19" s="101" customFormat="1" ht="18.75" customHeight="1" x14ac:dyDescent="0.2">
      <c r="A1991" s="70">
        <v>44822</v>
      </c>
      <c r="B1991" s="70">
        <v>44836</v>
      </c>
      <c r="C1991" s="71" t="s">
        <v>1997</v>
      </c>
      <c r="D1991" s="72" t="s">
        <v>715</v>
      </c>
      <c r="E1991" s="145" t="s">
        <v>1998</v>
      </c>
      <c r="F1991" s="72" t="s">
        <v>1998</v>
      </c>
      <c r="G1991" s="72" t="s">
        <v>935</v>
      </c>
      <c r="H1991" s="74" t="s">
        <v>349</v>
      </c>
      <c r="I1991" s="173">
        <v>39.700000000000003</v>
      </c>
      <c r="J1991" s="173">
        <v>71.3</v>
      </c>
      <c r="K1991" s="76">
        <v>43.9</v>
      </c>
      <c r="L1991" s="77">
        <v>41.1</v>
      </c>
      <c r="M1991" s="134">
        <v>45000</v>
      </c>
      <c r="N1991" s="134">
        <v>47921</v>
      </c>
      <c r="O1991" s="101" t="s">
        <v>716</v>
      </c>
      <c r="P1991" s="101" t="s">
        <v>716</v>
      </c>
      <c r="Q1991" s="101" t="s">
        <v>358</v>
      </c>
      <c r="R1991" s="72" t="s">
        <v>349</v>
      </c>
      <c r="S1991" s="72"/>
    </row>
    <row r="1992" spans="1:19" ht="18.75" customHeight="1" x14ac:dyDescent="0.2">
      <c r="A1992" s="79"/>
      <c r="B1992" s="79"/>
      <c r="C1992" s="80"/>
      <c r="D1992" s="66"/>
      <c r="E1992" s="86" t="s">
        <v>19</v>
      </c>
      <c r="F1992" s="66" t="s">
        <v>1999</v>
      </c>
      <c r="G1992" s="66" t="s">
        <v>615</v>
      </c>
      <c r="H1992" s="82" t="s">
        <v>349</v>
      </c>
      <c r="I1992" s="174">
        <v>31.6</v>
      </c>
      <c r="J1992" s="174">
        <v>28.7</v>
      </c>
      <c r="K1992" s="84"/>
      <c r="L1992" s="102"/>
      <c r="M1992" s="66"/>
      <c r="N1992" s="66"/>
      <c r="R1992" s="72"/>
    </row>
    <row r="1993" spans="1:19" ht="18.75" customHeight="1" x14ac:dyDescent="0.2">
      <c r="A1993" s="79"/>
      <c r="B1993" s="79"/>
      <c r="C1993" s="80"/>
      <c r="D1993" s="66"/>
      <c r="E1993" s="86" t="s">
        <v>21</v>
      </c>
      <c r="F1993" s="66" t="s">
        <v>2000</v>
      </c>
      <c r="G1993" s="66" t="s">
        <v>1658</v>
      </c>
      <c r="H1993" s="82" t="s">
        <v>349</v>
      </c>
      <c r="I1993" s="174">
        <v>11.7</v>
      </c>
      <c r="J1993" s="174"/>
      <c r="K1993" s="84"/>
      <c r="L1993" s="102"/>
      <c r="M1993" s="66"/>
      <c r="N1993" s="66"/>
      <c r="R1993" s="72"/>
    </row>
    <row r="1994" spans="1:19" ht="18.75" customHeight="1" x14ac:dyDescent="0.2">
      <c r="A1994" s="79"/>
      <c r="B1994" s="79"/>
      <c r="C1994" s="80"/>
      <c r="D1994" s="66"/>
      <c r="E1994" s="86" t="s">
        <v>55</v>
      </c>
      <c r="F1994" s="66" t="s">
        <v>2001</v>
      </c>
      <c r="G1994" s="66" t="s">
        <v>2002</v>
      </c>
      <c r="H1994" s="82" t="s">
        <v>419</v>
      </c>
      <c r="I1994" s="174">
        <v>17</v>
      </c>
      <c r="J1994" s="174"/>
      <c r="K1994" s="84"/>
      <c r="L1994" s="102"/>
      <c r="M1994" s="66"/>
      <c r="N1994" s="66"/>
      <c r="R1994" s="72"/>
    </row>
    <row r="1995" spans="1:19" ht="18.75" customHeight="1" x14ac:dyDescent="0.2">
      <c r="A1995" s="79"/>
      <c r="B1995" s="79"/>
      <c r="C1995" s="80"/>
      <c r="D1995" s="66"/>
      <c r="E1995" s="86"/>
      <c r="F1995" s="66"/>
      <c r="G1995" s="66"/>
      <c r="H1995" s="82"/>
      <c r="I1995" s="174"/>
      <c r="J1995" s="174"/>
      <c r="K1995" s="84"/>
      <c r="L1995" s="102"/>
      <c r="M1995" s="66"/>
      <c r="N1995" s="66"/>
      <c r="R1995" s="72"/>
    </row>
    <row r="1996" spans="1:19" s="101" customFormat="1" ht="18.75" customHeight="1" x14ac:dyDescent="0.2">
      <c r="A1996" s="70">
        <v>44829</v>
      </c>
      <c r="B1996" s="70">
        <v>44843</v>
      </c>
      <c r="C1996" s="71" t="s">
        <v>2003</v>
      </c>
      <c r="D1996" s="72" t="s">
        <v>698</v>
      </c>
      <c r="E1996" s="145" t="s">
        <v>347</v>
      </c>
      <c r="F1996" s="72" t="s">
        <v>347</v>
      </c>
      <c r="G1996" s="72" t="s">
        <v>2004</v>
      </c>
      <c r="H1996" s="74" t="s">
        <v>349</v>
      </c>
      <c r="I1996" s="173">
        <v>38.9</v>
      </c>
      <c r="J1996" s="173">
        <v>55.5</v>
      </c>
      <c r="K1996" s="76">
        <v>40.5</v>
      </c>
      <c r="L1996" s="77">
        <v>35.799999999999997</v>
      </c>
      <c r="M1996" s="134">
        <v>45062</v>
      </c>
      <c r="N1996" s="134">
        <v>47982</v>
      </c>
      <c r="O1996" s="101" t="s">
        <v>699</v>
      </c>
      <c r="P1996" s="101" t="s">
        <v>699</v>
      </c>
      <c r="Q1996" s="101" t="s">
        <v>700</v>
      </c>
      <c r="R1996" s="72" t="s">
        <v>349</v>
      </c>
      <c r="S1996" s="72"/>
    </row>
    <row r="1997" spans="1:19" ht="18.75" customHeight="1" x14ac:dyDescent="0.2">
      <c r="A1997" s="79"/>
      <c r="B1997" s="79"/>
      <c r="C1997" s="80"/>
      <c r="D1997" s="66"/>
      <c r="E1997" s="86" t="s">
        <v>803</v>
      </c>
      <c r="F1997" s="66" t="s">
        <v>803</v>
      </c>
      <c r="G1997" s="66" t="s">
        <v>2005</v>
      </c>
      <c r="H1997" s="82" t="s">
        <v>349</v>
      </c>
      <c r="I1997" s="174">
        <v>38.1</v>
      </c>
      <c r="J1997" s="174">
        <v>44.5</v>
      </c>
      <c r="K1997" s="84"/>
      <c r="L1997" s="102"/>
      <c r="M1997" s="66"/>
      <c r="N1997" s="66"/>
      <c r="R1997" s="72"/>
    </row>
    <row r="1998" spans="1:19" ht="18.75" customHeight="1" x14ac:dyDescent="0.2">
      <c r="A1998" s="79"/>
      <c r="B1998" s="79"/>
      <c r="C1998" s="80"/>
      <c r="D1998" s="66"/>
      <c r="E1998" s="86" t="s">
        <v>21</v>
      </c>
      <c r="F1998" s="66" t="s">
        <v>699</v>
      </c>
      <c r="G1998" s="66" t="s">
        <v>1981</v>
      </c>
      <c r="H1998" s="82" t="s">
        <v>349</v>
      </c>
      <c r="I1998" s="174">
        <v>23</v>
      </c>
      <c r="J1998" s="174"/>
      <c r="K1998" s="84"/>
      <c r="L1998" s="102"/>
      <c r="M1998" s="66"/>
      <c r="N1998" s="66"/>
      <c r="R1998" s="72"/>
    </row>
    <row r="1999" spans="1:19" ht="18.75" customHeight="1" x14ac:dyDescent="0.2">
      <c r="A1999" s="79"/>
      <c r="B1999" s="79"/>
      <c r="C1999" s="80"/>
      <c r="D1999" s="66"/>
      <c r="E1999" s="86"/>
      <c r="F1999" s="66"/>
      <c r="G1999" s="66"/>
      <c r="H1999" s="82"/>
      <c r="I1999" s="174"/>
      <c r="J1999" s="174"/>
      <c r="K1999" s="84"/>
      <c r="L1999" s="102"/>
      <c r="M1999" s="66"/>
      <c r="N1999" s="66"/>
      <c r="R1999" s="72"/>
    </row>
    <row r="2000" spans="1:19" s="101" customFormat="1" ht="18.75" customHeight="1" x14ac:dyDescent="0.2">
      <c r="A2000" s="70">
        <v>44829</v>
      </c>
      <c r="B2000" s="70">
        <v>44843</v>
      </c>
      <c r="C2000" s="71" t="s">
        <v>2006</v>
      </c>
      <c r="D2000" s="72" t="s">
        <v>2007</v>
      </c>
      <c r="E2000" s="145" t="s">
        <v>716</v>
      </c>
      <c r="F2000" s="72" t="s">
        <v>716</v>
      </c>
      <c r="G2000" s="72" t="s">
        <v>389</v>
      </c>
      <c r="H2000" s="74" t="s">
        <v>349</v>
      </c>
      <c r="I2000" s="173">
        <v>24.5</v>
      </c>
      <c r="J2000" s="173">
        <v>67.5</v>
      </c>
      <c r="K2000" s="76">
        <v>39</v>
      </c>
      <c r="L2000" s="77">
        <v>34.6</v>
      </c>
      <c r="M2000" s="134">
        <v>44986</v>
      </c>
      <c r="N2000" s="134">
        <v>47907</v>
      </c>
      <c r="O2000" s="101" t="s">
        <v>1201</v>
      </c>
      <c r="P2000" s="101" t="s">
        <v>1201</v>
      </c>
      <c r="Q2000" s="101" t="s">
        <v>591</v>
      </c>
      <c r="R2000" s="72" t="s">
        <v>349</v>
      </c>
      <c r="S2000" s="72"/>
    </row>
    <row r="2001" spans="1:19" ht="18.75" customHeight="1" x14ac:dyDescent="0.2">
      <c r="A2001" s="79"/>
      <c r="B2001" s="79"/>
      <c r="C2001" s="80"/>
      <c r="D2001" s="66"/>
      <c r="E2001" s="86" t="s">
        <v>19</v>
      </c>
      <c r="F2001" s="66" t="s">
        <v>2008</v>
      </c>
      <c r="G2001" s="66" t="s">
        <v>1603</v>
      </c>
      <c r="H2001" s="82" t="s">
        <v>419</v>
      </c>
      <c r="I2001" s="174">
        <v>21.1</v>
      </c>
      <c r="J2001" s="174">
        <v>32.5</v>
      </c>
      <c r="K2001" s="84"/>
      <c r="L2001" s="102"/>
      <c r="M2001" s="66"/>
      <c r="N2001" s="66"/>
      <c r="R2001" s="72"/>
    </row>
    <row r="2002" spans="1:19" ht="18.75" customHeight="1" x14ac:dyDescent="0.2">
      <c r="A2002" s="79"/>
      <c r="B2002" s="79"/>
      <c r="C2002" s="80"/>
      <c r="D2002" s="66"/>
      <c r="E2002" s="86" t="s">
        <v>38</v>
      </c>
      <c r="F2002" s="66" t="s">
        <v>1017</v>
      </c>
      <c r="G2002" s="66" t="s">
        <v>368</v>
      </c>
      <c r="H2002" s="82" t="s">
        <v>349</v>
      </c>
      <c r="I2002" s="174">
        <v>12.1</v>
      </c>
      <c r="J2002" s="174"/>
      <c r="K2002" s="84"/>
      <c r="L2002" s="102"/>
      <c r="M2002" s="66"/>
      <c r="N2002" s="66"/>
      <c r="R2002" s="72"/>
    </row>
    <row r="2003" spans="1:19" ht="18.75" customHeight="1" x14ac:dyDescent="0.2">
      <c r="A2003" s="79"/>
      <c r="B2003" s="79"/>
      <c r="C2003" s="80"/>
      <c r="D2003" s="66"/>
      <c r="E2003" s="86" t="s">
        <v>34</v>
      </c>
      <c r="F2003" s="66" t="s">
        <v>1551</v>
      </c>
      <c r="G2003" s="66" t="s">
        <v>547</v>
      </c>
      <c r="H2003" s="82" t="s">
        <v>349</v>
      </c>
      <c r="I2003" s="174">
        <v>3.9</v>
      </c>
      <c r="J2003" s="174"/>
      <c r="K2003" s="84"/>
      <c r="L2003" s="102"/>
      <c r="M2003" s="66"/>
      <c r="N2003" s="66"/>
      <c r="R2003" s="72"/>
    </row>
    <row r="2004" spans="1:19" ht="18.75" customHeight="1" x14ac:dyDescent="0.2">
      <c r="A2004" s="79"/>
      <c r="B2004" s="79"/>
      <c r="C2004" s="80"/>
      <c r="D2004" s="66"/>
      <c r="E2004" s="86" t="s">
        <v>55</v>
      </c>
      <c r="F2004" s="66" t="s">
        <v>592</v>
      </c>
      <c r="G2004" s="66" t="s">
        <v>1129</v>
      </c>
      <c r="H2004" s="82" t="s">
        <v>419</v>
      </c>
      <c r="I2004" s="174">
        <v>15</v>
      </c>
      <c r="J2004" s="174"/>
      <c r="K2004" s="84"/>
      <c r="L2004" s="102"/>
      <c r="M2004" s="66"/>
      <c r="N2004" s="66"/>
      <c r="R2004" s="72"/>
    </row>
    <row r="2005" spans="1:19" ht="18.75" customHeight="1" x14ac:dyDescent="0.2">
      <c r="A2005" s="79"/>
      <c r="B2005" s="79"/>
      <c r="C2005" s="80"/>
      <c r="D2005" s="66"/>
      <c r="E2005" s="86" t="s">
        <v>2009</v>
      </c>
      <c r="F2005" s="66" t="s">
        <v>2009</v>
      </c>
      <c r="G2005" s="66" t="s">
        <v>1117</v>
      </c>
      <c r="H2005" s="82" t="s">
        <v>349</v>
      </c>
      <c r="I2005" s="174">
        <v>17.7</v>
      </c>
      <c r="J2005" s="174"/>
      <c r="K2005" s="84"/>
      <c r="L2005" s="102"/>
      <c r="M2005" s="66"/>
      <c r="N2005" s="66"/>
      <c r="R2005" s="72"/>
    </row>
    <row r="2006" spans="1:19" ht="18.75" customHeight="1" x14ac:dyDescent="0.2">
      <c r="A2006" s="79"/>
      <c r="B2006" s="79"/>
      <c r="C2006" s="80"/>
      <c r="D2006" s="66"/>
      <c r="E2006" s="86" t="s">
        <v>2010</v>
      </c>
      <c r="F2006" s="66" t="s">
        <v>2010</v>
      </c>
      <c r="G2006" s="66" t="s">
        <v>1287</v>
      </c>
      <c r="H2006" s="82" t="s">
        <v>349</v>
      </c>
      <c r="I2006" s="174">
        <v>5.7</v>
      </c>
      <c r="J2006" s="174"/>
      <c r="K2006" s="84"/>
      <c r="L2006" s="102"/>
      <c r="M2006" s="66"/>
      <c r="N2006" s="66"/>
      <c r="R2006" s="72"/>
    </row>
    <row r="2007" spans="1:19" ht="18.75" customHeight="1" x14ac:dyDescent="0.2">
      <c r="A2007" s="79"/>
      <c r="B2007" s="79"/>
      <c r="C2007" s="80"/>
      <c r="D2007" s="66"/>
      <c r="E2007" s="86"/>
      <c r="F2007" s="66"/>
      <c r="G2007" s="66"/>
      <c r="H2007" s="82"/>
      <c r="I2007" s="174"/>
      <c r="J2007" s="174"/>
      <c r="K2007" s="84"/>
      <c r="L2007" s="102"/>
      <c r="M2007" s="66"/>
      <c r="N2007" s="66"/>
      <c r="R2007" s="72"/>
    </row>
    <row r="2008" spans="1:19" s="101" customFormat="1" ht="18.75" customHeight="1" x14ac:dyDescent="0.2">
      <c r="A2008" s="70">
        <v>44850</v>
      </c>
      <c r="B2008" s="70">
        <v>44871</v>
      </c>
      <c r="C2008" s="71" t="s">
        <v>2011</v>
      </c>
      <c r="D2008" s="72" t="s">
        <v>800</v>
      </c>
      <c r="E2008" s="145" t="s">
        <v>21</v>
      </c>
      <c r="F2008" s="72" t="s">
        <v>2012</v>
      </c>
      <c r="G2008" s="72" t="s">
        <v>1410</v>
      </c>
      <c r="H2008" s="74" t="s">
        <v>419</v>
      </c>
      <c r="I2008" s="173">
        <v>40.200000000000003</v>
      </c>
      <c r="J2008" s="173">
        <v>50.8</v>
      </c>
      <c r="K2008" s="76">
        <v>47.3</v>
      </c>
      <c r="L2008" s="77">
        <v>46.7</v>
      </c>
      <c r="M2008" s="134">
        <v>45047</v>
      </c>
      <c r="N2008" s="134">
        <v>47968</v>
      </c>
      <c r="O2008" s="101" t="s">
        <v>21</v>
      </c>
      <c r="P2008" s="101" t="s">
        <v>801</v>
      </c>
      <c r="Q2008" s="101" t="s">
        <v>754</v>
      </c>
      <c r="R2008" s="72" t="s">
        <v>349</v>
      </c>
      <c r="S2008" s="72"/>
    </row>
    <row r="2009" spans="1:19" ht="18.75" customHeight="1" x14ac:dyDescent="0.2">
      <c r="A2009" s="79"/>
      <c r="B2009" s="79"/>
      <c r="C2009" s="80"/>
      <c r="D2009" s="66"/>
      <c r="E2009" s="86" t="s">
        <v>19</v>
      </c>
      <c r="F2009" s="66" t="s">
        <v>2013</v>
      </c>
      <c r="G2009" s="66" t="s">
        <v>469</v>
      </c>
      <c r="H2009" s="82" t="s">
        <v>349</v>
      </c>
      <c r="I2009" s="174">
        <v>39.1</v>
      </c>
      <c r="J2009" s="174">
        <v>49.2</v>
      </c>
      <c r="K2009" s="84"/>
      <c r="L2009" s="102"/>
      <c r="M2009" s="66"/>
      <c r="N2009" s="66"/>
      <c r="R2009" s="72"/>
    </row>
    <row r="2010" spans="1:19" ht="18.75" customHeight="1" x14ac:dyDescent="0.2">
      <c r="A2010" s="79"/>
      <c r="B2010" s="79"/>
      <c r="C2010" s="80"/>
      <c r="D2010" s="66"/>
      <c r="E2010" s="86" t="s">
        <v>38</v>
      </c>
      <c r="F2010" s="66" t="s">
        <v>2014</v>
      </c>
      <c r="G2010" s="66" t="s">
        <v>965</v>
      </c>
      <c r="H2010" s="82" t="s">
        <v>349</v>
      </c>
      <c r="I2010" s="174">
        <v>3</v>
      </c>
      <c r="J2010" s="174"/>
      <c r="K2010" s="84"/>
      <c r="L2010" s="102"/>
      <c r="M2010" s="66"/>
      <c r="N2010" s="66"/>
      <c r="R2010" s="72"/>
    </row>
    <row r="2011" spans="1:19" ht="18.75" customHeight="1" x14ac:dyDescent="0.2">
      <c r="A2011" s="79"/>
      <c r="B2011" s="79"/>
      <c r="C2011" s="80"/>
      <c r="D2011" s="66"/>
      <c r="E2011" s="86" t="s">
        <v>34</v>
      </c>
      <c r="F2011" s="66" t="s">
        <v>2015</v>
      </c>
      <c r="G2011" s="66" t="s">
        <v>915</v>
      </c>
      <c r="H2011" s="82" t="s">
        <v>349</v>
      </c>
      <c r="I2011" s="174">
        <v>7</v>
      </c>
      <c r="J2011" s="174"/>
      <c r="K2011" s="84"/>
      <c r="L2011" s="102"/>
      <c r="M2011" s="66"/>
      <c r="N2011" s="66"/>
      <c r="R2011" s="72"/>
    </row>
    <row r="2012" spans="1:19" ht="18.75" customHeight="1" x14ac:dyDescent="0.2">
      <c r="A2012" s="79"/>
      <c r="B2012" s="79"/>
      <c r="C2012" s="80"/>
      <c r="D2012" s="66"/>
      <c r="E2012" s="86" t="s">
        <v>55</v>
      </c>
      <c r="F2012" s="66" t="s">
        <v>2016</v>
      </c>
      <c r="G2012" s="66" t="s">
        <v>754</v>
      </c>
      <c r="H2012" s="82" t="s">
        <v>349</v>
      </c>
      <c r="I2012" s="174">
        <v>10.7</v>
      </c>
      <c r="J2012" s="174"/>
      <c r="K2012" s="84"/>
      <c r="L2012" s="102"/>
      <c r="M2012" s="66"/>
      <c r="N2012" s="66"/>
      <c r="R2012" s="72"/>
    </row>
    <row r="2013" spans="1:19" ht="18.75" customHeight="1" x14ac:dyDescent="0.2">
      <c r="A2013" s="79"/>
      <c r="B2013" s="79"/>
      <c r="C2013" s="80"/>
      <c r="D2013" s="66"/>
      <c r="E2013" s="86"/>
      <c r="F2013" s="66"/>
      <c r="G2013" s="66"/>
      <c r="H2013" s="82"/>
      <c r="I2013" s="174"/>
      <c r="J2013" s="174"/>
      <c r="K2013" s="84"/>
      <c r="L2013" s="102"/>
      <c r="M2013" s="66"/>
      <c r="N2013" s="66"/>
      <c r="R2013" s="72"/>
    </row>
    <row r="2014" spans="1:19" s="101" customFormat="1" ht="18.75" customHeight="1" x14ac:dyDescent="0.2">
      <c r="A2014" s="70">
        <v>44871</v>
      </c>
      <c r="B2014" s="70">
        <v>44885</v>
      </c>
      <c r="C2014" s="71" t="s">
        <v>2017</v>
      </c>
      <c r="D2014" s="72" t="s">
        <v>709</v>
      </c>
      <c r="E2014" s="145" t="s">
        <v>509</v>
      </c>
      <c r="F2014" s="72" t="s">
        <v>509</v>
      </c>
      <c r="G2014" s="72" t="s">
        <v>2018</v>
      </c>
      <c r="H2014" s="74" t="s">
        <v>419</v>
      </c>
      <c r="I2014" s="173">
        <v>51.5</v>
      </c>
      <c r="J2014" s="173"/>
      <c r="K2014" s="76">
        <v>37.5</v>
      </c>
      <c r="L2014" s="77"/>
      <c r="M2014" s="134">
        <v>45078</v>
      </c>
      <c r="N2014" s="134">
        <v>47999</v>
      </c>
      <c r="O2014" s="101" t="s">
        <v>21</v>
      </c>
      <c r="P2014" s="101" t="s">
        <v>1554</v>
      </c>
      <c r="Q2014" s="101" t="s">
        <v>383</v>
      </c>
      <c r="R2014" s="72" t="s">
        <v>349</v>
      </c>
      <c r="S2014" s="72"/>
    </row>
    <row r="2015" spans="1:19" ht="18.75" customHeight="1" x14ac:dyDescent="0.2">
      <c r="A2015" s="79"/>
      <c r="B2015" s="79"/>
      <c r="C2015" s="80"/>
      <c r="D2015" s="66"/>
      <c r="E2015" s="86" t="s">
        <v>21</v>
      </c>
      <c r="F2015" s="66" t="s">
        <v>1554</v>
      </c>
      <c r="G2015" s="66" t="s">
        <v>383</v>
      </c>
      <c r="H2015" s="82" t="s">
        <v>349</v>
      </c>
      <c r="I2015" s="174">
        <v>24.4</v>
      </c>
      <c r="J2015" s="174"/>
      <c r="K2015" s="84"/>
      <c r="L2015" s="102"/>
      <c r="M2015" s="66"/>
      <c r="N2015" s="66"/>
      <c r="R2015" s="72"/>
    </row>
    <row r="2016" spans="1:19" ht="18.75" customHeight="1" x14ac:dyDescent="0.2">
      <c r="A2016" s="79"/>
      <c r="B2016" s="79"/>
      <c r="C2016" s="80"/>
      <c r="D2016" s="66"/>
      <c r="E2016" s="86" t="s">
        <v>19</v>
      </c>
      <c r="F2016" s="66" t="s">
        <v>2019</v>
      </c>
      <c r="G2016" s="66" t="s">
        <v>2020</v>
      </c>
      <c r="H2016" s="82" t="s">
        <v>419</v>
      </c>
      <c r="I2016" s="174">
        <v>24</v>
      </c>
      <c r="J2016" s="174"/>
      <c r="K2016" s="84"/>
      <c r="L2016" s="102"/>
      <c r="M2016" s="66"/>
      <c r="N2016" s="66"/>
      <c r="R2016" s="72"/>
    </row>
    <row r="2017" spans="1:19" ht="18.75" customHeight="1" x14ac:dyDescent="0.2">
      <c r="A2017" s="79"/>
      <c r="B2017" s="79"/>
      <c r="C2017" s="80"/>
      <c r="D2017" s="66"/>
      <c r="E2017" s="86"/>
      <c r="F2017" s="66"/>
      <c r="G2017" s="66"/>
      <c r="H2017" s="82"/>
      <c r="I2017" s="174"/>
      <c r="J2017" s="174"/>
      <c r="K2017" s="84"/>
      <c r="L2017" s="102"/>
      <c r="M2017" s="66"/>
      <c r="N2017" s="66"/>
      <c r="R2017" s="72"/>
    </row>
    <row r="2018" spans="1:19" s="101" customFormat="1" ht="18.75" customHeight="1" x14ac:dyDescent="0.2">
      <c r="A2018" s="70">
        <v>44871</v>
      </c>
      <c r="B2018" s="70">
        <v>44885</v>
      </c>
      <c r="C2018" s="71" t="s">
        <v>2021</v>
      </c>
      <c r="D2018" s="72" t="s">
        <v>498</v>
      </c>
      <c r="E2018" s="145" t="s">
        <v>19</v>
      </c>
      <c r="F2018" s="72" t="s">
        <v>2022</v>
      </c>
      <c r="G2018" s="72" t="s">
        <v>2023</v>
      </c>
      <c r="H2018" s="74" t="s">
        <v>349</v>
      </c>
      <c r="I2018" s="173">
        <v>64.599999999999994</v>
      </c>
      <c r="J2018" s="173"/>
      <c r="K2018" s="76">
        <v>41.5</v>
      </c>
      <c r="L2018" s="77"/>
      <c r="M2018" s="134">
        <v>45078</v>
      </c>
      <c r="N2018" s="134">
        <v>47999</v>
      </c>
      <c r="O2018" s="101" t="s">
        <v>19</v>
      </c>
      <c r="P2018" s="101" t="s">
        <v>1552</v>
      </c>
      <c r="Q2018" s="101" t="s">
        <v>374</v>
      </c>
      <c r="R2018" s="72" t="s">
        <v>349</v>
      </c>
      <c r="S2018" s="72"/>
    </row>
    <row r="2019" spans="1:19" ht="18.75" customHeight="1" x14ac:dyDescent="0.2">
      <c r="A2019" s="79"/>
      <c r="B2019" s="79"/>
      <c r="C2019" s="80"/>
      <c r="D2019" s="66"/>
      <c r="E2019" s="86" t="s">
        <v>21</v>
      </c>
      <c r="F2019" s="66" t="s">
        <v>2024</v>
      </c>
      <c r="G2019" s="66" t="s">
        <v>2025</v>
      </c>
      <c r="H2019" s="82" t="s">
        <v>349</v>
      </c>
      <c r="I2019" s="174">
        <v>35.4</v>
      </c>
      <c r="J2019" s="174"/>
      <c r="K2019" s="84"/>
      <c r="L2019" s="102"/>
      <c r="M2019" s="66"/>
      <c r="N2019" s="66"/>
      <c r="R2019" s="72"/>
    </row>
    <row r="2020" spans="1:19" ht="18.75" customHeight="1" x14ac:dyDescent="0.2">
      <c r="A2020" s="79"/>
      <c r="B2020" s="79"/>
      <c r="C2020" s="80"/>
      <c r="D2020" s="66"/>
      <c r="E2020" s="86"/>
      <c r="F2020" s="66"/>
      <c r="G2020" s="66"/>
      <c r="H2020" s="82"/>
      <c r="I2020" s="174"/>
      <c r="J2020" s="174"/>
      <c r="K2020" s="84"/>
      <c r="L2020" s="102"/>
      <c r="M2020" s="66"/>
      <c r="N2020" s="66"/>
      <c r="R2020" s="72"/>
    </row>
    <row r="2021" spans="1:19" s="101" customFormat="1" ht="18.75" customHeight="1" x14ac:dyDescent="0.2">
      <c r="A2021" s="70">
        <v>44955</v>
      </c>
      <c r="B2021" s="70">
        <v>44969</v>
      </c>
      <c r="C2021" s="71" t="s">
        <v>2026</v>
      </c>
      <c r="D2021" s="72" t="s">
        <v>2027</v>
      </c>
      <c r="E2021" s="145" t="s">
        <v>19</v>
      </c>
      <c r="F2021" s="72" t="s">
        <v>1560</v>
      </c>
      <c r="G2021" s="72" t="s">
        <v>1400</v>
      </c>
      <c r="H2021" s="74" t="s">
        <v>349</v>
      </c>
      <c r="I2021" s="173">
        <v>58.9</v>
      </c>
      <c r="J2021" s="173"/>
      <c r="K2021" s="76">
        <v>54.5</v>
      </c>
      <c r="L2021" s="77"/>
      <c r="M2021" s="134">
        <v>45108</v>
      </c>
      <c r="N2021" s="134">
        <v>48029</v>
      </c>
      <c r="O2021" s="101" t="s">
        <v>19</v>
      </c>
      <c r="P2021" s="101" t="s">
        <v>1560</v>
      </c>
      <c r="Q2021" s="101" t="s">
        <v>1400</v>
      </c>
      <c r="R2021" s="72" t="s">
        <v>349</v>
      </c>
      <c r="S2021" s="72"/>
    </row>
    <row r="2022" spans="1:19" ht="18.75" customHeight="1" x14ac:dyDescent="0.2">
      <c r="A2022" s="79"/>
      <c r="B2022" s="79"/>
      <c r="C2022" s="80"/>
      <c r="D2022" s="66"/>
      <c r="E2022" s="86" t="s">
        <v>21</v>
      </c>
      <c r="F2022" s="66" t="s">
        <v>2028</v>
      </c>
      <c r="G2022" s="66" t="s">
        <v>1188</v>
      </c>
      <c r="H2022" s="82" t="s">
        <v>349</v>
      </c>
      <c r="I2022" s="174">
        <v>17.899999999999999</v>
      </c>
      <c r="J2022" s="174"/>
      <c r="K2022" s="84"/>
      <c r="L2022" s="102"/>
      <c r="M2022" s="176"/>
      <c r="N2022" s="176"/>
      <c r="R2022" s="72"/>
    </row>
    <row r="2023" spans="1:19" ht="18.75" customHeight="1" x14ac:dyDescent="0.2">
      <c r="A2023" s="79"/>
      <c r="B2023" s="79"/>
      <c r="C2023" s="80"/>
      <c r="D2023" s="66"/>
      <c r="E2023" s="86" t="s">
        <v>289</v>
      </c>
      <c r="F2023" s="66" t="s">
        <v>2029</v>
      </c>
      <c r="G2023" s="66" t="s">
        <v>1989</v>
      </c>
      <c r="H2023" s="82" t="s">
        <v>349</v>
      </c>
      <c r="I2023" s="174">
        <v>23.2</v>
      </c>
      <c r="J2023" s="174"/>
      <c r="K2023" s="84"/>
      <c r="L2023" s="102"/>
      <c r="M2023" s="66"/>
      <c r="N2023" s="66"/>
      <c r="R2023" s="72"/>
    </row>
    <row r="2024" spans="1:19" ht="18.75" customHeight="1" x14ac:dyDescent="0.2">
      <c r="A2024" s="79"/>
      <c r="B2024" s="79"/>
      <c r="C2024" s="80"/>
      <c r="D2024" s="66"/>
      <c r="E2024" s="86"/>
      <c r="F2024" s="66"/>
      <c r="G2024" s="66"/>
      <c r="H2024" s="82"/>
      <c r="I2024" s="174"/>
      <c r="J2024" s="174"/>
      <c r="K2024" s="84"/>
      <c r="L2024" s="102"/>
      <c r="M2024" s="66"/>
      <c r="N2024" s="66"/>
      <c r="R2024" s="72"/>
    </row>
    <row r="2025" spans="1:19" s="101" customFormat="1" ht="18.75" customHeight="1" x14ac:dyDescent="0.2">
      <c r="A2025" s="70">
        <v>44997</v>
      </c>
      <c r="B2025" s="70">
        <v>45011</v>
      </c>
      <c r="C2025" s="71">
        <v>33704</v>
      </c>
      <c r="D2025" s="72" t="s">
        <v>1051</v>
      </c>
      <c r="E2025" s="145" t="s">
        <v>2030</v>
      </c>
      <c r="F2025" s="72" t="s">
        <v>443</v>
      </c>
      <c r="G2025" s="72" t="s">
        <v>1170</v>
      </c>
      <c r="H2025" s="74" t="s">
        <v>349</v>
      </c>
      <c r="I2025" s="173">
        <v>59.1</v>
      </c>
      <c r="J2025" s="173"/>
      <c r="K2025" s="76">
        <v>54.4</v>
      </c>
      <c r="L2025" s="77"/>
      <c r="M2025" s="134">
        <v>45170</v>
      </c>
      <c r="N2025" s="134">
        <v>48091</v>
      </c>
      <c r="O2025" s="101" t="s">
        <v>393</v>
      </c>
      <c r="P2025" s="101" t="s">
        <v>393</v>
      </c>
      <c r="Q2025" s="101" t="s">
        <v>1564</v>
      </c>
      <c r="R2025" s="72" t="s">
        <v>419</v>
      </c>
      <c r="S2025" s="72"/>
    </row>
    <row r="2026" spans="1:19" ht="18.75" customHeight="1" x14ac:dyDescent="0.2">
      <c r="A2026" s="79"/>
      <c r="B2026" s="79"/>
      <c r="C2026" s="80"/>
      <c r="D2026" s="66"/>
      <c r="E2026" s="86" t="s">
        <v>393</v>
      </c>
      <c r="F2026" s="66" t="s">
        <v>393</v>
      </c>
      <c r="G2026" s="66" t="s">
        <v>449</v>
      </c>
      <c r="H2026" s="82" t="s">
        <v>419</v>
      </c>
      <c r="I2026" s="174">
        <v>38.5</v>
      </c>
      <c r="J2026" s="174"/>
      <c r="K2026" s="84"/>
      <c r="L2026" s="102"/>
      <c r="M2026" s="66"/>
      <c r="N2026" s="66"/>
      <c r="R2026" s="72"/>
    </row>
    <row r="2027" spans="1:19" ht="18.75" customHeight="1" x14ac:dyDescent="0.2">
      <c r="A2027" s="79"/>
      <c r="B2027" s="79"/>
      <c r="C2027" s="80"/>
      <c r="D2027" s="66"/>
      <c r="E2027" s="86" t="s">
        <v>2031</v>
      </c>
      <c r="F2027" s="66" t="s">
        <v>2031</v>
      </c>
      <c r="G2027" s="66" t="s">
        <v>1713</v>
      </c>
      <c r="H2027" s="82" t="s">
        <v>419</v>
      </c>
      <c r="I2027" s="174">
        <v>2.4</v>
      </c>
      <c r="J2027" s="174"/>
      <c r="K2027" s="84"/>
      <c r="L2027" s="102"/>
      <c r="M2027" s="66"/>
      <c r="N2027" s="66"/>
      <c r="R2027" s="72"/>
    </row>
    <row r="2028" spans="1:19" ht="18.75" customHeight="1" x14ac:dyDescent="0.2">
      <c r="A2028" s="79"/>
      <c r="B2028" s="79"/>
      <c r="C2028" s="80"/>
      <c r="D2028" s="66"/>
      <c r="E2028" s="86"/>
      <c r="F2028" s="66"/>
      <c r="G2028" s="66"/>
      <c r="H2028" s="82"/>
      <c r="I2028" s="174"/>
      <c r="J2028" s="174"/>
      <c r="K2028" s="84"/>
      <c r="L2028" s="102"/>
      <c r="M2028" s="66"/>
      <c r="N2028" s="66"/>
      <c r="R2028" s="72"/>
    </row>
    <row r="2029" spans="1:19" s="101" customFormat="1" ht="18.75" customHeight="1" x14ac:dyDescent="0.2">
      <c r="A2029" s="70">
        <v>44997</v>
      </c>
      <c r="B2029" s="70">
        <v>45011</v>
      </c>
      <c r="C2029" s="71" t="s">
        <v>2032</v>
      </c>
      <c r="D2029" s="72" t="s">
        <v>779</v>
      </c>
      <c r="E2029" s="145" t="s">
        <v>950</v>
      </c>
      <c r="F2029" s="72" t="s">
        <v>1569</v>
      </c>
      <c r="G2029" s="72" t="s">
        <v>1151</v>
      </c>
      <c r="H2029" s="74" t="s">
        <v>349</v>
      </c>
      <c r="I2029" s="173">
        <v>55.4</v>
      </c>
      <c r="J2029" s="173"/>
      <c r="K2029" s="76">
        <v>48.2</v>
      </c>
      <c r="L2029" s="77"/>
      <c r="M2029" s="134">
        <v>45200</v>
      </c>
      <c r="N2029" s="134">
        <v>48121</v>
      </c>
      <c r="O2029" s="101" t="s">
        <v>1569</v>
      </c>
      <c r="P2029" s="101" t="s">
        <v>1569</v>
      </c>
      <c r="Q2029" s="101" t="s">
        <v>1151</v>
      </c>
      <c r="R2029" s="72" t="s">
        <v>349</v>
      </c>
      <c r="S2029" s="72"/>
    </row>
    <row r="2030" spans="1:19" ht="18.75" customHeight="1" x14ac:dyDescent="0.2">
      <c r="A2030" s="79"/>
      <c r="B2030" s="79"/>
      <c r="C2030" s="80"/>
      <c r="D2030" s="66"/>
      <c r="E2030" s="86" t="s">
        <v>2033</v>
      </c>
      <c r="F2030" s="66" t="s">
        <v>2033</v>
      </c>
      <c r="G2030" s="66" t="s">
        <v>2034</v>
      </c>
      <c r="H2030" s="82" t="s">
        <v>419</v>
      </c>
      <c r="I2030" s="174">
        <v>44.6</v>
      </c>
      <c r="J2030" s="174"/>
      <c r="K2030" s="84"/>
      <c r="L2030" s="102"/>
      <c r="M2030" s="66"/>
      <c r="N2030" s="66"/>
      <c r="R2030" s="72"/>
    </row>
    <row r="2031" spans="1:19" ht="18.75" customHeight="1" x14ac:dyDescent="0.2">
      <c r="A2031" s="79"/>
      <c r="B2031" s="79"/>
      <c r="C2031" s="80"/>
      <c r="D2031" s="66"/>
      <c r="E2031" s="86"/>
      <c r="F2031" s="66"/>
      <c r="G2031" s="66"/>
      <c r="H2031" s="82"/>
      <c r="I2031" s="174"/>
      <c r="J2031" s="174"/>
      <c r="K2031" s="84"/>
      <c r="L2031" s="102"/>
      <c r="M2031" s="66"/>
      <c r="N2031" s="66"/>
      <c r="R2031" s="72"/>
    </row>
    <row r="2032" spans="1:19" s="101" customFormat="1" ht="18.75" customHeight="1" x14ac:dyDescent="0.2">
      <c r="A2032" s="70">
        <v>45039</v>
      </c>
      <c r="B2032" s="70">
        <v>45053</v>
      </c>
      <c r="C2032" s="71" t="s">
        <v>2035</v>
      </c>
      <c r="D2032" s="72" t="s">
        <v>752</v>
      </c>
      <c r="E2032" s="145" t="s">
        <v>55</v>
      </c>
      <c r="F2032" s="72" t="s">
        <v>1110</v>
      </c>
      <c r="G2032" s="72" t="s">
        <v>629</v>
      </c>
      <c r="H2032" s="74" t="s">
        <v>349</v>
      </c>
      <c r="I2032" s="173">
        <v>74.2</v>
      </c>
      <c r="J2032" s="173"/>
      <c r="K2032" s="76">
        <v>47</v>
      </c>
      <c r="L2032" s="77"/>
      <c r="M2032" s="134">
        <v>45161</v>
      </c>
      <c r="N2032" s="134">
        <v>48082</v>
      </c>
      <c r="O2032" s="101" t="s">
        <v>55</v>
      </c>
      <c r="P2032" s="101" t="s">
        <v>1110</v>
      </c>
      <c r="Q2032" s="101" t="s">
        <v>629</v>
      </c>
      <c r="R2032" s="72" t="s">
        <v>349</v>
      </c>
      <c r="S2032" s="72"/>
    </row>
    <row r="2033" spans="1:19" ht="18.75" customHeight="1" x14ac:dyDescent="0.2">
      <c r="A2033" s="79"/>
      <c r="B2033" s="79"/>
      <c r="C2033" s="80"/>
      <c r="D2033" s="66"/>
      <c r="E2033" s="86" t="s">
        <v>21</v>
      </c>
      <c r="F2033" s="66" t="s">
        <v>2036</v>
      </c>
      <c r="G2033" s="66" t="s">
        <v>776</v>
      </c>
      <c r="H2033" s="82" t="s">
        <v>349</v>
      </c>
      <c r="I2033" s="174">
        <v>25.8</v>
      </c>
      <c r="J2033" s="174"/>
      <c r="K2033" s="84"/>
      <c r="L2033" s="102"/>
      <c r="M2033" s="66"/>
      <c r="N2033" s="66"/>
      <c r="R2033" s="72"/>
    </row>
    <row r="2034" spans="1:19" ht="18.75" customHeight="1" x14ac:dyDescent="0.2">
      <c r="A2034" s="79"/>
      <c r="B2034" s="79"/>
      <c r="C2034" s="80"/>
      <c r="D2034" s="66"/>
      <c r="E2034" s="86"/>
      <c r="F2034" s="66"/>
      <c r="G2034" s="66"/>
      <c r="H2034" s="82"/>
      <c r="I2034" s="174"/>
      <c r="J2034" s="174"/>
      <c r="K2034" s="84"/>
      <c r="L2034" s="102"/>
      <c r="M2034" s="66"/>
      <c r="N2034" s="66"/>
      <c r="R2034" s="72"/>
    </row>
    <row r="2035" spans="1:19" s="101" customFormat="1" ht="18.75" customHeight="1" x14ac:dyDescent="0.2">
      <c r="A2035" s="70">
        <v>45095</v>
      </c>
      <c r="B2035" s="70">
        <v>45109</v>
      </c>
      <c r="C2035" s="71" t="s">
        <v>1750</v>
      </c>
      <c r="D2035" s="72" t="s">
        <v>445</v>
      </c>
      <c r="E2035" s="145" t="s">
        <v>2037</v>
      </c>
      <c r="F2035" s="72" t="s">
        <v>509</v>
      </c>
      <c r="G2035" s="72" t="s">
        <v>1694</v>
      </c>
      <c r="H2035" s="74" t="s">
        <v>349</v>
      </c>
      <c r="I2035" s="173">
        <v>53.7</v>
      </c>
      <c r="J2035" s="173"/>
      <c r="K2035" s="76">
        <v>37.799999999999997</v>
      </c>
      <c r="L2035" s="77"/>
      <c r="M2035" s="134">
        <v>45200</v>
      </c>
      <c r="N2035" s="134">
        <v>48029</v>
      </c>
      <c r="O2035" s="101" t="s">
        <v>19</v>
      </c>
      <c r="P2035" s="101" t="s">
        <v>1110</v>
      </c>
      <c r="Q2035" s="101" t="s">
        <v>358</v>
      </c>
      <c r="R2035" s="72" t="s">
        <v>349</v>
      </c>
      <c r="S2035" s="72"/>
    </row>
    <row r="2036" spans="1:19" ht="18.75" customHeight="1" x14ac:dyDescent="0.2">
      <c r="A2036" s="79"/>
      <c r="B2036" s="79"/>
      <c r="C2036" s="80"/>
      <c r="D2036" s="66"/>
      <c r="E2036" s="86" t="s">
        <v>19</v>
      </c>
      <c r="F2036" s="66" t="s">
        <v>2038</v>
      </c>
      <c r="G2036" s="66" t="s">
        <v>389</v>
      </c>
      <c r="H2036" s="82" t="s">
        <v>349</v>
      </c>
      <c r="I2036" s="174">
        <v>46.3</v>
      </c>
      <c r="J2036" s="174"/>
      <c r="K2036" s="84"/>
      <c r="L2036" s="102"/>
      <c r="M2036" s="66"/>
      <c r="N2036" s="66"/>
      <c r="R2036" s="72"/>
    </row>
    <row r="2037" spans="1:19" ht="18.75" customHeight="1" x14ac:dyDescent="0.2">
      <c r="A2037" s="79"/>
      <c r="B2037" s="79"/>
      <c r="C2037" s="80"/>
      <c r="D2037" s="66"/>
      <c r="E2037" s="86"/>
      <c r="F2037" s="66"/>
      <c r="G2037" s="66"/>
      <c r="H2037" s="82"/>
      <c r="I2037" s="174"/>
      <c r="J2037" s="174"/>
      <c r="K2037" s="84"/>
      <c r="L2037" s="102"/>
      <c r="M2037" s="66"/>
      <c r="N2037" s="66"/>
      <c r="R2037" s="72"/>
    </row>
    <row r="2038" spans="1:19" s="101" customFormat="1" ht="18.75" customHeight="1" x14ac:dyDescent="0.2">
      <c r="A2038" s="70">
        <v>45095</v>
      </c>
      <c r="B2038" s="70">
        <v>45116</v>
      </c>
      <c r="C2038" s="71" t="s">
        <v>2039</v>
      </c>
      <c r="D2038" s="72" t="s">
        <v>784</v>
      </c>
      <c r="E2038" s="145" t="s">
        <v>21</v>
      </c>
      <c r="F2038" s="72" t="s">
        <v>2040</v>
      </c>
      <c r="G2038" s="72" t="s">
        <v>1170</v>
      </c>
      <c r="H2038" s="74" t="s">
        <v>349</v>
      </c>
      <c r="I2038" s="173">
        <v>54.7</v>
      </c>
      <c r="J2038" s="173"/>
      <c r="K2038" s="76">
        <v>42.7</v>
      </c>
      <c r="L2038" s="77"/>
      <c r="M2038" s="134">
        <v>45309</v>
      </c>
      <c r="N2038" s="72" t="s">
        <v>2041</v>
      </c>
      <c r="O2038" s="101" t="s">
        <v>19</v>
      </c>
      <c r="P2038" s="101" t="s">
        <v>1576</v>
      </c>
      <c r="Q2038" s="101" t="s">
        <v>1577</v>
      </c>
      <c r="R2038" s="72" t="s">
        <v>349</v>
      </c>
      <c r="S2038" s="72"/>
    </row>
    <row r="2039" spans="1:19" ht="18.75" customHeight="1" x14ac:dyDescent="0.2">
      <c r="A2039" s="79"/>
      <c r="B2039" s="79"/>
      <c r="C2039" s="80"/>
      <c r="D2039" s="66"/>
      <c r="E2039" s="86" t="s">
        <v>19</v>
      </c>
      <c r="F2039" s="66" t="s">
        <v>2042</v>
      </c>
      <c r="G2039" s="66" t="s">
        <v>1208</v>
      </c>
      <c r="H2039" s="82" t="s">
        <v>349</v>
      </c>
      <c r="I2039" s="174">
        <v>38.799999999999997</v>
      </c>
      <c r="J2039" s="174"/>
      <c r="K2039" s="84"/>
      <c r="L2039" s="102"/>
      <c r="M2039" s="66"/>
      <c r="N2039" s="66"/>
      <c r="R2039" s="72"/>
    </row>
    <row r="2040" spans="1:19" ht="18.75" customHeight="1" x14ac:dyDescent="0.2">
      <c r="A2040" s="79"/>
      <c r="B2040" s="79"/>
      <c r="C2040" s="80"/>
      <c r="D2040" s="66"/>
      <c r="E2040" s="86" t="s">
        <v>1576</v>
      </c>
      <c r="F2040" s="66" t="s">
        <v>1576</v>
      </c>
      <c r="G2040" s="66" t="s">
        <v>1577</v>
      </c>
      <c r="H2040" s="82" t="s">
        <v>349</v>
      </c>
      <c r="I2040" s="174">
        <v>6.5</v>
      </c>
      <c r="J2040" s="174"/>
      <c r="K2040" s="84"/>
      <c r="L2040" s="102"/>
      <c r="M2040" s="66"/>
      <c r="N2040" s="66"/>
      <c r="R2040" s="72"/>
    </row>
    <row r="2041" spans="1:19" ht="18.75" customHeight="1" x14ac:dyDescent="0.2">
      <c r="A2041" s="79"/>
      <c r="B2041" s="79"/>
      <c r="C2041" s="80"/>
      <c r="D2041" s="66"/>
      <c r="E2041" s="86"/>
      <c r="F2041" s="66"/>
      <c r="G2041" s="66"/>
      <c r="H2041" s="82"/>
      <c r="I2041" s="174"/>
      <c r="J2041" s="174"/>
      <c r="K2041" s="84"/>
      <c r="L2041" s="102"/>
      <c r="M2041" s="66"/>
      <c r="N2041" s="66"/>
      <c r="R2041" s="72"/>
    </row>
    <row r="2042" spans="1:19" s="101" customFormat="1" ht="18.75" customHeight="1" x14ac:dyDescent="0.2">
      <c r="A2042" s="70">
        <v>45102</v>
      </c>
      <c r="B2042" s="70">
        <v>45116</v>
      </c>
      <c r="C2042" s="71" t="s">
        <v>2043</v>
      </c>
      <c r="D2042" s="72" t="s">
        <v>1026</v>
      </c>
      <c r="E2042" s="145" t="s">
        <v>313</v>
      </c>
      <c r="F2042" s="72" t="s">
        <v>1028</v>
      </c>
      <c r="G2042" s="72" t="s">
        <v>2044</v>
      </c>
      <c r="H2042" s="74" t="s">
        <v>349</v>
      </c>
      <c r="I2042" s="173">
        <v>65.900000000000006</v>
      </c>
      <c r="J2042" s="173"/>
      <c r="K2042" s="76">
        <v>47.5</v>
      </c>
      <c r="L2042" s="77"/>
      <c r="M2042" s="134">
        <v>45364</v>
      </c>
      <c r="N2042" s="134">
        <v>48285</v>
      </c>
      <c r="O2042" s="101" t="s">
        <v>19</v>
      </c>
      <c r="P2042" s="101" t="s">
        <v>1028</v>
      </c>
      <c r="Q2042" s="101" t="s">
        <v>958</v>
      </c>
      <c r="R2042" s="72" t="s">
        <v>349</v>
      </c>
      <c r="S2042" s="72"/>
    </row>
    <row r="2043" spans="1:19" ht="18.75" customHeight="1" x14ac:dyDescent="0.2">
      <c r="A2043" s="79"/>
      <c r="B2043" s="79"/>
      <c r="C2043" s="80"/>
      <c r="D2043" s="66"/>
      <c r="E2043" s="86" t="s">
        <v>21</v>
      </c>
      <c r="F2043" s="66" t="s">
        <v>2045</v>
      </c>
      <c r="G2043" s="66" t="s">
        <v>2046</v>
      </c>
      <c r="H2043" s="82" t="s">
        <v>419</v>
      </c>
      <c r="I2043" s="174">
        <v>23.9</v>
      </c>
      <c r="J2043" s="174"/>
      <c r="K2043" s="84"/>
      <c r="L2043" s="102"/>
      <c r="M2043" s="66"/>
      <c r="N2043" s="66"/>
      <c r="R2043" s="72"/>
    </row>
    <row r="2044" spans="1:19" ht="18.75" customHeight="1" x14ac:dyDescent="0.2">
      <c r="A2044" s="79"/>
      <c r="B2044" s="79"/>
      <c r="C2044" s="80"/>
      <c r="D2044" s="66"/>
      <c r="E2044" s="86" t="s">
        <v>2047</v>
      </c>
      <c r="F2044" s="66" t="s">
        <v>2048</v>
      </c>
      <c r="G2044" s="66" t="s">
        <v>2049</v>
      </c>
      <c r="H2044" s="82" t="s">
        <v>419</v>
      </c>
      <c r="I2044" s="174">
        <v>10.199999999999999</v>
      </c>
      <c r="J2044" s="174"/>
      <c r="K2044" s="84"/>
      <c r="L2044" s="102"/>
      <c r="M2044" s="66"/>
      <c r="N2044" s="66"/>
      <c r="R2044" s="72"/>
    </row>
    <row r="2045" spans="1:19" ht="18.75" customHeight="1" x14ac:dyDescent="0.2">
      <c r="A2045" s="79"/>
      <c r="B2045" s="79"/>
      <c r="C2045" s="80"/>
      <c r="D2045" s="66"/>
      <c r="E2045" s="86"/>
      <c r="F2045" s="66"/>
      <c r="G2045" s="66"/>
      <c r="H2045" s="82"/>
      <c r="I2045" s="174"/>
      <c r="J2045" s="174"/>
      <c r="K2045" s="84"/>
      <c r="L2045" s="102"/>
      <c r="M2045" s="66"/>
      <c r="N2045" s="66"/>
      <c r="R2045" s="72"/>
    </row>
    <row r="2046" spans="1:19" s="101" customFormat="1" ht="18.75" customHeight="1" x14ac:dyDescent="0.2">
      <c r="A2046" s="70">
        <v>45109</v>
      </c>
      <c r="B2046" s="70">
        <v>45123</v>
      </c>
      <c r="C2046" s="71" t="s">
        <v>2050</v>
      </c>
      <c r="D2046" s="72" t="s">
        <v>395</v>
      </c>
      <c r="E2046" s="145" t="s">
        <v>19</v>
      </c>
      <c r="F2046" s="72" t="s">
        <v>1599</v>
      </c>
      <c r="G2046" s="72" t="s">
        <v>547</v>
      </c>
      <c r="H2046" s="74" t="s">
        <v>349</v>
      </c>
      <c r="I2046" s="173">
        <v>91.6</v>
      </c>
      <c r="J2046" s="173"/>
      <c r="K2046" s="76">
        <v>38.9</v>
      </c>
      <c r="L2046" s="77"/>
      <c r="M2046" s="134">
        <v>45374</v>
      </c>
      <c r="N2046" s="134">
        <v>48295</v>
      </c>
      <c r="O2046" s="101" t="s">
        <v>19</v>
      </c>
      <c r="P2046" s="101" t="s">
        <v>1599</v>
      </c>
      <c r="Q2046" s="101" t="s">
        <v>547</v>
      </c>
      <c r="R2046" s="72" t="s">
        <v>349</v>
      </c>
      <c r="S2046" s="72"/>
    </row>
    <row r="2047" spans="1:19" ht="18.75" customHeight="1" x14ac:dyDescent="0.2">
      <c r="A2047" s="79"/>
      <c r="B2047" s="79"/>
      <c r="C2047" s="80"/>
      <c r="D2047" s="66"/>
      <c r="E2047" s="86"/>
      <c r="F2047" s="66"/>
      <c r="G2047" s="66"/>
      <c r="H2047" s="82"/>
      <c r="I2047" s="174"/>
      <c r="J2047" s="174"/>
      <c r="K2047" s="84"/>
      <c r="L2047" s="102"/>
      <c r="M2047" s="66"/>
      <c r="N2047" s="66"/>
      <c r="R2047" s="72"/>
    </row>
    <row r="2048" spans="1:19" s="101" customFormat="1" ht="18.75" customHeight="1" x14ac:dyDescent="0.2">
      <c r="A2048" s="70">
        <v>45200</v>
      </c>
      <c r="B2048" s="70">
        <v>45214</v>
      </c>
      <c r="C2048" s="71" t="s">
        <v>2051</v>
      </c>
      <c r="D2048" s="72" t="s">
        <v>834</v>
      </c>
      <c r="E2048" s="145" t="s">
        <v>1580</v>
      </c>
      <c r="F2048" s="72" t="s">
        <v>1580</v>
      </c>
      <c r="G2048" s="72" t="s">
        <v>1304</v>
      </c>
      <c r="H2048" s="74" t="s">
        <v>349</v>
      </c>
      <c r="I2048" s="173">
        <v>91.5</v>
      </c>
      <c r="J2048" s="173"/>
      <c r="K2048" s="76">
        <v>33.799999999999997</v>
      </c>
      <c r="L2048" s="77"/>
      <c r="M2048" s="134">
        <v>45323</v>
      </c>
      <c r="N2048" s="72" t="s">
        <v>2052</v>
      </c>
      <c r="O2048" s="101" t="s">
        <v>19</v>
      </c>
      <c r="P2048" s="101" t="s">
        <v>1580</v>
      </c>
      <c r="Q2048" s="101" t="s">
        <v>2053</v>
      </c>
      <c r="R2048" s="72" t="s">
        <v>349</v>
      </c>
      <c r="S2048" s="72"/>
    </row>
    <row r="2049" spans="1:19" ht="18.75" customHeight="1" x14ac:dyDescent="0.2">
      <c r="A2049" s="79"/>
      <c r="B2049" s="79"/>
      <c r="C2049" s="80"/>
      <c r="D2049" s="66"/>
      <c r="E2049" s="86"/>
      <c r="F2049" s="66"/>
      <c r="G2049" s="66"/>
      <c r="H2049" s="82"/>
      <c r="I2049" s="174"/>
      <c r="J2049" s="174"/>
      <c r="K2049" s="84"/>
      <c r="L2049" s="102"/>
      <c r="M2049" s="66"/>
      <c r="N2049" s="66"/>
      <c r="R2049" s="72"/>
    </row>
    <row r="2050" spans="1:19" s="101" customFormat="1" ht="18.75" customHeight="1" x14ac:dyDescent="0.2">
      <c r="A2050" s="70">
        <v>45235</v>
      </c>
      <c r="B2050" s="70">
        <v>45249</v>
      </c>
      <c r="C2050" s="71" t="s">
        <v>2054</v>
      </c>
      <c r="D2050" s="72" t="s">
        <v>390</v>
      </c>
      <c r="E2050" s="145" t="s">
        <v>19</v>
      </c>
      <c r="F2050" s="72" t="s">
        <v>2055</v>
      </c>
      <c r="G2050" s="72" t="s">
        <v>516</v>
      </c>
      <c r="H2050" s="74" t="s">
        <v>349</v>
      </c>
      <c r="I2050" s="173">
        <v>86.5</v>
      </c>
      <c r="J2050" s="173"/>
      <c r="K2050" s="76">
        <v>35.799999999999997</v>
      </c>
      <c r="L2050" s="77"/>
      <c r="M2050" s="134">
        <v>45413</v>
      </c>
      <c r="N2050" s="134">
        <v>48334</v>
      </c>
      <c r="O2050" s="101" t="s">
        <v>19</v>
      </c>
      <c r="P2050" s="101" t="s">
        <v>1598</v>
      </c>
      <c r="Q2050" s="101" t="s">
        <v>389</v>
      </c>
      <c r="R2050" s="72" t="s">
        <v>349</v>
      </c>
      <c r="S2050" s="72"/>
    </row>
    <row r="2051" spans="1:19" ht="18.75" customHeight="1" x14ac:dyDescent="0.2">
      <c r="A2051" s="79"/>
      <c r="B2051" s="79"/>
      <c r="C2051" s="80"/>
      <c r="D2051" s="66"/>
      <c r="E2051" s="86"/>
      <c r="F2051" s="66"/>
      <c r="G2051" s="66"/>
      <c r="H2051" s="82"/>
      <c r="I2051" s="174"/>
      <c r="J2051" s="174"/>
      <c r="K2051" s="84"/>
      <c r="L2051" s="102"/>
      <c r="M2051" s="66"/>
      <c r="N2051" s="66"/>
      <c r="R2051" s="72"/>
    </row>
    <row r="2052" spans="1:19" s="101" customFormat="1" ht="18.75" customHeight="1" x14ac:dyDescent="0.2">
      <c r="A2052" s="70">
        <v>45235</v>
      </c>
      <c r="B2052" s="70">
        <v>45249</v>
      </c>
      <c r="C2052" s="71" t="s">
        <v>2056</v>
      </c>
      <c r="D2052" s="72" t="s">
        <v>944</v>
      </c>
      <c r="E2052" s="145" t="s">
        <v>55</v>
      </c>
      <c r="F2052" s="72" t="s">
        <v>1584</v>
      </c>
      <c r="G2052" s="72" t="s">
        <v>477</v>
      </c>
      <c r="H2052" s="74" t="s">
        <v>349</v>
      </c>
      <c r="I2052" s="173">
        <v>50.2</v>
      </c>
      <c r="J2052" s="173"/>
      <c r="K2052" s="76">
        <v>50.5</v>
      </c>
      <c r="L2052" s="77"/>
      <c r="M2052" s="134">
        <v>45352</v>
      </c>
      <c r="N2052" s="134">
        <v>48302</v>
      </c>
      <c r="O2052" s="101" t="s">
        <v>55</v>
      </c>
      <c r="P2052" s="101" t="s">
        <v>1584</v>
      </c>
      <c r="Q2052" s="101" t="s">
        <v>477</v>
      </c>
      <c r="R2052" s="72" t="s">
        <v>349</v>
      </c>
      <c r="S2052" s="72"/>
    </row>
    <row r="2053" spans="1:19" ht="18.75" customHeight="1" x14ac:dyDescent="0.2">
      <c r="A2053" s="79"/>
      <c r="B2053" s="79"/>
      <c r="C2053" s="80"/>
      <c r="D2053" s="66"/>
      <c r="E2053" s="86" t="s">
        <v>19</v>
      </c>
      <c r="F2053" s="66" t="s">
        <v>2057</v>
      </c>
      <c r="G2053" s="66" t="s">
        <v>476</v>
      </c>
      <c r="H2053" s="82" t="s">
        <v>349</v>
      </c>
      <c r="I2053" s="174">
        <v>49.8</v>
      </c>
      <c r="J2053" s="174"/>
      <c r="K2053" s="84"/>
      <c r="L2053" s="102"/>
      <c r="M2053" s="66"/>
      <c r="N2053" s="66"/>
      <c r="R2053" s="72"/>
    </row>
    <row r="2054" spans="1:19" ht="18.75" customHeight="1" x14ac:dyDescent="0.2">
      <c r="A2054" s="79"/>
      <c r="B2054" s="79"/>
      <c r="C2054" s="80"/>
      <c r="D2054" s="66"/>
      <c r="E2054" s="86"/>
      <c r="F2054" s="66"/>
      <c r="G2054" s="66"/>
      <c r="H2054" s="82"/>
      <c r="I2054" s="174"/>
      <c r="J2054" s="174"/>
      <c r="K2054" s="84"/>
      <c r="L2054" s="102"/>
      <c r="M2054" s="66"/>
      <c r="N2054" s="66"/>
      <c r="R2054" s="72"/>
    </row>
    <row r="2055" spans="1:19" s="101" customFormat="1" ht="18.75" customHeight="1" x14ac:dyDescent="0.2">
      <c r="A2055" s="70">
        <v>45452</v>
      </c>
      <c r="B2055" s="70">
        <v>45466</v>
      </c>
      <c r="C2055" s="71" t="s">
        <v>2058</v>
      </c>
      <c r="D2055" s="72" t="s">
        <v>689</v>
      </c>
      <c r="E2055" s="145" t="s">
        <v>19</v>
      </c>
      <c r="F2055" s="72" t="s">
        <v>2059</v>
      </c>
      <c r="G2055" s="72" t="s">
        <v>1005</v>
      </c>
      <c r="H2055" s="74" t="s">
        <v>349</v>
      </c>
      <c r="I2055" s="173">
        <v>78.5</v>
      </c>
      <c r="J2055" s="173"/>
      <c r="K2055" s="76">
        <v>63.2</v>
      </c>
      <c r="L2055" s="77"/>
      <c r="M2055" s="134">
        <v>45482</v>
      </c>
      <c r="N2055" s="134">
        <v>48403</v>
      </c>
      <c r="O2055" s="101" t="s">
        <v>21</v>
      </c>
      <c r="P2055" s="101" t="s">
        <v>2060</v>
      </c>
      <c r="Q2055" s="101" t="s">
        <v>444</v>
      </c>
      <c r="R2055" s="72" t="s">
        <v>349</v>
      </c>
      <c r="S2055" s="72"/>
    </row>
    <row r="2056" spans="1:19" ht="18.75" customHeight="1" x14ac:dyDescent="0.2">
      <c r="A2056" s="79"/>
      <c r="B2056" s="79"/>
      <c r="C2056" s="80"/>
      <c r="D2056" s="66"/>
      <c r="E2056" s="86"/>
      <c r="F2056" s="66"/>
      <c r="G2056" s="66"/>
      <c r="H2056" s="82"/>
      <c r="I2056" s="174"/>
      <c r="J2056" s="174"/>
      <c r="K2056" s="84"/>
      <c r="L2056" s="102"/>
      <c r="M2056" s="66"/>
      <c r="N2056" s="66"/>
      <c r="R2056" s="72"/>
    </row>
    <row r="2057" spans="1:19" s="101" customFormat="1" ht="18.75" customHeight="1" x14ac:dyDescent="0.2">
      <c r="A2057" s="70">
        <v>45452</v>
      </c>
      <c r="B2057" s="70">
        <v>45466</v>
      </c>
      <c r="C2057" s="71" t="s">
        <v>1266</v>
      </c>
      <c r="D2057" s="72" t="s">
        <v>836</v>
      </c>
      <c r="E2057" s="145" t="s">
        <v>289</v>
      </c>
      <c r="F2057" s="72" t="s">
        <v>1587</v>
      </c>
      <c r="G2057" s="72" t="s">
        <v>444</v>
      </c>
      <c r="H2057" s="74" t="s">
        <v>349</v>
      </c>
      <c r="I2057" s="173">
        <v>56.4</v>
      </c>
      <c r="J2057" s="173"/>
      <c r="K2057" s="76">
        <v>65.5</v>
      </c>
      <c r="L2057" s="77"/>
      <c r="M2057" s="134">
        <v>45524</v>
      </c>
      <c r="N2057" s="134">
        <v>48445</v>
      </c>
      <c r="O2057" s="101" t="s">
        <v>289</v>
      </c>
      <c r="P2057" s="101" t="s">
        <v>1587</v>
      </c>
      <c r="Q2057" s="101" t="s">
        <v>444</v>
      </c>
      <c r="R2057" s="72" t="s">
        <v>349</v>
      </c>
      <c r="S2057" s="72"/>
    </row>
    <row r="2058" spans="1:19" ht="18.75" customHeight="1" x14ac:dyDescent="0.2">
      <c r="A2058" s="79"/>
      <c r="B2058" s="79"/>
      <c r="C2058" s="80"/>
      <c r="D2058" s="66"/>
      <c r="E2058" s="86" t="s">
        <v>21</v>
      </c>
      <c r="F2058" s="66" t="s">
        <v>2061</v>
      </c>
      <c r="G2058" s="66" t="s">
        <v>1170</v>
      </c>
      <c r="H2058" s="82" t="s">
        <v>349</v>
      </c>
      <c r="I2058" s="174">
        <v>43.6</v>
      </c>
      <c r="J2058" s="174"/>
      <c r="K2058" s="84"/>
      <c r="L2058" s="102"/>
      <c r="M2058" s="66"/>
      <c r="N2058" s="66"/>
      <c r="R2058" s="72"/>
    </row>
    <row r="2059" spans="1:19" ht="18.75" customHeight="1" x14ac:dyDescent="0.2">
      <c r="A2059" s="79"/>
      <c r="B2059" s="79"/>
      <c r="C2059" s="80"/>
      <c r="D2059" s="66"/>
      <c r="E2059" s="86"/>
      <c r="F2059" s="66"/>
      <c r="G2059" s="66"/>
      <c r="H2059" s="82"/>
      <c r="I2059" s="174"/>
      <c r="J2059" s="174"/>
      <c r="K2059" s="84"/>
      <c r="L2059" s="102"/>
      <c r="M2059" s="66"/>
      <c r="N2059" s="66"/>
      <c r="R2059" s="72"/>
    </row>
    <row r="2060" spans="1:19" s="101" customFormat="1" ht="18.75" customHeight="1" x14ac:dyDescent="0.2">
      <c r="A2060" s="70">
        <v>45452</v>
      </c>
      <c r="B2060" s="70">
        <v>45466</v>
      </c>
      <c r="C2060" s="71" t="s">
        <v>2062</v>
      </c>
      <c r="D2060" s="72" t="s">
        <v>139</v>
      </c>
      <c r="E2060" s="145" t="s">
        <v>289</v>
      </c>
      <c r="F2060" s="72" t="s">
        <v>1595</v>
      </c>
      <c r="G2060" s="72" t="s">
        <v>469</v>
      </c>
      <c r="H2060" s="74" t="s">
        <v>349</v>
      </c>
      <c r="I2060" s="173">
        <v>45.2</v>
      </c>
      <c r="J2060" s="173">
        <v>64</v>
      </c>
      <c r="K2060" s="76">
        <v>64.400000000000006</v>
      </c>
      <c r="L2060" s="76">
        <v>42</v>
      </c>
      <c r="M2060" s="134">
        <v>45580</v>
      </c>
      <c r="N2060" s="134">
        <v>48501</v>
      </c>
      <c r="O2060" s="101" t="s">
        <v>1591</v>
      </c>
      <c r="P2060" s="101" t="s">
        <v>1265</v>
      </c>
      <c r="Q2060" s="101" t="s">
        <v>444</v>
      </c>
      <c r="R2060" s="72" t="s">
        <v>349</v>
      </c>
      <c r="S2060" s="72"/>
    </row>
    <row r="2061" spans="1:19" ht="18.75" customHeight="1" x14ac:dyDescent="0.2">
      <c r="A2061" s="79"/>
      <c r="B2061" s="79"/>
      <c r="C2061" s="80"/>
      <c r="D2061" s="66"/>
      <c r="E2061" s="86" t="s">
        <v>19</v>
      </c>
      <c r="F2061" s="66" t="s">
        <v>541</v>
      </c>
      <c r="G2061" s="66" t="s">
        <v>1592</v>
      </c>
      <c r="H2061" s="82" t="s">
        <v>349</v>
      </c>
      <c r="I2061" s="174">
        <v>29</v>
      </c>
      <c r="J2061" s="174">
        <v>36</v>
      </c>
      <c r="K2061" s="84"/>
      <c r="L2061" s="102"/>
      <c r="M2061" s="66"/>
      <c r="N2061" s="66"/>
      <c r="R2061" s="72"/>
    </row>
    <row r="2062" spans="1:19" ht="18.75" customHeight="1" x14ac:dyDescent="0.2">
      <c r="A2062" s="79"/>
      <c r="B2062" s="79"/>
      <c r="C2062" s="80"/>
      <c r="D2062" s="66"/>
      <c r="E2062" s="86" t="s">
        <v>21</v>
      </c>
      <c r="F2062" s="66" t="s">
        <v>2063</v>
      </c>
      <c r="G2062" s="66" t="s">
        <v>1446</v>
      </c>
      <c r="H2062" s="82" t="s">
        <v>349</v>
      </c>
      <c r="I2062" s="174">
        <v>25.8</v>
      </c>
      <c r="J2062" s="174"/>
      <c r="K2062" s="84"/>
      <c r="L2062" s="102"/>
      <c r="M2062" s="66"/>
      <c r="N2062" s="66"/>
      <c r="R2062" s="72"/>
    </row>
    <row r="2063" spans="1:19" ht="18.75" customHeight="1" x14ac:dyDescent="0.2">
      <c r="A2063" s="79"/>
      <c r="B2063" s="79"/>
      <c r="C2063" s="80"/>
      <c r="D2063" s="66"/>
      <c r="E2063" s="86"/>
      <c r="F2063" s="66"/>
      <c r="G2063" s="66"/>
      <c r="H2063" s="82"/>
      <c r="I2063" s="174"/>
      <c r="J2063" s="174"/>
      <c r="K2063" s="84"/>
      <c r="L2063" s="102"/>
      <c r="M2063" s="66"/>
      <c r="N2063" s="66"/>
      <c r="R2063" s="72"/>
    </row>
    <row r="2064" spans="1:19" s="101" customFormat="1" ht="18.75" customHeight="1" x14ac:dyDescent="0.2">
      <c r="A2064" s="70">
        <v>45452</v>
      </c>
      <c r="B2064" s="70">
        <v>45466</v>
      </c>
      <c r="C2064" s="71" t="s">
        <v>2064</v>
      </c>
      <c r="D2064" s="72" t="s">
        <v>1615</v>
      </c>
      <c r="E2064" s="145" t="s">
        <v>19</v>
      </c>
      <c r="F2064" s="72" t="s">
        <v>1616</v>
      </c>
      <c r="G2064" s="72" t="s">
        <v>899</v>
      </c>
      <c r="H2064" s="74" t="s">
        <v>349</v>
      </c>
      <c r="I2064" s="173">
        <v>70.7</v>
      </c>
      <c r="J2064" s="173"/>
      <c r="K2064" s="76">
        <v>69.599999999999994</v>
      </c>
      <c r="L2064" s="77"/>
      <c r="M2064" s="134">
        <v>45658</v>
      </c>
      <c r="N2064" s="134">
        <v>48579</v>
      </c>
      <c r="O2064" s="101" t="s">
        <v>19</v>
      </c>
      <c r="P2064" s="101" t="s">
        <v>1616</v>
      </c>
      <c r="Q2064" s="101" t="s">
        <v>899</v>
      </c>
      <c r="R2064" s="72" t="s">
        <v>349</v>
      </c>
      <c r="S2064" s="72"/>
    </row>
    <row r="2065" spans="1:19" ht="18.75" customHeight="1" x14ac:dyDescent="0.2">
      <c r="A2065" s="79"/>
      <c r="B2065" s="79"/>
      <c r="C2065" s="80"/>
      <c r="D2065" s="66"/>
      <c r="E2065" s="86" t="s">
        <v>21</v>
      </c>
      <c r="F2065" s="66" t="s">
        <v>2065</v>
      </c>
      <c r="G2065" s="66" t="s">
        <v>2066</v>
      </c>
      <c r="H2065" s="82" t="s">
        <v>419</v>
      </c>
      <c r="I2065" s="174">
        <v>29.2</v>
      </c>
      <c r="J2065" s="174"/>
      <c r="K2065" s="84"/>
      <c r="L2065" s="102"/>
      <c r="M2065" s="66"/>
      <c r="N2065" s="66"/>
      <c r="R2065" s="72"/>
    </row>
    <row r="2066" spans="1:19" ht="18.75" customHeight="1" x14ac:dyDescent="0.2">
      <c r="A2066" s="79"/>
      <c r="B2066" s="79"/>
      <c r="C2066" s="80"/>
      <c r="D2066" s="66"/>
      <c r="E2066" s="86"/>
      <c r="F2066" s="66"/>
      <c r="G2066" s="66"/>
      <c r="H2066" s="82"/>
      <c r="I2066" s="174"/>
      <c r="J2066" s="174"/>
      <c r="K2066" s="84"/>
      <c r="L2066" s="102"/>
      <c r="M2066" s="66"/>
      <c r="N2066" s="66"/>
      <c r="R2066" s="72"/>
    </row>
    <row r="2067" spans="1:19" s="101" customFormat="1" ht="18.75" customHeight="1" x14ac:dyDescent="0.2">
      <c r="A2067" s="70">
        <v>45452</v>
      </c>
      <c r="B2067" s="70">
        <v>45466</v>
      </c>
      <c r="C2067" s="71" t="s">
        <v>1809</v>
      </c>
      <c r="D2067" s="72" t="s">
        <v>664</v>
      </c>
      <c r="E2067" s="145" t="s">
        <v>2067</v>
      </c>
      <c r="F2067" s="72" t="s">
        <v>2068</v>
      </c>
      <c r="G2067" s="72" t="s">
        <v>392</v>
      </c>
      <c r="H2067" s="74" t="s">
        <v>349</v>
      </c>
      <c r="I2067" s="173">
        <v>47.8</v>
      </c>
      <c r="J2067" s="173">
        <v>60.5</v>
      </c>
      <c r="K2067" s="76">
        <v>69.5</v>
      </c>
      <c r="L2067" s="77">
        <v>52.1</v>
      </c>
      <c r="M2067" s="72" t="s">
        <v>2069</v>
      </c>
      <c r="N2067" s="72" t="s">
        <v>2070</v>
      </c>
      <c r="O2067" s="101" t="s">
        <v>19</v>
      </c>
      <c r="P2067" s="101" t="s">
        <v>1810</v>
      </c>
      <c r="Q2067" s="101" t="s">
        <v>604</v>
      </c>
      <c r="R2067" s="72" t="s">
        <v>419</v>
      </c>
      <c r="S2067" s="72"/>
    </row>
    <row r="2068" spans="1:19" ht="18.75" customHeight="1" x14ac:dyDescent="0.2">
      <c r="A2068" s="79"/>
      <c r="B2068" s="79"/>
      <c r="C2068" s="80"/>
      <c r="D2068" s="66"/>
      <c r="E2068" s="86" t="s">
        <v>21</v>
      </c>
      <c r="F2068" s="66" t="s">
        <v>1181</v>
      </c>
      <c r="G2068" s="66" t="s">
        <v>2071</v>
      </c>
      <c r="H2068" s="82" t="s">
        <v>419</v>
      </c>
      <c r="I2068" s="174">
        <v>35.9</v>
      </c>
      <c r="J2068" s="174">
        <v>39.5</v>
      </c>
      <c r="K2068" s="84"/>
      <c r="L2068" s="102"/>
      <c r="M2068" s="66"/>
      <c r="N2068" s="66"/>
      <c r="R2068" s="72"/>
    </row>
    <row r="2069" spans="1:19" ht="18.75" customHeight="1" x14ac:dyDescent="0.2">
      <c r="A2069" s="79"/>
      <c r="B2069" s="79"/>
      <c r="C2069" s="80"/>
      <c r="D2069" s="66"/>
      <c r="E2069" s="86" t="s">
        <v>210</v>
      </c>
      <c r="F2069" s="66" t="s">
        <v>870</v>
      </c>
      <c r="G2069" s="66" t="s">
        <v>2072</v>
      </c>
      <c r="H2069" s="82" t="s">
        <v>349</v>
      </c>
      <c r="I2069" s="174">
        <v>10.4</v>
      </c>
      <c r="J2069" s="174"/>
      <c r="K2069" s="84"/>
      <c r="L2069" s="102"/>
      <c r="M2069" s="66"/>
      <c r="N2069" s="66"/>
      <c r="R2069" s="72"/>
    </row>
    <row r="2070" spans="1:19" ht="18.75" customHeight="1" x14ac:dyDescent="0.2">
      <c r="A2070" s="79"/>
      <c r="B2070" s="79"/>
      <c r="C2070" s="80"/>
      <c r="D2070" s="66"/>
      <c r="E2070" s="86" t="s">
        <v>289</v>
      </c>
      <c r="F2070" s="66" t="s">
        <v>2073</v>
      </c>
      <c r="G2070" s="66" t="s">
        <v>2074</v>
      </c>
      <c r="H2070" s="82" t="s">
        <v>349</v>
      </c>
      <c r="I2070" s="174">
        <v>5.8</v>
      </c>
      <c r="J2070" s="174"/>
      <c r="K2070" s="84"/>
      <c r="L2070" s="102"/>
      <c r="M2070" s="66"/>
      <c r="N2070" s="66"/>
      <c r="R2070" s="72"/>
    </row>
    <row r="2071" spans="1:19" ht="18.75" customHeight="1" x14ac:dyDescent="0.2">
      <c r="A2071" s="79"/>
      <c r="B2071" s="79"/>
      <c r="C2071" s="80"/>
      <c r="D2071" s="66"/>
      <c r="E2071" s="86"/>
      <c r="F2071" s="66"/>
      <c r="G2071" s="66"/>
      <c r="H2071" s="82"/>
      <c r="I2071" s="174"/>
      <c r="J2071" s="174"/>
      <c r="K2071" s="84"/>
      <c r="L2071" s="102"/>
      <c r="M2071" s="66"/>
      <c r="N2071" s="66"/>
      <c r="R2071" s="72"/>
    </row>
    <row r="2072" spans="1:19" s="101" customFormat="1" ht="18.75" customHeight="1" x14ac:dyDescent="0.2">
      <c r="A2072" s="70">
        <v>45452</v>
      </c>
      <c r="B2072" s="70">
        <v>45466</v>
      </c>
      <c r="C2072" s="71" t="s">
        <v>1916</v>
      </c>
      <c r="D2072" s="72" t="s">
        <v>1502</v>
      </c>
      <c r="E2072" s="145" t="s">
        <v>1829</v>
      </c>
      <c r="F2072" s="72" t="s">
        <v>1829</v>
      </c>
      <c r="G2072" s="72" t="s">
        <v>2075</v>
      </c>
      <c r="H2072" s="74" t="s">
        <v>419</v>
      </c>
      <c r="I2072" s="173">
        <v>54.7</v>
      </c>
      <c r="J2072" s="173"/>
      <c r="K2072" s="76">
        <v>59.3</v>
      </c>
      <c r="L2072" s="77"/>
      <c r="M2072" s="134">
        <v>45485</v>
      </c>
      <c r="N2072" s="134">
        <v>48406</v>
      </c>
      <c r="O2072" s="101" t="s">
        <v>19</v>
      </c>
      <c r="P2072" s="101" t="s">
        <v>291</v>
      </c>
      <c r="Q2072" s="101" t="s">
        <v>1319</v>
      </c>
      <c r="R2072" s="72" t="s">
        <v>349</v>
      </c>
      <c r="S2072" s="72"/>
    </row>
    <row r="2073" spans="1:19" ht="18.75" customHeight="1" x14ac:dyDescent="0.2">
      <c r="A2073" s="79"/>
      <c r="B2073" s="79"/>
      <c r="C2073" s="80"/>
      <c r="D2073" s="66"/>
      <c r="E2073" s="86" t="s">
        <v>289</v>
      </c>
      <c r="F2073" s="66" t="s">
        <v>2076</v>
      </c>
      <c r="G2073" s="66" t="s">
        <v>2002</v>
      </c>
      <c r="H2073" s="82" t="s">
        <v>419</v>
      </c>
      <c r="I2073" s="174">
        <v>25.1</v>
      </c>
      <c r="J2073" s="174"/>
      <c r="K2073" s="84"/>
      <c r="L2073" s="102"/>
      <c r="M2073" s="66"/>
      <c r="N2073" s="66"/>
      <c r="R2073" s="72"/>
    </row>
    <row r="2074" spans="1:19" ht="18.75" customHeight="1" x14ac:dyDescent="0.2">
      <c r="A2074" s="79"/>
      <c r="B2074" s="79"/>
      <c r="C2074" s="80"/>
      <c r="D2074" s="66"/>
      <c r="E2074" s="86" t="s">
        <v>2077</v>
      </c>
      <c r="F2074" s="66" t="s">
        <v>2077</v>
      </c>
      <c r="G2074" s="66" t="s">
        <v>728</v>
      </c>
      <c r="H2074" s="82" t="s">
        <v>419</v>
      </c>
      <c r="I2074" s="174">
        <v>20.100000000000001</v>
      </c>
      <c r="J2074" s="174"/>
      <c r="K2074" s="84"/>
      <c r="L2074" s="102"/>
      <c r="M2074" s="66"/>
      <c r="N2074" s="66"/>
      <c r="R2074" s="72"/>
    </row>
    <row r="2075" spans="1:19" ht="18.75" customHeight="1" x14ac:dyDescent="0.2">
      <c r="A2075" s="79"/>
      <c r="B2075" s="79"/>
      <c r="C2075" s="80"/>
      <c r="D2075" s="66"/>
      <c r="E2075" s="86"/>
      <c r="F2075" s="66"/>
      <c r="G2075" s="66"/>
      <c r="H2075" s="82"/>
      <c r="I2075" s="174"/>
      <c r="J2075" s="174"/>
      <c r="K2075" s="84"/>
      <c r="L2075" s="102"/>
      <c r="M2075" s="66"/>
      <c r="N2075" s="66"/>
      <c r="R2075" s="72"/>
    </row>
    <row r="2076" spans="1:19" s="101" customFormat="1" ht="18.75" customHeight="1" x14ac:dyDescent="0.2">
      <c r="A2076" s="70">
        <v>45606</v>
      </c>
      <c r="B2076" s="70">
        <v>45620</v>
      </c>
      <c r="C2076" s="71" t="s">
        <v>2078</v>
      </c>
      <c r="D2076" s="72" t="s">
        <v>863</v>
      </c>
      <c r="E2076" s="145" t="s">
        <v>21</v>
      </c>
      <c r="F2076" s="72" t="s">
        <v>2079</v>
      </c>
      <c r="G2076" s="72" t="s">
        <v>1860</v>
      </c>
      <c r="H2076" s="74" t="s">
        <v>349</v>
      </c>
      <c r="I2076" s="173">
        <v>50.8</v>
      </c>
      <c r="J2076" s="173"/>
      <c r="K2076" s="76">
        <v>45.7</v>
      </c>
      <c r="L2076" s="77"/>
      <c r="M2076" s="134">
        <v>45748</v>
      </c>
      <c r="N2076" s="134">
        <v>48669</v>
      </c>
      <c r="O2076" s="101" t="s">
        <v>21</v>
      </c>
      <c r="P2076" s="101" t="s">
        <v>1280</v>
      </c>
      <c r="Q2076" s="101" t="s">
        <v>695</v>
      </c>
      <c r="R2076" s="72" t="s">
        <v>349</v>
      </c>
      <c r="S2076" s="72"/>
    </row>
    <row r="2077" spans="1:19" ht="18.75" customHeight="1" x14ac:dyDescent="0.2">
      <c r="A2077" s="79"/>
      <c r="B2077" s="79"/>
      <c r="C2077" s="80"/>
      <c r="D2077" s="66"/>
      <c r="E2077" s="86" t="s">
        <v>1243</v>
      </c>
      <c r="F2077" s="66" t="s">
        <v>2080</v>
      </c>
      <c r="G2077" s="66" t="s">
        <v>915</v>
      </c>
      <c r="H2077" s="82" t="s">
        <v>349</v>
      </c>
      <c r="I2077" s="174">
        <v>49.2</v>
      </c>
      <c r="J2077" s="174"/>
      <c r="K2077" s="84"/>
      <c r="L2077" s="102"/>
      <c r="M2077" s="66"/>
      <c r="N2077" s="66"/>
      <c r="R2077" s="72"/>
    </row>
    <row r="2078" spans="1:19" ht="18.75" customHeight="1" x14ac:dyDescent="0.2">
      <c r="A2078" s="79"/>
      <c r="B2078" s="79"/>
      <c r="C2078" s="80"/>
      <c r="D2078" s="66"/>
      <c r="E2078" s="86"/>
      <c r="F2078" s="66"/>
      <c r="G2078" s="66"/>
      <c r="H2078" s="82"/>
      <c r="I2078" s="174"/>
      <c r="J2078" s="174"/>
      <c r="K2078" s="84"/>
      <c r="L2078" s="102"/>
      <c r="M2078" s="66"/>
      <c r="N2078" s="66"/>
      <c r="R2078" s="72"/>
    </row>
    <row r="2079" spans="1:19" s="101" customFormat="1" ht="18.75" customHeight="1" x14ac:dyDescent="0.2">
      <c r="A2079" s="70">
        <v>45620</v>
      </c>
      <c r="B2079" s="70">
        <v>45634</v>
      </c>
      <c r="C2079" s="71" t="s">
        <v>1613</v>
      </c>
      <c r="D2079" s="72" t="s">
        <v>878</v>
      </c>
      <c r="E2079" s="145" t="s">
        <v>1614</v>
      </c>
      <c r="F2079" s="72" t="s">
        <v>1614</v>
      </c>
      <c r="G2079" s="72" t="s">
        <v>1446</v>
      </c>
      <c r="H2079" s="74" t="s">
        <v>349</v>
      </c>
      <c r="I2079" s="173">
        <v>52.6</v>
      </c>
      <c r="J2079" s="173"/>
      <c r="K2079" s="76">
        <v>51.3</v>
      </c>
      <c r="L2079" s="77"/>
      <c r="M2079" s="134">
        <v>45748</v>
      </c>
      <c r="N2079" s="134">
        <v>48669</v>
      </c>
      <c r="O2079" s="101" t="s">
        <v>19</v>
      </c>
      <c r="P2079" s="101" t="s">
        <v>1614</v>
      </c>
      <c r="Q2079" s="101" t="s">
        <v>383</v>
      </c>
      <c r="R2079" s="72" t="s">
        <v>349</v>
      </c>
      <c r="S2079" s="72"/>
    </row>
    <row r="2080" spans="1:19" ht="18.75" customHeight="1" x14ac:dyDescent="0.2">
      <c r="A2080" s="79"/>
      <c r="B2080" s="79"/>
      <c r="C2080" s="80"/>
      <c r="D2080" s="66"/>
      <c r="E2080" s="86" t="s">
        <v>19</v>
      </c>
      <c r="F2080" s="66" t="s">
        <v>1614</v>
      </c>
      <c r="G2080" s="66" t="s">
        <v>383</v>
      </c>
      <c r="H2080" s="82" t="s">
        <v>349</v>
      </c>
      <c r="I2080" s="174">
        <v>47.4</v>
      </c>
      <c r="J2080" s="174"/>
      <c r="K2080" s="84"/>
      <c r="L2080" s="102"/>
      <c r="M2080" s="66"/>
      <c r="N2080" s="66"/>
      <c r="R2080" s="72"/>
    </row>
    <row r="2081" spans="1:19" ht="18.75" customHeight="1" x14ac:dyDescent="0.2">
      <c r="A2081" s="79"/>
      <c r="B2081" s="79"/>
      <c r="C2081" s="80"/>
      <c r="D2081" s="66"/>
      <c r="E2081" s="86"/>
      <c r="F2081" s="66"/>
      <c r="G2081" s="66"/>
      <c r="H2081" s="82"/>
      <c r="I2081" s="174"/>
      <c r="J2081" s="174"/>
      <c r="K2081" s="84"/>
      <c r="L2081" s="102"/>
      <c r="M2081" s="66"/>
      <c r="N2081" s="66"/>
      <c r="R2081" s="72"/>
    </row>
    <row r="2082" spans="1:19" s="101" customFormat="1" ht="18.75" customHeight="1" x14ac:dyDescent="0.2">
      <c r="A2082" s="70">
        <v>45711</v>
      </c>
      <c r="B2082" s="70">
        <v>45725</v>
      </c>
      <c r="C2082" s="71" t="s">
        <v>1631</v>
      </c>
      <c r="D2082" s="72" t="s">
        <v>904</v>
      </c>
      <c r="E2082" s="145" t="s">
        <v>2081</v>
      </c>
      <c r="F2082" s="72" t="s">
        <v>2081</v>
      </c>
      <c r="G2082" s="72" t="s">
        <v>2082</v>
      </c>
      <c r="H2082" s="74" t="s">
        <v>349</v>
      </c>
      <c r="I2082" s="173">
        <v>81.400000000000006</v>
      </c>
      <c r="J2082" s="173"/>
      <c r="K2082" s="76">
        <v>74.5</v>
      </c>
      <c r="L2082" s="77"/>
      <c r="M2082" s="134">
        <v>45870</v>
      </c>
      <c r="N2082" s="134">
        <v>48791</v>
      </c>
      <c r="O2082" s="101" t="s">
        <v>533</v>
      </c>
      <c r="P2082" s="101" t="s">
        <v>533</v>
      </c>
      <c r="Q2082" s="101" t="s">
        <v>1311</v>
      </c>
      <c r="R2082" s="72" t="s">
        <v>349</v>
      </c>
      <c r="S2082" s="72"/>
    </row>
    <row r="2083" spans="1:19" ht="18.75" customHeight="1" x14ac:dyDescent="0.2">
      <c r="A2083" s="79"/>
      <c r="B2083" s="79"/>
      <c r="C2083" s="80"/>
      <c r="D2083" s="66"/>
      <c r="E2083" s="86"/>
      <c r="F2083" s="66"/>
      <c r="G2083" s="66"/>
      <c r="H2083" s="82"/>
      <c r="I2083" s="174"/>
      <c r="J2083" s="174"/>
      <c r="K2083" s="84"/>
      <c r="L2083" s="102"/>
      <c r="M2083" s="66"/>
      <c r="N2083" s="66"/>
      <c r="R2083" s="72"/>
    </row>
    <row r="2084" spans="1:19" s="101" customFormat="1" ht="18.75" customHeight="1" x14ac:dyDescent="0.2">
      <c r="A2084" s="70">
        <v>45711</v>
      </c>
      <c r="B2084" s="70">
        <v>45732</v>
      </c>
      <c r="C2084" s="71" t="s">
        <v>1621</v>
      </c>
      <c r="D2084" s="72" t="s">
        <v>566</v>
      </c>
      <c r="E2084" s="145" t="s">
        <v>2083</v>
      </c>
      <c r="F2084" s="72" t="s">
        <v>2083</v>
      </c>
      <c r="G2084" s="72" t="s">
        <v>2084</v>
      </c>
      <c r="H2084" s="74" t="s">
        <v>349</v>
      </c>
      <c r="I2084" s="173">
        <v>52.3</v>
      </c>
      <c r="J2084" s="173"/>
      <c r="K2084" s="76">
        <v>83.4</v>
      </c>
      <c r="L2084" s="77"/>
      <c r="M2084" s="134">
        <v>45870</v>
      </c>
      <c r="N2084" s="134">
        <v>48791</v>
      </c>
      <c r="O2084" s="101" t="s">
        <v>19</v>
      </c>
      <c r="P2084" s="101" t="s">
        <v>1622</v>
      </c>
      <c r="Q2084" s="101" t="s">
        <v>1082</v>
      </c>
      <c r="R2084" s="72" t="s">
        <v>349</v>
      </c>
      <c r="S2084" s="72"/>
    </row>
    <row r="2085" spans="1:19" ht="18.75" customHeight="1" x14ac:dyDescent="0.2">
      <c r="A2085" s="79"/>
      <c r="B2085" s="79"/>
      <c r="C2085" s="80"/>
      <c r="D2085" s="66"/>
      <c r="E2085" s="86" t="s">
        <v>19</v>
      </c>
      <c r="F2085" s="66" t="s">
        <v>668</v>
      </c>
      <c r="G2085" s="66" t="s">
        <v>899</v>
      </c>
      <c r="H2085" s="82" t="s">
        <v>349</v>
      </c>
      <c r="I2085" s="174">
        <v>47.7</v>
      </c>
      <c r="J2085" s="174"/>
      <c r="K2085" s="84"/>
      <c r="L2085" s="102"/>
      <c r="M2085" s="66"/>
      <c r="N2085" s="66"/>
      <c r="R2085" s="72"/>
    </row>
    <row r="2086" spans="1:19" ht="18.75" customHeight="1" x14ac:dyDescent="0.2">
      <c r="A2086" s="79"/>
      <c r="B2086" s="79"/>
      <c r="C2086" s="80"/>
      <c r="D2086" s="66"/>
      <c r="E2086" s="86"/>
      <c r="F2086" s="66"/>
      <c r="G2086" s="66"/>
      <c r="H2086" s="82"/>
      <c r="I2086" s="174"/>
      <c r="J2086" s="174"/>
      <c r="K2086" s="84"/>
      <c r="L2086" s="102"/>
      <c r="M2086" s="66"/>
      <c r="N2086" s="66"/>
      <c r="R2086" s="72"/>
    </row>
    <row r="2087" spans="1:19" s="101" customFormat="1" ht="18.75" customHeight="1" x14ac:dyDescent="0.2">
      <c r="A2087" s="70">
        <v>45746</v>
      </c>
      <c r="B2087" s="70">
        <v>45760</v>
      </c>
      <c r="C2087" s="71" t="s">
        <v>1624</v>
      </c>
      <c r="D2087" s="72" t="s">
        <v>895</v>
      </c>
      <c r="E2087" s="145" t="s">
        <v>21</v>
      </c>
      <c r="F2087" s="72" t="s">
        <v>1303</v>
      </c>
      <c r="G2087" s="72" t="s">
        <v>1304</v>
      </c>
      <c r="H2087" s="74" t="s">
        <v>349</v>
      </c>
      <c r="I2087" s="173">
        <v>86.2</v>
      </c>
      <c r="J2087" s="173"/>
      <c r="K2087" s="76">
        <v>41.6</v>
      </c>
      <c r="L2087" s="77"/>
      <c r="M2087" s="134">
        <v>45931</v>
      </c>
      <c r="N2087" s="134">
        <v>48852</v>
      </c>
      <c r="O2087" s="101" t="s">
        <v>21</v>
      </c>
      <c r="P2087" s="101" t="s">
        <v>2085</v>
      </c>
      <c r="Q2087" s="101" t="s">
        <v>1304</v>
      </c>
      <c r="R2087" s="72" t="s">
        <v>349</v>
      </c>
      <c r="S2087" s="72"/>
    </row>
    <row r="2088" spans="1:19" ht="18.75" customHeight="1" x14ac:dyDescent="0.2">
      <c r="A2088" s="79"/>
      <c r="B2088" s="79"/>
      <c r="C2088" s="80"/>
      <c r="D2088" s="66"/>
      <c r="E2088" s="86" t="s">
        <v>38</v>
      </c>
      <c r="F2088" s="66" t="s">
        <v>2086</v>
      </c>
      <c r="G2088" s="66" t="s">
        <v>1170</v>
      </c>
      <c r="H2088" s="82" t="s">
        <v>349</v>
      </c>
      <c r="I2088" s="174">
        <v>13.8</v>
      </c>
      <c r="J2088" s="174"/>
      <c r="K2088" s="84"/>
      <c r="L2088" s="102"/>
      <c r="M2088" s="66"/>
      <c r="N2088" s="66"/>
      <c r="R2088" s="72"/>
    </row>
    <row r="2089" spans="1:19" ht="18.75" customHeight="1" x14ac:dyDescent="0.2">
      <c r="A2089" s="79"/>
      <c r="B2089" s="79"/>
      <c r="C2089" s="80"/>
      <c r="D2089" s="66"/>
      <c r="E2089" s="86"/>
      <c r="F2089" s="66"/>
      <c r="G2089" s="66"/>
      <c r="H2089" s="82"/>
      <c r="I2089" s="174"/>
      <c r="J2089" s="174"/>
      <c r="K2089" s="84"/>
      <c r="L2089" s="102"/>
      <c r="M2089" s="66"/>
      <c r="N2089" s="66"/>
      <c r="R2089" s="72"/>
    </row>
    <row r="2090" spans="1:19" s="101" customFormat="1" ht="18.75" customHeight="1" x14ac:dyDescent="0.2">
      <c r="A2090" s="70">
        <v>45753</v>
      </c>
      <c r="B2090" s="70">
        <v>45774</v>
      </c>
      <c r="C2090" s="71" t="s">
        <v>1684</v>
      </c>
      <c r="D2090" s="72" t="s">
        <v>972</v>
      </c>
      <c r="E2090" s="145" t="s">
        <v>19</v>
      </c>
      <c r="F2090" s="72" t="s">
        <v>973</v>
      </c>
      <c r="G2090" s="72" t="s">
        <v>723</v>
      </c>
      <c r="H2090" s="74" t="s">
        <v>349</v>
      </c>
      <c r="I2090" s="173">
        <v>75.900000000000006</v>
      </c>
      <c r="J2090" s="173"/>
      <c r="K2090" s="76">
        <v>48.6</v>
      </c>
      <c r="L2090" s="77"/>
      <c r="M2090" s="134">
        <v>46023</v>
      </c>
      <c r="N2090" s="134">
        <v>48944</v>
      </c>
      <c r="O2090" s="101" t="s">
        <v>19</v>
      </c>
      <c r="P2090" s="101" t="s">
        <v>973</v>
      </c>
      <c r="Q2090" s="101" t="s">
        <v>723</v>
      </c>
      <c r="R2090" s="72" t="s">
        <v>349</v>
      </c>
      <c r="S2090" s="72"/>
    </row>
    <row r="2091" spans="1:19" ht="18.75" customHeight="1" x14ac:dyDescent="0.2">
      <c r="A2091" s="79"/>
      <c r="B2091" s="79"/>
      <c r="C2091" s="80"/>
      <c r="D2091" s="66"/>
      <c r="E2091" s="86" t="s">
        <v>21</v>
      </c>
      <c r="F2091" s="66" t="s">
        <v>2087</v>
      </c>
      <c r="G2091" s="66" t="s">
        <v>547</v>
      </c>
      <c r="H2091" s="82" t="s">
        <v>349</v>
      </c>
      <c r="I2091" s="174">
        <v>24.1</v>
      </c>
      <c r="J2091" s="174"/>
      <c r="K2091" s="84"/>
      <c r="L2091" s="102"/>
      <c r="M2091" s="66"/>
      <c r="N2091" s="66"/>
      <c r="R2091" s="72"/>
    </row>
    <row r="2092" spans="1:19" ht="18.75" customHeight="1" x14ac:dyDescent="0.2">
      <c r="A2092" s="79"/>
      <c r="B2092" s="79"/>
      <c r="C2092" s="80"/>
      <c r="D2092" s="66"/>
      <c r="E2092" s="86"/>
      <c r="F2092" s="66"/>
      <c r="G2092" s="66"/>
      <c r="H2092" s="82"/>
      <c r="I2092" s="174"/>
      <c r="J2092" s="174"/>
      <c r="K2092" s="84"/>
      <c r="L2092" s="102"/>
      <c r="M2092" s="66"/>
      <c r="N2092" s="66"/>
      <c r="R2092" s="72"/>
    </row>
    <row r="2093" spans="1:19" s="101" customFormat="1" ht="18.75" customHeight="1" x14ac:dyDescent="0.2">
      <c r="A2093" s="70">
        <v>45753</v>
      </c>
      <c r="B2093" s="70">
        <v>45774</v>
      </c>
      <c r="C2093" s="71" t="s">
        <v>1692</v>
      </c>
      <c r="D2093" s="72" t="s">
        <v>975</v>
      </c>
      <c r="E2093" s="145" t="s">
        <v>1203</v>
      </c>
      <c r="F2093" s="72" t="s">
        <v>1203</v>
      </c>
      <c r="G2093" s="72" t="s">
        <v>383</v>
      </c>
      <c r="H2093" s="74" t="s">
        <v>349</v>
      </c>
      <c r="I2093" s="173">
        <v>80</v>
      </c>
      <c r="J2093" s="173"/>
      <c r="K2093" s="76">
        <v>39</v>
      </c>
      <c r="L2093" s="77"/>
      <c r="M2093" s="134">
        <v>46023</v>
      </c>
      <c r="N2093" s="134">
        <v>48944</v>
      </c>
      <c r="O2093" s="101" t="s">
        <v>1203</v>
      </c>
      <c r="P2093" s="101" t="s">
        <v>1203</v>
      </c>
      <c r="Q2093" s="101" t="s">
        <v>383</v>
      </c>
      <c r="R2093" s="72" t="s">
        <v>349</v>
      </c>
      <c r="S2093" s="72"/>
    </row>
    <row r="2094" spans="1:19" ht="18.75" customHeight="1" x14ac:dyDescent="0.2">
      <c r="A2094" s="79"/>
      <c r="B2094" s="79"/>
      <c r="C2094" s="80"/>
      <c r="D2094" s="66"/>
      <c r="E2094" s="86"/>
      <c r="F2094" s="66"/>
      <c r="G2094" s="66"/>
      <c r="H2094" s="82"/>
      <c r="I2094" s="174"/>
      <c r="J2094" s="174"/>
      <c r="K2094" s="84"/>
      <c r="L2094" s="102"/>
      <c r="M2094" s="66"/>
      <c r="N2094" s="66"/>
      <c r="R2094" s="72"/>
    </row>
    <row r="2095" spans="1:19" s="101" customFormat="1" ht="18.75" customHeight="1" x14ac:dyDescent="0.2">
      <c r="A2095" s="70">
        <v>45753</v>
      </c>
      <c r="B2095" s="70">
        <v>45774</v>
      </c>
      <c r="C2095" s="71" t="s">
        <v>2088</v>
      </c>
      <c r="D2095" s="72" t="s">
        <v>539</v>
      </c>
      <c r="E2095" s="145" t="s">
        <v>2089</v>
      </c>
      <c r="F2095" s="72" t="s">
        <v>2089</v>
      </c>
      <c r="G2095" s="72" t="s">
        <v>1472</v>
      </c>
      <c r="H2095" s="74" t="s">
        <v>349</v>
      </c>
      <c r="I2095" s="173">
        <v>37.700000000000003</v>
      </c>
      <c r="J2095" s="173">
        <v>52.5</v>
      </c>
      <c r="K2095" s="76">
        <v>44.8</v>
      </c>
      <c r="L2095" s="77">
        <v>40.4</v>
      </c>
      <c r="M2095" s="134">
        <v>46023</v>
      </c>
      <c r="N2095" s="134">
        <v>48944</v>
      </c>
      <c r="O2095" s="101" t="s">
        <v>21</v>
      </c>
      <c r="P2095" s="101" t="s">
        <v>1418</v>
      </c>
      <c r="Q2095" s="101" t="s">
        <v>695</v>
      </c>
      <c r="R2095" s="72" t="s">
        <v>349</v>
      </c>
      <c r="S2095" s="72"/>
    </row>
    <row r="2096" spans="1:19" ht="18.75" customHeight="1" x14ac:dyDescent="0.2">
      <c r="A2096" s="79"/>
      <c r="B2096" s="79"/>
      <c r="C2096" s="80"/>
      <c r="D2096" s="66"/>
      <c r="E2096" s="86" t="s">
        <v>2090</v>
      </c>
      <c r="F2096" s="66" t="s">
        <v>2091</v>
      </c>
      <c r="G2096" s="66" t="s">
        <v>721</v>
      </c>
      <c r="H2096" s="82" t="s">
        <v>349</v>
      </c>
      <c r="I2096" s="174">
        <v>37</v>
      </c>
      <c r="J2096" s="174">
        <v>47.4</v>
      </c>
      <c r="K2096" s="84"/>
      <c r="L2096" s="102"/>
      <c r="M2096" s="66"/>
      <c r="N2096" s="66"/>
      <c r="R2096" s="72"/>
    </row>
    <row r="2097" spans="1:19" ht="18.75" customHeight="1" x14ac:dyDescent="0.2">
      <c r="A2097" s="79"/>
      <c r="B2097" s="79"/>
      <c r="C2097" s="80"/>
      <c r="D2097" s="66"/>
      <c r="E2097" s="86" t="s">
        <v>870</v>
      </c>
      <c r="F2097" s="66" t="s">
        <v>870</v>
      </c>
      <c r="G2097" s="66" t="s">
        <v>561</v>
      </c>
      <c r="H2097" s="82" t="s">
        <v>349</v>
      </c>
      <c r="I2097" s="174">
        <v>12.5</v>
      </c>
      <c r="J2097" s="174"/>
      <c r="K2097" s="84"/>
      <c r="L2097" s="102"/>
      <c r="M2097" s="66"/>
      <c r="N2097" s="66"/>
      <c r="R2097" s="72"/>
    </row>
    <row r="2098" spans="1:19" ht="18.75" customHeight="1" x14ac:dyDescent="0.2">
      <c r="A2098" s="79"/>
      <c r="B2098" s="79"/>
      <c r="C2098" s="80"/>
      <c r="D2098" s="66"/>
      <c r="E2098" s="86" t="s">
        <v>2092</v>
      </c>
      <c r="F2098" s="66" t="s">
        <v>2092</v>
      </c>
      <c r="G2098" s="66" t="s">
        <v>2093</v>
      </c>
      <c r="H2098" s="82" t="s">
        <v>349</v>
      </c>
      <c r="I2098" s="174">
        <v>12.8</v>
      </c>
      <c r="J2098" s="174"/>
      <c r="K2098" s="84"/>
      <c r="L2098" s="102"/>
      <c r="M2098" s="66"/>
      <c r="N2098" s="66"/>
      <c r="R2098" s="72"/>
    </row>
    <row r="2099" spans="1:19" ht="18.75" customHeight="1" x14ac:dyDescent="0.2">
      <c r="A2099" s="79"/>
      <c r="B2099" s="79"/>
      <c r="C2099" s="80"/>
      <c r="D2099" s="66"/>
      <c r="E2099" s="86"/>
      <c r="F2099" s="66"/>
      <c r="G2099" s="66"/>
      <c r="H2099" s="82"/>
      <c r="I2099" s="174"/>
      <c r="J2099" s="174"/>
      <c r="K2099" s="84"/>
      <c r="L2099" s="102"/>
      <c r="M2099" s="66"/>
      <c r="N2099" s="66"/>
      <c r="R2099" s="72"/>
    </row>
    <row r="2100" spans="1:19" s="101" customFormat="1" ht="18.75" customHeight="1" x14ac:dyDescent="0.2">
      <c r="A2100" s="70">
        <v>45753</v>
      </c>
      <c r="B2100" s="70">
        <v>45774</v>
      </c>
      <c r="C2100" s="71" t="s">
        <v>2094</v>
      </c>
      <c r="D2100" s="72" t="s">
        <v>1687</v>
      </c>
      <c r="E2100" s="145" t="s">
        <v>19</v>
      </c>
      <c r="F2100" s="72" t="s">
        <v>830</v>
      </c>
      <c r="G2100" s="72" t="s">
        <v>2095</v>
      </c>
      <c r="H2100" s="74" t="s">
        <v>349</v>
      </c>
      <c r="I2100" s="173">
        <v>43.4</v>
      </c>
      <c r="J2100" s="173">
        <v>54.4</v>
      </c>
      <c r="K2100" s="76">
        <v>46.3</v>
      </c>
      <c r="L2100" s="77">
        <v>42.1</v>
      </c>
      <c r="M2100" s="134">
        <v>46023</v>
      </c>
      <c r="N2100" s="134">
        <v>48944</v>
      </c>
      <c r="O2100" s="101" t="s">
        <v>21</v>
      </c>
      <c r="P2100" s="101" t="s">
        <v>1426</v>
      </c>
      <c r="Q2100" s="101" t="s">
        <v>585</v>
      </c>
      <c r="R2100" s="72" t="s">
        <v>349</v>
      </c>
      <c r="S2100" s="72"/>
    </row>
    <row r="2101" spans="1:19" ht="18.75" customHeight="1" x14ac:dyDescent="0.2">
      <c r="A2101" s="79"/>
      <c r="B2101" s="79"/>
      <c r="C2101" s="80"/>
      <c r="D2101" s="66"/>
      <c r="E2101" s="86" t="s">
        <v>2096</v>
      </c>
      <c r="F2101" s="66" t="s">
        <v>2096</v>
      </c>
      <c r="G2101" s="66" t="s">
        <v>464</v>
      </c>
      <c r="H2101" s="82" t="s">
        <v>349</v>
      </c>
      <c r="I2101" s="174">
        <v>31.9</v>
      </c>
      <c r="J2101" s="174">
        <v>45.6</v>
      </c>
      <c r="K2101" s="84"/>
      <c r="L2101" s="102"/>
      <c r="M2101" s="66"/>
      <c r="N2101" s="66"/>
      <c r="R2101" s="72"/>
    </row>
    <row r="2102" spans="1:19" ht="18.75" customHeight="1" x14ac:dyDescent="0.2">
      <c r="A2102" s="79"/>
      <c r="B2102" s="79"/>
      <c r="C2102" s="80"/>
      <c r="D2102" s="66"/>
      <c r="E2102" s="86" t="s">
        <v>2097</v>
      </c>
      <c r="F2102" s="66" t="s">
        <v>261</v>
      </c>
      <c r="G2102" s="66" t="s">
        <v>1446</v>
      </c>
      <c r="H2102" s="82" t="s">
        <v>349</v>
      </c>
      <c r="I2102" s="174">
        <v>19.600000000000001</v>
      </c>
      <c r="J2102" s="174"/>
      <c r="K2102" s="84"/>
      <c r="L2102" s="102"/>
      <c r="M2102" s="66"/>
      <c r="N2102" s="66"/>
      <c r="R2102" s="72"/>
    </row>
    <row r="2103" spans="1:19" ht="18.75" customHeight="1" x14ac:dyDescent="0.2">
      <c r="A2103" s="79"/>
      <c r="B2103" s="79"/>
      <c r="C2103" s="80"/>
      <c r="D2103" s="66"/>
      <c r="E2103" s="86" t="s">
        <v>2098</v>
      </c>
      <c r="F2103" s="66" t="s">
        <v>2098</v>
      </c>
      <c r="G2103" s="66" t="s">
        <v>2099</v>
      </c>
      <c r="H2103" s="82" t="s">
        <v>419</v>
      </c>
      <c r="I2103" s="174">
        <v>5</v>
      </c>
      <c r="J2103" s="174"/>
      <c r="K2103" s="84"/>
      <c r="L2103" s="102"/>
      <c r="M2103" s="66"/>
      <c r="N2103" s="66"/>
      <c r="R2103" s="72"/>
    </row>
    <row r="2104" spans="1:19" ht="18.75" customHeight="1" x14ac:dyDescent="0.2">
      <c r="A2104" s="79"/>
      <c r="B2104" s="79"/>
      <c r="C2104" s="80"/>
      <c r="D2104" s="66"/>
      <c r="E2104" s="86"/>
      <c r="F2104" s="66"/>
      <c r="G2104" s="66"/>
      <c r="H2104" s="82"/>
      <c r="I2104" s="174"/>
      <c r="J2104" s="174"/>
      <c r="K2104" s="84"/>
      <c r="L2104" s="102"/>
      <c r="M2104" s="66"/>
      <c r="N2104" s="66"/>
      <c r="R2104" s="72"/>
    </row>
    <row r="2105" spans="1:19" s="101" customFormat="1" ht="18.75" customHeight="1" x14ac:dyDescent="0.2">
      <c r="A2105" s="70">
        <v>45753</v>
      </c>
      <c r="B2105" s="70">
        <v>45774</v>
      </c>
      <c r="C2105" s="71" t="s">
        <v>1645</v>
      </c>
      <c r="D2105" s="72" t="s">
        <v>1033</v>
      </c>
      <c r="E2105" s="145" t="s">
        <v>19</v>
      </c>
      <c r="F2105" s="72" t="s">
        <v>1646</v>
      </c>
      <c r="G2105" s="72" t="s">
        <v>1647</v>
      </c>
      <c r="H2105" s="74" t="s">
        <v>349</v>
      </c>
      <c r="I2105" s="173">
        <v>88.6</v>
      </c>
      <c r="J2105" s="173"/>
      <c r="K2105" s="76">
        <v>39.200000000000003</v>
      </c>
      <c r="L2105" s="77"/>
      <c r="M2105" s="134">
        <v>46023</v>
      </c>
      <c r="N2105" s="134">
        <v>48944</v>
      </c>
      <c r="O2105" s="101" t="s">
        <v>19</v>
      </c>
      <c r="P2105" s="101" t="s">
        <v>1646</v>
      </c>
      <c r="Q2105" s="101" t="s">
        <v>1647</v>
      </c>
      <c r="R2105" s="72" t="s">
        <v>349</v>
      </c>
      <c r="S2105" s="72"/>
    </row>
    <row r="2106" spans="1:19" ht="18.75" customHeight="1" x14ac:dyDescent="0.2">
      <c r="A2106" s="79"/>
      <c r="B2106" s="79"/>
      <c r="C2106" s="80"/>
      <c r="D2106" s="66"/>
      <c r="E2106" s="86"/>
      <c r="F2106" s="66"/>
      <c r="G2106" s="66"/>
      <c r="H2106" s="82"/>
      <c r="I2106" s="174"/>
      <c r="J2106" s="174"/>
      <c r="K2106" s="84"/>
      <c r="L2106" s="102"/>
      <c r="M2106" s="66"/>
      <c r="N2106" s="66"/>
      <c r="R2106" s="72"/>
    </row>
    <row r="2107" spans="1:19" s="101" customFormat="1" ht="18.75" customHeight="1" x14ac:dyDescent="0.2">
      <c r="A2107" s="70">
        <v>45753</v>
      </c>
      <c r="B2107" s="70">
        <v>45774</v>
      </c>
      <c r="C2107" s="71" t="s">
        <v>1653</v>
      </c>
      <c r="D2107" s="72" t="s">
        <v>1047</v>
      </c>
      <c r="E2107" s="145" t="s">
        <v>2100</v>
      </c>
      <c r="F2107" s="72" t="s">
        <v>1655</v>
      </c>
      <c r="G2107" s="72" t="s">
        <v>1170</v>
      </c>
      <c r="H2107" s="74" t="s">
        <v>349</v>
      </c>
      <c r="I2107" s="173">
        <v>85.3</v>
      </c>
      <c r="J2107" s="173"/>
      <c r="K2107" s="76">
        <v>33.700000000000003</v>
      </c>
      <c r="L2107" s="77"/>
      <c r="M2107" s="134">
        <v>46023</v>
      </c>
      <c r="N2107" s="134">
        <v>48944</v>
      </c>
      <c r="O2107" s="101" t="s">
        <v>1337</v>
      </c>
      <c r="P2107" s="101" t="s">
        <v>1655</v>
      </c>
      <c r="Q2107" s="101" t="s">
        <v>1170</v>
      </c>
      <c r="R2107" s="72" t="s">
        <v>349</v>
      </c>
      <c r="S2107" s="72"/>
    </row>
    <row r="2108" spans="1:19" ht="18.75" customHeight="1" x14ac:dyDescent="0.2">
      <c r="A2108" s="79"/>
      <c r="B2108" s="79"/>
      <c r="C2108" s="80"/>
      <c r="D2108" s="66"/>
      <c r="E2108" s="86"/>
      <c r="F2108" s="66"/>
      <c r="G2108" s="66"/>
      <c r="H2108" s="82"/>
      <c r="I2108" s="174"/>
      <c r="J2108" s="174"/>
      <c r="K2108" s="84"/>
      <c r="L2108" s="102"/>
      <c r="M2108" s="66"/>
      <c r="N2108" s="66"/>
      <c r="R2108" s="72"/>
    </row>
    <row r="2109" spans="1:19" s="101" customFormat="1" ht="18.75" customHeight="1" x14ac:dyDescent="0.2">
      <c r="A2109" s="70">
        <v>45753</v>
      </c>
      <c r="B2109" s="70">
        <v>45774</v>
      </c>
      <c r="C2109" s="71" t="s">
        <v>1702</v>
      </c>
      <c r="D2109" s="72" t="s">
        <v>1056</v>
      </c>
      <c r="E2109" s="145" t="s">
        <v>19</v>
      </c>
      <c r="F2109" s="72" t="s">
        <v>1703</v>
      </c>
      <c r="G2109" s="72" t="s">
        <v>1600</v>
      </c>
      <c r="H2109" s="74" t="s">
        <v>419</v>
      </c>
      <c r="I2109" s="173">
        <v>80.5</v>
      </c>
      <c r="J2109" s="173"/>
      <c r="K2109" s="76">
        <v>53.7</v>
      </c>
      <c r="L2109" s="77"/>
      <c r="M2109" s="134">
        <v>46023</v>
      </c>
      <c r="N2109" s="134">
        <v>48944</v>
      </c>
      <c r="O2109" s="101" t="s">
        <v>19</v>
      </c>
      <c r="P2109" s="101" t="s">
        <v>1703</v>
      </c>
      <c r="Q2109" s="101" t="s">
        <v>1600</v>
      </c>
      <c r="R2109" s="72" t="s">
        <v>419</v>
      </c>
      <c r="S2109" s="72"/>
    </row>
    <row r="2110" spans="1:19" ht="18.75" customHeight="1" x14ac:dyDescent="0.2">
      <c r="A2110" s="79"/>
      <c r="B2110" s="79"/>
      <c r="C2110" s="80"/>
      <c r="D2110" s="66"/>
      <c r="E2110" s="86" t="s">
        <v>34</v>
      </c>
      <c r="F2110" s="66" t="s">
        <v>2101</v>
      </c>
      <c r="G2110" s="66" t="s">
        <v>512</v>
      </c>
      <c r="H2110" s="82" t="s">
        <v>349</v>
      </c>
      <c r="I2110" s="174">
        <v>19.5</v>
      </c>
      <c r="J2110" s="174"/>
      <c r="K2110" s="84"/>
      <c r="L2110" s="102"/>
      <c r="M2110" s="66"/>
      <c r="N2110" s="66"/>
      <c r="R2110" s="72"/>
    </row>
    <row r="2111" spans="1:19" ht="18.75" customHeight="1" x14ac:dyDescent="0.2">
      <c r="A2111" s="79"/>
      <c r="B2111" s="79"/>
      <c r="C2111" s="80"/>
      <c r="D2111" s="66"/>
      <c r="E2111" s="86"/>
      <c r="F2111" s="66"/>
      <c r="G2111" s="66"/>
      <c r="H2111" s="82"/>
      <c r="I2111" s="174"/>
      <c r="J2111" s="174"/>
      <c r="K2111" s="84"/>
      <c r="L2111" s="102"/>
      <c r="M2111" s="66"/>
      <c r="N2111" s="66"/>
      <c r="R2111" s="72"/>
    </row>
    <row r="2112" spans="1:19" s="101" customFormat="1" ht="18.75" customHeight="1" x14ac:dyDescent="0.2">
      <c r="A2112" s="70">
        <v>45781</v>
      </c>
      <c r="B2112" s="70">
        <v>45795</v>
      </c>
      <c r="C2112" s="71" t="s">
        <v>1627</v>
      </c>
      <c r="D2112" s="72" t="s">
        <v>2102</v>
      </c>
      <c r="E2112" s="145" t="s">
        <v>19</v>
      </c>
      <c r="F2112" s="72" t="s">
        <v>2103</v>
      </c>
      <c r="G2112" s="72" t="s">
        <v>2104</v>
      </c>
      <c r="H2112" s="74" t="s">
        <v>349</v>
      </c>
      <c r="I2112" s="173">
        <v>56.6</v>
      </c>
      <c r="J2112" s="173"/>
      <c r="K2112" s="76">
        <v>37.799999999999997</v>
      </c>
      <c r="L2112" s="77"/>
      <c r="M2112" s="134">
        <v>46023</v>
      </c>
      <c r="N2112" s="134">
        <v>48944</v>
      </c>
      <c r="O2112" s="101" t="s">
        <v>21</v>
      </c>
      <c r="P2112" s="101" t="s">
        <v>1629</v>
      </c>
      <c r="Q2112" s="101" t="s">
        <v>1188</v>
      </c>
      <c r="R2112" s="72" t="s">
        <v>349</v>
      </c>
      <c r="S2112" s="72"/>
    </row>
    <row r="2113" spans="1:19" ht="18.75" customHeight="1" x14ac:dyDescent="0.2">
      <c r="A2113" s="79"/>
      <c r="B2113" s="79"/>
      <c r="C2113" s="80"/>
      <c r="D2113" s="66"/>
      <c r="E2113" s="86" t="s">
        <v>21</v>
      </c>
      <c r="F2113" s="66" t="s">
        <v>2105</v>
      </c>
      <c r="G2113" s="66" t="s">
        <v>495</v>
      </c>
      <c r="H2113" s="82" t="s">
        <v>349</v>
      </c>
      <c r="I2113" s="174">
        <v>43.4</v>
      </c>
      <c r="J2113" s="174"/>
      <c r="K2113" s="84"/>
      <c r="L2113" s="102"/>
      <c r="M2113" s="66"/>
      <c r="N2113" s="66"/>
      <c r="R2113" s="72"/>
    </row>
    <row r="2114" spans="1:19" ht="18.75" customHeight="1" x14ac:dyDescent="0.2">
      <c r="A2114" s="79"/>
      <c r="B2114" s="79"/>
      <c r="C2114" s="80"/>
      <c r="D2114" s="66"/>
      <c r="E2114" s="86"/>
      <c r="F2114" s="66"/>
      <c r="G2114" s="66"/>
      <c r="H2114" s="82"/>
      <c r="I2114" s="174"/>
      <c r="J2114" s="174"/>
      <c r="K2114" s="84"/>
      <c r="L2114" s="102"/>
      <c r="M2114" s="66"/>
      <c r="N2114" s="66"/>
      <c r="R2114" s="72"/>
    </row>
    <row r="2115" spans="1:19" s="101" customFormat="1" ht="18.75" customHeight="1" x14ac:dyDescent="0.2">
      <c r="A2115" s="70">
        <v>45781</v>
      </c>
      <c r="B2115" s="70">
        <v>45795</v>
      </c>
      <c r="C2115" s="71" t="s">
        <v>1632</v>
      </c>
      <c r="D2115" s="72" t="s">
        <v>983</v>
      </c>
      <c r="E2115" s="145" t="s">
        <v>19</v>
      </c>
      <c r="F2115" s="72" t="s">
        <v>2106</v>
      </c>
      <c r="G2115" s="72" t="s">
        <v>1634</v>
      </c>
      <c r="H2115" s="74" t="s">
        <v>349</v>
      </c>
      <c r="I2115" s="173">
        <v>83</v>
      </c>
      <c r="J2115" s="173"/>
      <c r="K2115" s="76">
        <v>26</v>
      </c>
      <c r="L2115" s="77"/>
      <c r="M2115" s="134">
        <v>46023</v>
      </c>
      <c r="N2115" s="134">
        <v>48944</v>
      </c>
      <c r="O2115" s="101" t="s">
        <v>19</v>
      </c>
      <c r="P2115" s="101" t="s">
        <v>2106</v>
      </c>
      <c r="Q2115" s="101" t="s">
        <v>1634</v>
      </c>
      <c r="R2115" s="72" t="s">
        <v>349</v>
      </c>
      <c r="S2115" s="72"/>
    </row>
    <row r="2116" spans="1:19" ht="18.75" customHeight="1" x14ac:dyDescent="0.2">
      <c r="A2116" s="79"/>
      <c r="B2116" s="79"/>
      <c r="C2116" s="80"/>
      <c r="D2116" s="66"/>
      <c r="E2116" s="86"/>
      <c r="F2116" s="66"/>
      <c r="G2116" s="66"/>
      <c r="H2116" s="82"/>
      <c r="I2116" s="174"/>
      <c r="J2116" s="174"/>
      <c r="K2116" s="84"/>
      <c r="L2116" s="102"/>
      <c r="M2116" s="66"/>
      <c r="N2116" s="66"/>
      <c r="R2116" s="72"/>
    </row>
    <row r="2117" spans="1:19" s="101" customFormat="1" ht="18.75" customHeight="1" x14ac:dyDescent="0.2">
      <c r="A2117" s="70">
        <v>45781</v>
      </c>
      <c r="B2117" s="70">
        <v>45795</v>
      </c>
      <c r="C2117" s="71" t="s">
        <v>1638</v>
      </c>
      <c r="D2117" s="72" t="s">
        <v>988</v>
      </c>
      <c r="E2117" s="145" t="s">
        <v>19</v>
      </c>
      <c r="F2117" s="72" t="s">
        <v>1313</v>
      </c>
      <c r="G2117" s="72" t="s">
        <v>358</v>
      </c>
      <c r="H2117" s="74" t="s">
        <v>349</v>
      </c>
      <c r="I2117" s="173">
        <v>82.5</v>
      </c>
      <c r="J2117" s="173"/>
      <c r="K2117" s="76">
        <v>31.9</v>
      </c>
      <c r="L2117" s="77"/>
      <c r="M2117" s="134">
        <v>46023</v>
      </c>
      <c r="N2117" s="134">
        <v>48944</v>
      </c>
      <c r="O2117" s="101" t="s">
        <v>19</v>
      </c>
      <c r="P2117" s="101" t="s">
        <v>1313</v>
      </c>
      <c r="Q2117" s="101" t="s">
        <v>358</v>
      </c>
      <c r="R2117" s="72" t="s">
        <v>419</v>
      </c>
      <c r="S2117" s="72"/>
    </row>
    <row r="2118" spans="1:19" ht="18.75" customHeight="1" x14ac:dyDescent="0.2">
      <c r="A2118" s="79"/>
      <c r="B2118" s="79"/>
      <c r="C2118" s="80"/>
      <c r="D2118" s="66"/>
      <c r="E2118" s="86"/>
      <c r="F2118" s="66"/>
      <c r="G2118" s="66"/>
      <c r="H2118" s="82"/>
      <c r="I2118" s="174"/>
      <c r="J2118" s="174"/>
      <c r="K2118" s="84"/>
      <c r="L2118" s="102"/>
      <c r="M2118" s="66"/>
      <c r="N2118" s="66"/>
      <c r="R2118" s="72"/>
    </row>
    <row r="2119" spans="1:19" s="101" customFormat="1" ht="18.75" customHeight="1" x14ac:dyDescent="0.2">
      <c r="A2119" s="70">
        <v>45788</v>
      </c>
      <c r="B2119" s="70">
        <v>45802</v>
      </c>
      <c r="C2119" s="71" t="s">
        <v>1657</v>
      </c>
      <c r="D2119" s="72" t="s">
        <v>920</v>
      </c>
      <c r="E2119" s="145" t="s">
        <v>19</v>
      </c>
      <c r="F2119" s="72" t="s">
        <v>1345</v>
      </c>
      <c r="G2119" s="72" t="s">
        <v>1346</v>
      </c>
      <c r="H2119" s="74" t="s">
        <v>349</v>
      </c>
      <c r="I2119" s="173">
        <v>87.7</v>
      </c>
      <c r="J2119" s="173"/>
      <c r="K2119" s="76">
        <v>31.7</v>
      </c>
      <c r="L2119" s="77"/>
      <c r="M2119" s="134">
        <v>46023</v>
      </c>
      <c r="N2119" s="134">
        <v>48944</v>
      </c>
      <c r="O2119" s="101" t="s">
        <v>19</v>
      </c>
      <c r="P2119" s="101" t="s">
        <v>2107</v>
      </c>
      <c r="Q2119" s="101" t="s">
        <v>1346</v>
      </c>
      <c r="R2119" s="72" t="s">
        <v>349</v>
      </c>
      <c r="S2119" s="72"/>
    </row>
    <row r="2120" spans="1:19" ht="18.75" customHeight="1" x14ac:dyDescent="0.2">
      <c r="A2120" s="79"/>
      <c r="B2120" s="79"/>
      <c r="C2120" s="80"/>
      <c r="D2120" s="66"/>
      <c r="E2120" s="86"/>
      <c r="F2120" s="66"/>
      <c r="G2120" s="66"/>
      <c r="H2120" s="82"/>
      <c r="I2120" s="174"/>
      <c r="J2120" s="174"/>
      <c r="K2120" s="84"/>
      <c r="L2120" s="102"/>
      <c r="M2120" s="66"/>
      <c r="N2120" s="66"/>
      <c r="R2120" s="72"/>
    </row>
    <row r="2121" spans="1:19" s="101" customFormat="1" ht="18.75" customHeight="1" x14ac:dyDescent="0.2">
      <c r="A2121" s="70">
        <v>45802</v>
      </c>
      <c r="B2121" s="70">
        <v>45823</v>
      </c>
      <c r="C2121" s="71" t="s">
        <v>2108</v>
      </c>
      <c r="D2121" s="72" t="s">
        <v>1649</v>
      </c>
      <c r="E2121" s="145" t="s">
        <v>21</v>
      </c>
      <c r="F2121" s="72" t="s">
        <v>347</v>
      </c>
      <c r="G2121" s="72" t="s">
        <v>899</v>
      </c>
      <c r="H2121" s="74" t="s">
        <v>349</v>
      </c>
      <c r="I2121" s="173">
        <v>39.6</v>
      </c>
      <c r="J2121" s="173">
        <v>55.9</v>
      </c>
      <c r="K2121" s="76">
        <v>46.1</v>
      </c>
      <c r="L2121" s="77">
        <v>43.5</v>
      </c>
      <c r="M2121" s="134">
        <v>46023</v>
      </c>
      <c r="N2121" s="134">
        <v>48944</v>
      </c>
      <c r="O2121" s="101" t="s">
        <v>19</v>
      </c>
      <c r="P2121" s="101" t="s">
        <v>1650</v>
      </c>
      <c r="Q2121" s="101" t="s">
        <v>392</v>
      </c>
      <c r="R2121" s="72" t="s">
        <v>349</v>
      </c>
      <c r="S2121" s="72"/>
    </row>
    <row r="2122" spans="1:19" ht="18.75" customHeight="1" x14ac:dyDescent="0.2">
      <c r="A2122" s="79"/>
      <c r="B2122" s="79"/>
      <c r="C2122" s="80"/>
      <c r="D2122" s="66"/>
      <c r="E2122" s="86" t="s">
        <v>19</v>
      </c>
      <c r="F2122" s="66" t="s">
        <v>1682</v>
      </c>
      <c r="G2122" s="66" t="s">
        <v>383</v>
      </c>
      <c r="H2122" s="82" t="s">
        <v>349</v>
      </c>
      <c r="I2122" s="174">
        <v>34.6</v>
      </c>
      <c r="J2122" s="174">
        <v>44.1</v>
      </c>
      <c r="K2122" s="84"/>
      <c r="L2122" s="102"/>
      <c r="M2122" s="66"/>
      <c r="N2122" s="66"/>
      <c r="R2122" s="72"/>
    </row>
    <row r="2123" spans="1:19" ht="18.75" customHeight="1" x14ac:dyDescent="0.2">
      <c r="A2123" s="79"/>
      <c r="B2123" s="79"/>
      <c r="C2123" s="80"/>
      <c r="D2123" s="66"/>
      <c r="E2123" s="86" t="s">
        <v>2109</v>
      </c>
      <c r="F2123" s="66" t="s">
        <v>2110</v>
      </c>
      <c r="G2123" s="66" t="s">
        <v>1699</v>
      </c>
      <c r="H2123" s="82" t="s">
        <v>419</v>
      </c>
      <c r="I2123" s="174">
        <v>25.9</v>
      </c>
      <c r="J2123" s="174"/>
      <c r="K2123" s="84"/>
      <c r="L2123" s="102"/>
      <c r="M2123" s="66"/>
      <c r="N2123" s="66"/>
      <c r="R2123" s="72"/>
    </row>
    <row r="2124" spans="1:19" ht="18.75" customHeight="1" x14ac:dyDescent="0.2">
      <c r="A2124" s="79"/>
      <c r="B2124" s="79"/>
      <c r="C2124" s="80"/>
      <c r="D2124" s="66"/>
      <c r="E2124" s="86"/>
      <c r="F2124" s="66"/>
      <c r="G2124" s="66"/>
      <c r="H2124" s="82"/>
      <c r="I2124" s="174"/>
      <c r="J2124" s="174"/>
      <c r="K2124" s="84"/>
      <c r="L2124" s="102"/>
      <c r="M2124" s="66"/>
      <c r="N2124" s="66"/>
      <c r="R2124" s="72"/>
    </row>
    <row r="2125" spans="1:19" s="101" customFormat="1" ht="18.75" customHeight="1" x14ac:dyDescent="0.2">
      <c r="A2125" s="70">
        <v>45809</v>
      </c>
      <c r="B2125" s="70">
        <v>45823</v>
      </c>
      <c r="C2125" s="71" t="s">
        <v>1696</v>
      </c>
      <c r="D2125" s="72" t="s">
        <v>906</v>
      </c>
      <c r="E2125" s="145" t="s">
        <v>2111</v>
      </c>
      <c r="F2125" s="72" t="s">
        <v>2112</v>
      </c>
      <c r="G2125" s="72" t="s">
        <v>629</v>
      </c>
      <c r="H2125" s="74" t="s">
        <v>349</v>
      </c>
      <c r="I2125" s="173">
        <v>92.7</v>
      </c>
      <c r="J2125" s="173"/>
      <c r="K2125" s="76">
        <v>37</v>
      </c>
      <c r="L2125" s="77"/>
      <c r="M2125" s="134">
        <v>45931</v>
      </c>
      <c r="N2125" s="134">
        <v>48852</v>
      </c>
      <c r="O2125" s="101" t="s">
        <v>19</v>
      </c>
      <c r="P2125" s="101" t="s">
        <v>907</v>
      </c>
      <c r="Q2125" s="101" t="s">
        <v>908</v>
      </c>
      <c r="R2125" s="72" t="s">
        <v>349</v>
      </c>
      <c r="S2125" s="72"/>
    </row>
    <row r="2126" spans="1:19" ht="18.75" customHeight="1" x14ac:dyDescent="0.2">
      <c r="A2126" s="79"/>
      <c r="B2126" s="79"/>
      <c r="C2126" s="80"/>
      <c r="D2126" s="66"/>
      <c r="E2126" s="86"/>
      <c r="F2126" s="66"/>
      <c r="G2126" s="66"/>
      <c r="H2126" s="82"/>
      <c r="I2126" s="174"/>
      <c r="J2126" s="174"/>
      <c r="K2126" s="84"/>
      <c r="L2126" s="102"/>
      <c r="M2126" s="66"/>
      <c r="N2126" s="66"/>
      <c r="R2126" s="72"/>
    </row>
    <row r="2127" spans="1:19" s="101" customFormat="1" ht="18.75" customHeight="1" x14ac:dyDescent="0.2">
      <c r="A2127" s="70">
        <v>45823</v>
      </c>
      <c r="B2127" s="70">
        <v>45837</v>
      </c>
      <c r="C2127" s="71" t="s">
        <v>1666</v>
      </c>
      <c r="D2127" s="72" t="s">
        <v>2113</v>
      </c>
      <c r="E2127" s="145" t="s">
        <v>1667</v>
      </c>
      <c r="F2127" s="72" t="s">
        <v>1667</v>
      </c>
      <c r="G2127" s="72" t="s">
        <v>565</v>
      </c>
      <c r="H2127" s="74" t="s">
        <v>349</v>
      </c>
      <c r="I2127" s="173">
        <v>96.7</v>
      </c>
      <c r="J2127" s="173"/>
      <c r="K2127" s="76">
        <v>31.6</v>
      </c>
      <c r="L2127" s="77"/>
      <c r="M2127" s="134">
        <v>46023</v>
      </c>
      <c r="N2127" s="134">
        <v>46022</v>
      </c>
      <c r="O2127" s="101" t="s">
        <v>1667</v>
      </c>
      <c r="P2127" s="101" t="s">
        <v>1667</v>
      </c>
      <c r="Q2127" s="101" t="s">
        <v>565</v>
      </c>
      <c r="R2127" s="72" t="s">
        <v>349</v>
      </c>
      <c r="S2127" s="72"/>
    </row>
    <row r="2128" spans="1:19" ht="18.75" customHeight="1" x14ac:dyDescent="0.2">
      <c r="A2128" s="79"/>
      <c r="B2128" s="79"/>
      <c r="C2128" s="80"/>
      <c r="D2128" s="66"/>
      <c r="E2128" s="86"/>
      <c r="F2128" s="66"/>
      <c r="G2128" s="66"/>
      <c r="H2128" s="82"/>
      <c r="I2128" s="174"/>
      <c r="J2128" s="174"/>
      <c r="K2128" s="84"/>
      <c r="L2128" s="102"/>
      <c r="M2128" s="66"/>
      <c r="N2128" s="66"/>
      <c r="R2128" s="72"/>
    </row>
    <row r="2129" spans="1:19" s="101" customFormat="1" ht="18.75" customHeight="1" x14ac:dyDescent="0.2">
      <c r="A2129" s="70">
        <v>45823</v>
      </c>
      <c r="B2129" s="70">
        <v>45837</v>
      </c>
      <c r="C2129" s="71" t="s">
        <v>1866</v>
      </c>
      <c r="D2129" s="72" t="s">
        <v>739</v>
      </c>
      <c r="E2129" s="145" t="s">
        <v>2114</v>
      </c>
      <c r="F2129" s="72" t="s">
        <v>2114</v>
      </c>
      <c r="G2129" s="72" t="s">
        <v>2115</v>
      </c>
      <c r="H2129" s="74" t="s">
        <v>419</v>
      </c>
      <c r="I2129" s="173">
        <v>45.7</v>
      </c>
      <c r="J2129" s="173">
        <v>61.3</v>
      </c>
      <c r="K2129" s="76">
        <v>58.9</v>
      </c>
      <c r="L2129" s="77">
        <v>54.7</v>
      </c>
      <c r="M2129" s="134">
        <v>45931</v>
      </c>
      <c r="N2129" s="134">
        <v>45838</v>
      </c>
      <c r="O2129" s="101" t="s">
        <v>1867</v>
      </c>
      <c r="P2129" s="101" t="s">
        <v>1867</v>
      </c>
      <c r="Q2129" s="101" t="s">
        <v>1369</v>
      </c>
      <c r="R2129" s="72" t="s">
        <v>419</v>
      </c>
      <c r="S2129" s="72"/>
    </row>
    <row r="2130" spans="1:19" ht="18.75" customHeight="1" x14ac:dyDescent="0.2">
      <c r="A2130" s="79"/>
      <c r="B2130" s="79"/>
      <c r="C2130" s="80"/>
      <c r="D2130" s="66"/>
      <c r="E2130" s="86" t="s">
        <v>2116</v>
      </c>
      <c r="F2130" s="66" t="s">
        <v>2117</v>
      </c>
      <c r="G2130" s="66" t="s">
        <v>392</v>
      </c>
      <c r="H2130" s="82" t="s">
        <v>349</v>
      </c>
      <c r="I2130" s="174">
        <v>35.5</v>
      </c>
      <c r="J2130" s="174">
        <v>38.700000000000003</v>
      </c>
      <c r="K2130" s="84"/>
      <c r="L2130" s="102"/>
      <c r="M2130" s="66"/>
      <c r="N2130" s="66"/>
      <c r="R2130" s="72"/>
    </row>
    <row r="2131" spans="1:19" ht="18.75" customHeight="1" x14ac:dyDescent="0.2">
      <c r="A2131" s="79"/>
      <c r="B2131" s="79"/>
      <c r="C2131" s="80"/>
      <c r="D2131" s="66"/>
      <c r="E2131" s="86" t="s">
        <v>19</v>
      </c>
      <c r="F2131" s="66" t="s">
        <v>1867</v>
      </c>
      <c r="G2131" s="66" t="s">
        <v>1369</v>
      </c>
      <c r="H2131" s="82" t="s">
        <v>349</v>
      </c>
      <c r="I2131" s="174">
        <v>16.3</v>
      </c>
      <c r="J2131" s="174"/>
      <c r="K2131" s="84"/>
      <c r="L2131" s="102"/>
      <c r="M2131" s="66"/>
      <c r="N2131" s="66"/>
      <c r="R2131" s="72"/>
    </row>
    <row r="2132" spans="1:19" ht="18.75" customHeight="1" x14ac:dyDescent="0.2">
      <c r="A2132" s="79"/>
      <c r="B2132" s="79"/>
      <c r="C2132" s="80"/>
      <c r="D2132" s="66"/>
      <c r="E2132" s="86" t="s">
        <v>2118</v>
      </c>
      <c r="F2132" s="66" t="s">
        <v>2118</v>
      </c>
      <c r="G2132" s="66" t="s">
        <v>2119</v>
      </c>
      <c r="H2132" s="82" t="s">
        <v>349</v>
      </c>
      <c r="I2132" s="174">
        <v>2.5</v>
      </c>
      <c r="J2132" s="174"/>
      <c r="K2132" s="84"/>
      <c r="L2132" s="102"/>
      <c r="M2132" s="66"/>
      <c r="N2132" s="66"/>
      <c r="R2132" s="72"/>
    </row>
    <row r="2133" spans="1:19" ht="18.75" customHeight="1" x14ac:dyDescent="0.2">
      <c r="A2133" s="79"/>
      <c r="B2133" s="79"/>
      <c r="C2133" s="80"/>
      <c r="D2133" s="66"/>
      <c r="E2133" s="86"/>
      <c r="F2133" s="66"/>
      <c r="G2133" s="66"/>
      <c r="H2133" s="82"/>
      <c r="I2133" s="174"/>
      <c r="J2133" s="174"/>
      <c r="K2133" s="84"/>
      <c r="L2133" s="102"/>
      <c r="M2133" s="66"/>
      <c r="N2133" s="66"/>
      <c r="R2133" s="72"/>
    </row>
    <row r="2134" spans="1:19" s="101" customFormat="1" ht="18.75" customHeight="1" x14ac:dyDescent="0.2">
      <c r="A2134" s="70">
        <v>45823</v>
      </c>
      <c r="B2134" s="70">
        <v>45837</v>
      </c>
      <c r="C2134" s="71" t="s">
        <v>1700</v>
      </c>
      <c r="D2134" s="72" t="s">
        <v>1017</v>
      </c>
      <c r="E2134" s="145" t="s">
        <v>2120</v>
      </c>
      <c r="F2134" s="72" t="s">
        <v>2120</v>
      </c>
      <c r="G2134" s="72" t="s">
        <v>629</v>
      </c>
      <c r="H2134" s="74" t="s">
        <v>349</v>
      </c>
      <c r="I2134" s="173">
        <v>50.4</v>
      </c>
      <c r="J2134" s="173"/>
      <c r="K2134" s="76">
        <v>51.6</v>
      </c>
      <c r="L2134" s="77"/>
      <c r="M2134" s="134">
        <v>46023</v>
      </c>
      <c r="N2134" s="134">
        <v>48944</v>
      </c>
      <c r="O2134" s="101" t="s">
        <v>1326</v>
      </c>
      <c r="P2134" s="101" t="s">
        <v>1326</v>
      </c>
      <c r="Q2134" s="101" t="s">
        <v>993</v>
      </c>
      <c r="R2134" s="72" t="s">
        <v>349</v>
      </c>
      <c r="S2134" s="72"/>
    </row>
    <row r="2135" spans="1:19" ht="18.75" customHeight="1" x14ac:dyDescent="0.2">
      <c r="A2135" s="79"/>
      <c r="B2135" s="79"/>
      <c r="C2135" s="80"/>
      <c r="D2135" s="66"/>
      <c r="E2135" s="86" t="s">
        <v>1326</v>
      </c>
      <c r="F2135" s="66" t="s">
        <v>1326</v>
      </c>
      <c r="G2135" s="66" t="s">
        <v>993</v>
      </c>
      <c r="H2135" s="82" t="s">
        <v>349</v>
      </c>
      <c r="I2135" s="174">
        <v>27.2</v>
      </c>
      <c r="J2135" s="174"/>
      <c r="K2135" s="84"/>
      <c r="L2135" s="102"/>
      <c r="M2135" s="66"/>
      <c r="N2135" s="66"/>
      <c r="R2135" s="72"/>
    </row>
    <row r="2136" spans="1:19" ht="18.75" customHeight="1" x14ac:dyDescent="0.2">
      <c r="A2136" s="79"/>
      <c r="B2136" s="79"/>
      <c r="C2136" s="80"/>
      <c r="D2136" s="66"/>
      <c r="E2136" s="86" t="s">
        <v>834</v>
      </c>
      <c r="F2136" s="66" t="s">
        <v>834</v>
      </c>
      <c r="G2136" s="66" t="s">
        <v>2121</v>
      </c>
      <c r="H2136" s="82" t="s">
        <v>349</v>
      </c>
      <c r="I2136" s="174">
        <v>22.4</v>
      </c>
      <c r="J2136" s="174"/>
      <c r="K2136" s="84"/>
      <c r="L2136" s="102"/>
      <c r="M2136" s="66"/>
      <c r="N2136" s="66"/>
      <c r="R2136" s="72"/>
    </row>
    <row r="2137" spans="1:19" ht="18.75" customHeight="1" x14ac:dyDescent="0.2">
      <c r="A2137" s="79"/>
      <c r="B2137" s="79"/>
      <c r="C2137" s="80"/>
      <c r="D2137" s="66"/>
      <c r="E2137" s="86"/>
      <c r="F2137" s="66"/>
      <c r="G2137" s="66"/>
      <c r="H2137" s="82"/>
      <c r="I2137" s="174"/>
      <c r="J2137" s="174"/>
      <c r="K2137" s="84"/>
      <c r="L2137" s="102"/>
      <c r="M2137" s="66"/>
      <c r="N2137" s="66"/>
      <c r="R2137" s="72"/>
    </row>
    <row r="2138" spans="1:19" s="101" customFormat="1" ht="18.75" customHeight="1" x14ac:dyDescent="0.2">
      <c r="A2138" s="70">
        <v>45823</v>
      </c>
      <c r="B2138" s="70">
        <v>45837</v>
      </c>
      <c r="C2138" s="71" t="s">
        <v>1639</v>
      </c>
      <c r="D2138" s="72" t="s">
        <v>1640</v>
      </c>
      <c r="E2138" s="145" t="s">
        <v>21</v>
      </c>
      <c r="F2138" s="72" t="s">
        <v>783</v>
      </c>
      <c r="G2138" s="72" t="s">
        <v>1682</v>
      </c>
      <c r="H2138" s="74" t="s">
        <v>349</v>
      </c>
      <c r="I2138" s="173">
        <v>46.6</v>
      </c>
      <c r="J2138" s="173"/>
      <c r="K2138" s="76">
        <v>40.299999999999997</v>
      </c>
      <c r="L2138" s="77"/>
      <c r="M2138" s="134">
        <v>46023</v>
      </c>
      <c r="N2138" s="134">
        <v>48944</v>
      </c>
      <c r="O2138" s="101" t="s">
        <v>19</v>
      </c>
      <c r="P2138" s="101" t="s">
        <v>824</v>
      </c>
      <c r="Q2138" s="101" t="s">
        <v>776</v>
      </c>
      <c r="R2138" s="72" t="s">
        <v>349</v>
      </c>
      <c r="S2138" s="72"/>
    </row>
    <row r="2139" spans="1:19" ht="18.75" customHeight="1" x14ac:dyDescent="0.2">
      <c r="A2139" s="79"/>
      <c r="B2139" s="79"/>
      <c r="C2139" s="80"/>
      <c r="D2139" s="66"/>
      <c r="E2139" s="86" t="s">
        <v>19</v>
      </c>
      <c r="F2139" s="66" t="s">
        <v>824</v>
      </c>
      <c r="G2139" s="66" t="s">
        <v>776</v>
      </c>
      <c r="H2139" s="82" t="s">
        <v>349</v>
      </c>
      <c r="I2139" s="174">
        <v>53.4</v>
      </c>
      <c r="J2139" s="174"/>
      <c r="K2139" s="84"/>
      <c r="L2139" s="102"/>
      <c r="M2139" s="66"/>
      <c r="N2139" s="66"/>
      <c r="R2139" s="72"/>
    </row>
    <row r="2140" spans="1:19" ht="18.75" customHeight="1" x14ac:dyDescent="0.2">
      <c r="A2140" s="79"/>
      <c r="B2140" s="79"/>
      <c r="C2140" s="80"/>
      <c r="D2140" s="66"/>
      <c r="E2140" s="86"/>
      <c r="F2140" s="66"/>
      <c r="G2140" s="66"/>
      <c r="H2140" s="82"/>
      <c r="I2140" s="174"/>
      <c r="J2140" s="174"/>
      <c r="K2140" s="84"/>
      <c r="L2140" s="102"/>
      <c r="M2140" s="66"/>
      <c r="N2140" s="66"/>
      <c r="R2140" s="72"/>
    </row>
    <row r="2141" spans="1:19" s="101" customFormat="1" ht="18.75" customHeight="1" x14ac:dyDescent="0.2">
      <c r="A2141" s="70">
        <v>45837</v>
      </c>
      <c r="B2141" s="70">
        <v>45851</v>
      </c>
      <c r="C2141" s="71" t="s">
        <v>2122</v>
      </c>
      <c r="D2141" s="72" t="s">
        <v>885</v>
      </c>
      <c r="E2141" s="145" t="s">
        <v>19</v>
      </c>
      <c r="F2141" s="72" t="s">
        <v>1294</v>
      </c>
      <c r="G2141" s="72" t="s">
        <v>1117</v>
      </c>
      <c r="H2141" s="74" t="s">
        <v>349</v>
      </c>
      <c r="I2141" s="173">
        <v>78.400000000000006</v>
      </c>
      <c r="J2141" s="173"/>
      <c r="K2141" s="76">
        <v>47.7</v>
      </c>
      <c r="L2141" s="77"/>
      <c r="M2141" s="134">
        <v>46102</v>
      </c>
      <c r="N2141" s="134">
        <v>49023</v>
      </c>
      <c r="O2141" s="101" t="s">
        <v>19</v>
      </c>
      <c r="P2141" s="101" t="s">
        <v>1294</v>
      </c>
      <c r="Q2141" s="101" t="s">
        <v>1117</v>
      </c>
      <c r="R2141" s="72" t="s">
        <v>349</v>
      </c>
      <c r="S2141" s="72"/>
    </row>
    <row r="2142" spans="1:19" ht="18.75" customHeight="1" x14ac:dyDescent="0.2">
      <c r="A2142" s="79"/>
      <c r="B2142" s="79"/>
      <c r="C2142" s="80"/>
      <c r="D2142" s="66"/>
      <c r="E2142" s="86" t="s">
        <v>21</v>
      </c>
      <c r="F2142" s="66" t="s">
        <v>955</v>
      </c>
      <c r="G2142" s="66" t="s">
        <v>512</v>
      </c>
      <c r="H2142" s="82" t="s">
        <v>349</v>
      </c>
      <c r="I2142" s="174">
        <v>21.6</v>
      </c>
      <c r="J2142" s="174"/>
      <c r="K2142" s="84"/>
      <c r="L2142" s="102"/>
      <c r="M2142" s="66"/>
      <c r="N2142" s="66"/>
      <c r="R2142" s="72"/>
    </row>
    <row r="2143" spans="1:19" ht="18.75" customHeight="1" x14ac:dyDescent="0.2">
      <c r="A2143" s="79"/>
      <c r="B2143" s="79"/>
      <c r="C2143" s="80"/>
      <c r="D2143" s="66"/>
      <c r="E2143" s="86"/>
      <c r="F2143" s="66"/>
      <c r="G2143" s="66"/>
      <c r="H2143" s="82"/>
      <c r="I2143" s="174"/>
      <c r="J2143" s="174"/>
      <c r="K2143" s="84"/>
      <c r="L2143" s="102"/>
      <c r="M2143" s="66"/>
      <c r="N2143" s="66"/>
      <c r="R2143" s="72"/>
    </row>
    <row r="2144" spans="1:19" ht="18.75" customHeight="1" x14ac:dyDescent="0.2">
      <c r="A2144" s="79"/>
      <c r="B2144" s="79"/>
      <c r="C2144" s="80"/>
      <c r="D2144" s="66"/>
      <c r="E2144" s="86"/>
      <c r="F2144" s="66"/>
      <c r="G2144" s="66"/>
      <c r="H2144" s="82"/>
      <c r="I2144" s="174"/>
      <c r="J2144" s="174"/>
      <c r="K2144" s="84"/>
      <c r="L2144" s="102"/>
      <c r="M2144" s="66"/>
      <c r="N2144" s="66"/>
      <c r="R2144" s="72"/>
    </row>
    <row r="2145" spans="1:19" ht="18.75" customHeight="1" x14ac:dyDescent="0.2">
      <c r="A2145" s="79"/>
      <c r="B2145" s="79"/>
      <c r="C2145" s="80"/>
      <c r="D2145" s="66"/>
      <c r="E2145" s="86"/>
      <c r="F2145" s="66"/>
      <c r="G2145" s="66"/>
      <c r="H2145" s="82"/>
      <c r="I2145" s="174"/>
      <c r="J2145" s="174"/>
      <c r="K2145" s="84"/>
      <c r="L2145" s="102"/>
      <c r="M2145" s="66"/>
      <c r="N2145" s="66"/>
      <c r="R2145" s="72"/>
    </row>
    <row r="2146" spans="1:19" ht="18.75" customHeight="1" x14ac:dyDescent="0.2">
      <c r="A2146" s="79"/>
      <c r="B2146" s="79"/>
      <c r="C2146" s="80"/>
      <c r="D2146" s="66"/>
      <c r="E2146" s="86"/>
      <c r="F2146" s="66"/>
      <c r="G2146" s="66"/>
      <c r="H2146" s="82"/>
      <c r="I2146" s="174"/>
      <c r="J2146" s="174"/>
      <c r="K2146" s="84"/>
      <c r="L2146" s="102"/>
      <c r="M2146" s="66"/>
      <c r="N2146" s="66"/>
      <c r="R2146" s="72"/>
    </row>
    <row r="2147" spans="1:19" ht="18.75" customHeight="1" x14ac:dyDescent="0.2">
      <c r="A2147" s="79"/>
      <c r="B2147" s="79"/>
      <c r="C2147" s="80"/>
      <c r="D2147" s="66"/>
      <c r="E2147" s="86"/>
      <c r="F2147" s="66"/>
      <c r="G2147" s="66"/>
      <c r="H2147" s="82"/>
      <c r="I2147" s="174"/>
      <c r="J2147" s="174"/>
      <c r="K2147" s="84"/>
      <c r="L2147" s="102"/>
      <c r="M2147" s="66"/>
      <c r="N2147" s="66"/>
      <c r="R2147" s="72"/>
    </row>
    <row r="2148" spans="1:19" ht="18.75" customHeight="1" x14ac:dyDescent="0.2">
      <c r="A2148" s="79"/>
      <c r="B2148" s="79"/>
      <c r="C2148" s="80"/>
      <c r="D2148" s="66"/>
      <c r="E2148" s="86"/>
      <c r="F2148" s="66"/>
      <c r="G2148" s="66"/>
      <c r="H2148" s="82"/>
      <c r="I2148" s="174"/>
      <c r="J2148" s="174"/>
      <c r="K2148" s="84"/>
      <c r="L2148" s="102"/>
      <c r="M2148" s="66"/>
      <c r="N2148" s="66"/>
      <c r="R2148" s="72"/>
    </row>
    <row r="2149" spans="1:19" ht="18.75" customHeight="1" x14ac:dyDescent="0.2">
      <c r="A2149" s="79"/>
      <c r="B2149" s="79"/>
      <c r="C2149" s="80"/>
      <c r="D2149" s="66"/>
      <c r="E2149" s="86"/>
      <c r="F2149" s="66"/>
      <c r="G2149" s="66"/>
      <c r="H2149" s="82"/>
      <c r="I2149" s="174"/>
      <c r="J2149" s="174"/>
      <c r="K2149" s="84"/>
      <c r="L2149" s="102"/>
      <c r="M2149" s="66"/>
      <c r="N2149" s="66"/>
      <c r="R2149" s="72"/>
    </row>
    <row r="2150" spans="1:19" ht="18.75" customHeight="1" x14ac:dyDescent="0.2">
      <c r="A2150" s="79"/>
      <c r="B2150" s="79"/>
      <c r="C2150" s="80"/>
      <c r="D2150" s="66"/>
      <c r="E2150" s="86"/>
      <c r="F2150" s="66"/>
      <c r="G2150" s="66"/>
      <c r="H2150" s="82"/>
      <c r="I2150" s="174"/>
      <c r="J2150" s="174"/>
      <c r="K2150" s="84"/>
      <c r="L2150" s="102"/>
      <c r="M2150" s="66"/>
      <c r="N2150" s="66"/>
      <c r="R2150" s="72"/>
    </row>
    <row r="2151" spans="1:19" ht="18.75" customHeight="1" x14ac:dyDescent="0.2">
      <c r="A2151" s="79"/>
      <c r="B2151" s="79"/>
      <c r="C2151" s="80"/>
      <c r="D2151" s="66"/>
      <c r="E2151" s="86"/>
      <c r="F2151" s="66"/>
      <c r="G2151" s="66"/>
      <c r="H2151" s="82"/>
      <c r="I2151" s="174"/>
      <c r="J2151" s="174"/>
      <c r="K2151" s="84"/>
      <c r="L2151" s="102"/>
      <c r="M2151" s="66"/>
      <c r="N2151" s="66"/>
      <c r="R2151" s="72"/>
    </row>
    <row r="2152" spans="1:19" ht="18.75" customHeight="1" x14ac:dyDescent="0.2">
      <c r="A2152" s="79"/>
      <c r="B2152" s="79"/>
      <c r="C2152" s="80"/>
      <c r="D2152" s="66"/>
      <c r="E2152" s="86"/>
      <c r="F2152" s="66"/>
      <c r="G2152" s="66"/>
      <c r="H2152" s="82"/>
      <c r="I2152" s="174"/>
      <c r="J2152" s="174"/>
      <c r="K2152" s="84"/>
      <c r="L2152" s="102"/>
      <c r="M2152" s="66"/>
      <c r="N2152" s="66"/>
      <c r="R2152" s="72"/>
    </row>
    <row r="2153" spans="1:19" ht="18.75" customHeight="1" x14ac:dyDescent="0.2">
      <c r="A2153" s="79"/>
      <c r="B2153" s="79"/>
      <c r="C2153" s="80"/>
      <c r="D2153" s="66"/>
      <c r="E2153" s="86"/>
      <c r="F2153" s="66"/>
      <c r="G2153" s="66"/>
      <c r="H2153" s="82"/>
      <c r="I2153" s="172"/>
      <c r="J2153" s="174"/>
      <c r="K2153" s="84"/>
      <c r="L2153" s="66"/>
      <c r="M2153" s="66"/>
      <c r="N2153" s="66"/>
      <c r="R2153" s="72"/>
    </row>
    <row r="2154" spans="1:19" ht="18.75" customHeight="1" x14ac:dyDescent="0.2">
      <c r="A2154" s="79"/>
      <c r="B2154" s="79"/>
      <c r="C2154" s="80"/>
      <c r="D2154" s="66"/>
      <c r="E2154" s="86"/>
      <c r="F2154" s="66"/>
      <c r="G2154" s="66"/>
      <c r="H2154" s="74"/>
      <c r="I2154" s="84"/>
      <c r="J2154" s="174"/>
      <c r="K2154" s="91"/>
      <c r="L2154" s="66"/>
      <c r="M2154" s="66"/>
      <c r="N2154" s="66"/>
      <c r="R2154" s="72"/>
    </row>
    <row r="2155" spans="1:19" ht="18.75" customHeight="1" x14ac:dyDescent="0.2">
      <c r="A2155" s="175" t="s">
        <v>2123</v>
      </c>
      <c r="B2155" s="79"/>
      <c r="C2155" s="80"/>
      <c r="D2155" s="66"/>
      <c r="E2155" s="66"/>
      <c r="F2155" s="66"/>
      <c r="G2155" s="66" t="s">
        <v>353</v>
      </c>
      <c r="H2155" s="74"/>
      <c r="I2155" s="84"/>
      <c r="J2155" s="84"/>
      <c r="K2155" s="84"/>
      <c r="L2155" s="84"/>
      <c r="M2155" s="79"/>
      <c r="N2155" s="91"/>
      <c r="R2155" s="72"/>
    </row>
    <row r="2156" spans="1:19" ht="18.75" customHeight="1" x14ac:dyDescent="0.2">
      <c r="A2156" s="177" t="s">
        <v>2124</v>
      </c>
      <c r="G2156" s="69" t="s">
        <v>353</v>
      </c>
      <c r="H2156" s="74"/>
      <c r="R2156" s="72"/>
    </row>
    <row r="2157" spans="1:19" ht="18.75" customHeight="1" x14ac:dyDescent="0.2">
      <c r="G2157" s="69" t="s">
        <v>353</v>
      </c>
      <c r="H2157" s="74"/>
      <c r="R2157" s="72"/>
    </row>
    <row r="2158" spans="1:19" ht="18.75" customHeight="1" x14ac:dyDescent="0.2">
      <c r="G2158" s="69" t="s">
        <v>353</v>
      </c>
      <c r="H2158" s="74"/>
      <c r="R2158" s="72"/>
    </row>
    <row r="2159" spans="1:19" ht="18.75" customHeight="1" x14ac:dyDescent="0.2">
      <c r="G2159" s="69" t="s">
        <v>353</v>
      </c>
      <c r="H2159" s="74"/>
      <c r="R2159" s="72"/>
    </row>
    <row r="2160" spans="1:19" ht="12.75" customHeight="1" x14ac:dyDescent="0.2">
      <c r="S2160" s="72"/>
    </row>
  </sheetData>
  <autoFilter ref="S1:S2160" xr:uid="{00000000-0009-0000-0000-000000000000}"/>
  <mergeCells count="23">
    <mergeCell ref="A3:A5"/>
    <mergeCell ref="B3:B5"/>
    <mergeCell ref="C3:C5"/>
    <mergeCell ref="D3:D5"/>
    <mergeCell ref="E3:H3"/>
    <mergeCell ref="K3:L3"/>
    <mergeCell ref="M3:N3"/>
    <mergeCell ref="O3:R3"/>
    <mergeCell ref="E4:E5"/>
    <mergeCell ref="F4:F5"/>
    <mergeCell ref="G4:G5"/>
    <mergeCell ref="H4:H5"/>
    <mergeCell ref="I4:I5"/>
    <mergeCell ref="J4:J5"/>
    <mergeCell ref="K4:K5"/>
    <mergeCell ref="I3:J3"/>
    <mergeCell ref="R4:R5"/>
    <mergeCell ref="L4:L5"/>
    <mergeCell ref="M4:M5"/>
    <mergeCell ref="N4:N5"/>
    <mergeCell ref="O4:O5"/>
    <mergeCell ref="P4:P5"/>
    <mergeCell ref="Q4:Q5"/>
  </mergeCells>
  <printOptions horizontalCentered="1"/>
  <pageMargins left="0.19685039370078741" right="0.19685039370078741" top="0.59055118110236227" bottom="0.59055118110236227" header="0.39370078740157483" footer="0.31496062992125984"/>
  <pageSetup paperSize="8" scale="78" fitToHeight="0" orientation="portrait" r:id="rId1"/>
  <headerFooter alignWithMargins="0">
    <oddFooter>&amp;L&amp;8EB = Einzelbewerber&amp;C&amp;8Seite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35F4-3C88-4349-A29A-F51F391873B0}">
  <dimension ref="A1:Z586"/>
  <sheetViews>
    <sheetView tabSelected="1" zoomScaleNormal="100" workbookViewId="0">
      <pane ySplit="5" topLeftCell="A565" activePane="bottomLeft" state="frozen"/>
      <selection pane="bottomLeft" activeCell="J588" sqref="J588"/>
    </sheetView>
  </sheetViews>
  <sheetFormatPr baseColWidth="10" defaultColWidth="11.5703125" defaultRowHeight="12.75" x14ac:dyDescent="0.2"/>
  <cols>
    <col min="1" max="2" width="10.140625" style="205" bestFit="1" customWidth="1"/>
    <col min="3" max="3" width="12" style="178" bestFit="1" customWidth="1"/>
    <col min="4" max="4" width="24.140625" style="69" bestFit="1" customWidth="1"/>
    <col min="5" max="5" width="15.85546875" style="69" customWidth="1"/>
    <col min="6" max="6" width="16.5703125" style="69" bestFit="1" customWidth="1"/>
    <col min="7" max="7" width="18.140625" style="69" bestFit="1" customWidth="1"/>
    <col min="8" max="8" width="10.140625" style="69" bestFit="1" customWidth="1"/>
    <col min="9" max="9" width="11.140625" style="180" bestFit="1" customWidth="1"/>
    <col min="10" max="10" width="11.140625" style="69" bestFit="1" customWidth="1"/>
    <col min="11" max="11" width="12.7109375" style="178" bestFit="1" customWidth="1"/>
    <col min="12" max="12" width="12.140625" style="178" bestFit="1" customWidth="1"/>
    <col min="13" max="14" width="10.28515625" bestFit="1" customWidth="1"/>
    <col min="15" max="15" width="13.85546875" style="69" customWidth="1"/>
    <col min="16" max="17" width="22.42578125" style="66" customWidth="1"/>
    <col min="18" max="18" width="10.140625" style="66" bestFit="1" customWidth="1"/>
    <col min="19" max="16384" width="11.5703125" style="66"/>
  </cols>
  <sheetData>
    <row r="1" spans="1:18" s="67" customFormat="1" ht="15.95" customHeight="1" x14ac:dyDescent="0.25">
      <c r="A1" s="181" t="s">
        <v>2125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5"/>
      <c r="N1" s="65"/>
      <c r="O1" s="65"/>
      <c r="P1" s="65"/>
      <c r="Q1" s="65"/>
    </row>
    <row r="2" spans="1:18" s="67" customFormat="1" ht="15.75" customHeight="1" x14ac:dyDescent="0.25">
      <c r="A2" s="181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8" ht="12" customHeight="1" x14ac:dyDescent="0.2">
      <c r="A3" s="274" t="s">
        <v>137</v>
      </c>
      <c r="B3" s="275" t="s">
        <v>165</v>
      </c>
      <c r="C3" s="276" t="s">
        <v>166</v>
      </c>
      <c r="D3" s="276" t="s">
        <v>167</v>
      </c>
      <c r="E3" s="294" t="s">
        <v>134</v>
      </c>
      <c r="F3" s="295"/>
      <c r="G3" s="295"/>
      <c r="H3" s="296"/>
      <c r="I3" s="270" t="s">
        <v>168</v>
      </c>
      <c r="J3" s="270"/>
      <c r="K3" s="273" t="s">
        <v>169</v>
      </c>
      <c r="L3" s="273"/>
      <c r="M3" s="270" t="s">
        <v>138</v>
      </c>
      <c r="N3" s="270"/>
      <c r="O3" s="299" t="s">
        <v>170</v>
      </c>
      <c r="P3" s="300"/>
      <c r="Q3" s="300"/>
      <c r="R3" s="301"/>
    </row>
    <row r="4" spans="1:18" ht="13.5" customHeight="1" x14ac:dyDescent="0.2">
      <c r="A4" s="274"/>
      <c r="B4" s="275"/>
      <c r="C4" s="276"/>
      <c r="D4" s="276"/>
      <c r="E4" s="276" t="s">
        <v>343</v>
      </c>
      <c r="F4" s="276" t="s">
        <v>172</v>
      </c>
      <c r="G4" s="276" t="s">
        <v>344</v>
      </c>
      <c r="H4" s="276" t="s">
        <v>345</v>
      </c>
      <c r="I4" s="270" t="s">
        <v>173</v>
      </c>
      <c r="J4" s="270" t="s">
        <v>174</v>
      </c>
      <c r="K4" s="270" t="s">
        <v>173</v>
      </c>
      <c r="L4" s="270" t="s">
        <v>174</v>
      </c>
      <c r="M4" s="270" t="s">
        <v>135</v>
      </c>
      <c r="N4" s="270" t="s">
        <v>136</v>
      </c>
      <c r="O4" s="276" t="s">
        <v>171</v>
      </c>
      <c r="P4" s="288" t="s">
        <v>172</v>
      </c>
      <c r="Q4" s="288" t="s">
        <v>172</v>
      </c>
      <c r="R4" s="288" t="s">
        <v>345</v>
      </c>
    </row>
    <row r="5" spans="1:18" ht="13.5" customHeight="1" x14ac:dyDescent="0.2">
      <c r="A5" s="274"/>
      <c r="B5" s="275"/>
      <c r="C5" s="276"/>
      <c r="D5" s="276"/>
      <c r="E5" s="276"/>
      <c r="F5" s="276"/>
      <c r="G5" s="276"/>
      <c r="H5" s="276"/>
      <c r="I5" s="270"/>
      <c r="J5" s="270"/>
      <c r="K5" s="270"/>
      <c r="L5" s="270"/>
      <c r="M5" s="270"/>
      <c r="N5" s="270"/>
      <c r="O5" s="276"/>
      <c r="P5" s="297"/>
      <c r="Q5" s="297"/>
      <c r="R5" s="297"/>
    </row>
    <row r="6" spans="1:18" s="72" customFormat="1" ht="18.75" customHeight="1" x14ac:dyDescent="0.2">
      <c r="A6" s="70">
        <v>34497</v>
      </c>
      <c r="B6" s="70">
        <v>34511</v>
      </c>
      <c r="C6" s="182">
        <v>13100007</v>
      </c>
      <c r="D6" s="72" t="s">
        <v>2126</v>
      </c>
      <c r="E6" s="73" t="s">
        <v>2127</v>
      </c>
      <c r="F6" s="73" t="s">
        <v>2127</v>
      </c>
      <c r="G6" s="73" t="s">
        <v>985</v>
      </c>
      <c r="H6" s="73" t="s">
        <v>349</v>
      </c>
      <c r="I6" s="75">
        <v>32.6</v>
      </c>
      <c r="J6" s="75">
        <v>56.1</v>
      </c>
      <c r="K6" s="77">
        <v>73.5</v>
      </c>
      <c r="L6" s="76">
        <v>53.5</v>
      </c>
      <c r="M6" s="70">
        <v>34547</v>
      </c>
      <c r="N6" s="89">
        <v>37468</v>
      </c>
      <c r="Q6" s="72" t="s">
        <v>353</v>
      </c>
    </row>
    <row r="7" spans="1:18" ht="18.75" customHeight="1" x14ac:dyDescent="0.2">
      <c r="A7" s="79"/>
      <c r="B7" s="79"/>
      <c r="C7" s="183"/>
      <c r="D7" s="66"/>
      <c r="E7" s="81" t="s">
        <v>19</v>
      </c>
      <c r="F7" s="81" t="s">
        <v>347</v>
      </c>
      <c r="G7" s="81" t="s">
        <v>666</v>
      </c>
      <c r="H7" s="73" t="s">
        <v>349</v>
      </c>
      <c r="I7" s="83">
        <v>45.73</v>
      </c>
      <c r="J7" s="83">
        <v>43.9</v>
      </c>
      <c r="K7" s="91"/>
      <c r="L7" s="66"/>
      <c r="M7" s="66"/>
      <c r="N7" s="66"/>
      <c r="O7" s="66"/>
      <c r="Q7" s="72" t="s">
        <v>353</v>
      </c>
      <c r="R7" s="72"/>
    </row>
    <row r="8" spans="1:18" ht="18.75" customHeight="1" x14ac:dyDescent="0.2">
      <c r="A8" s="79"/>
      <c r="B8" s="79"/>
      <c r="C8" s="183"/>
      <c r="D8" s="66"/>
      <c r="E8" s="81" t="s">
        <v>21</v>
      </c>
      <c r="F8" s="81" t="s">
        <v>2128</v>
      </c>
      <c r="G8" s="81" t="s">
        <v>1269</v>
      </c>
      <c r="H8" s="73" t="s">
        <v>349</v>
      </c>
      <c r="I8" s="83">
        <v>21.66</v>
      </c>
      <c r="J8" s="87"/>
      <c r="K8" s="91"/>
      <c r="L8" s="66"/>
      <c r="M8" s="66"/>
      <c r="N8" s="66"/>
      <c r="O8" s="66"/>
      <c r="Q8" s="72" t="s">
        <v>353</v>
      </c>
      <c r="R8" s="72"/>
    </row>
    <row r="9" spans="1:18" ht="18.75" customHeight="1" x14ac:dyDescent="0.2">
      <c r="A9" s="79"/>
      <c r="B9" s="79"/>
      <c r="C9" s="183"/>
      <c r="D9" s="66"/>
      <c r="E9" s="66"/>
      <c r="F9" s="66"/>
      <c r="G9" s="66"/>
      <c r="H9" s="73"/>
      <c r="I9" s="87"/>
      <c r="J9" s="87"/>
      <c r="K9" s="91"/>
      <c r="L9" s="66"/>
      <c r="M9" s="66"/>
      <c r="N9" s="66"/>
      <c r="O9" s="66"/>
      <c r="Q9" s="72" t="s">
        <v>353</v>
      </c>
      <c r="R9" s="72"/>
    </row>
    <row r="10" spans="1:18" s="72" customFormat="1" ht="18.75" customHeight="1" x14ac:dyDescent="0.2">
      <c r="A10" s="70">
        <v>34497</v>
      </c>
      <c r="B10" s="70">
        <v>34511</v>
      </c>
      <c r="C10" s="182">
        <v>13100070</v>
      </c>
      <c r="D10" s="72" t="s">
        <v>2129</v>
      </c>
      <c r="E10" s="73" t="s">
        <v>21</v>
      </c>
      <c r="F10" s="73" t="s">
        <v>2130</v>
      </c>
      <c r="G10" s="73" t="s">
        <v>607</v>
      </c>
      <c r="H10" s="73" t="s">
        <v>349</v>
      </c>
      <c r="I10" s="75">
        <v>28.26</v>
      </c>
      <c r="J10" s="75">
        <v>51.97</v>
      </c>
      <c r="K10" s="77">
        <v>69.8</v>
      </c>
      <c r="L10" s="76">
        <v>56.9</v>
      </c>
      <c r="M10" s="70">
        <v>34556</v>
      </c>
      <c r="N10" s="89">
        <v>37477</v>
      </c>
      <c r="Q10" s="72" t="s">
        <v>353</v>
      </c>
    </row>
    <row r="11" spans="1:18" ht="18.75" customHeight="1" x14ac:dyDescent="0.2">
      <c r="A11" s="79"/>
      <c r="B11" s="79"/>
      <c r="C11" s="183"/>
      <c r="D11" s="66"/>
      <c r="E11" s="81" t="s">
        <v>19</v>
      </c>
      <c r="F11" s="81" t="s">
        <v>2059</v>
      </c>
      <c r="G11" s="81" t="s">
        <v>416</v>
      </c>
      <c r="H11" s="73" t="s">
        <v>349</v>
      </c>
      <c r="I11" s="83">
        <v>38.56</v>
      </c>
      <c r="J11" s="83">
        <v>48.03</v>
      </c>
      <c r="K11" s="91"/>
      <c r="L11" s="66"/>
      <c r="M11" s="66"/>
      <c r="N11" s="66"/>
      <c r="O11" s="66"/>
      <c r="Q11" s="72" t="s">
        <v>353</v>
      </c>
      <c r="R11" s="72"/>
    </row>
    <row r="12" spans="1:18" ht="18.75" customHeight="1" x14ac:dyDescent="0.2">
      <c r="A12" s="79"/>
      <c r="B12" s="79"/>
      <c r="C12" s="183"/>
      <c r="D12" s="66"/>
      <c r="E12" s="81" t="s">
        <v>2131</v>
      </c>
      <c r="F12" s="81" t="s">
        <v>2132</v>
      </c>
      <c r="G12" s="81" t="s">
        <v>2133</v>
      </c>
      <c r="H12" s="73" t="s">
        <v>349</v>
      </c>
      <c r="I12" s="83">
        <v>22.96</v>
      </c>
      <c r="J12" s="87"/>
      <c r="K12" s="91"/>
      <c r="L12" s="66"/>
      <c r="M12" s="66"/>
      <c r="N12" s="66"/>
      <c r="O12" s="66"/>
      <c r="Q12" s="72" t="s">
        <v>353</v>
      </c>
      <c r="R12" s="72"/>
    </row>
    <row r="13" spans="1:18" ht="18.75" customHeight="1" x14ac:dyDescent="0.2">
      <c r="A13" s="79"/>
      <c r="B13" s="79"/>
      <c r="C13" s="183"/>
      <c r="D13" s="66"/>
      <c r="E13" s="81" t="s">
        <v>38</v>
      </c>
      <c r="F13" s="81" t="s">
        <v>2134</v>
      </c>
      <c r="G13" s="81" t="s">
        <v>1448</v>
      </c>
      <c r="H13" s="73" t="s">
        <v>419</v>
      </c>
      <c r="I13" s="83">
        <v>10.210000000000001</v>
      </c>
      <c r="J13" s="87"/>
      <c r="K13" s="91"/>
      <c r="L13" s="66"/>
      <c r="M13" s="66"/>
      <c r="N13" s="66"/>
      <c r="O13" s="66"/>
      <c r="Q13" s="72" t="s">
        <v>353</v>
      </c>
      <c r="R13" s="72"/>
    </row>
    <row r="14" spans="1:18" ht="18.75" customHeight="1" x14ac:dyDescent="0.2">
      <c r="A14" s="79"/>
      <c r="B14" s="79"/>
      <c r="C14" s="183"/>
      <c r="D14" s="66"/>
      <c r="E14" s="66"/>
      <c r="F14" s="66"/>
      <c r="G14" s="66"/>
      <c r="H14" s="73"/>
      <c r="I14" s="87"/>
      <c r="J14" s="87"/>
      <c r="K14" s="91"/>
      <c r="L14" s="66"/>
      <c r="M14" s="66"/>
      <c r="N14" s="66"/>
      <c r="O14" s="66"/>
      <c r="Q14" s="72" t="s">
        <v>353</v>
      </c>
      <c r="R14" s="72"/>
    </row>
    <row r="15" spans="1:18" s="72" customFormat="1" ht="18.75" customHeight="1" x14ac:dyDescent="0.2">
      <c r="A15" s="70">
        <v>34497</v>
      </c>
      <c r="B15" s="70">
        <v>34511</v>
      </c>
      <c r="C15" s="182">
        <v>13700003</v>
      </c>
      <c r="D15" s="72" t="s">
        <v>2135</v>
      </c>
      <c r="E15" s="73" t="s">
        <v>21</v>
      </c>
      <c r="F15" s="73" t="s">
        <v>2136</v>
      </c>
      <c r="G15" s="73" t="s">
        <v>464</v>
      </c>
      <c r="H15" s="73" t="s">
        <v>349</v>
      </c>
      <c r="I15" s="75">
        <v>53.09</v>
      </c>
      <c r="J15" s="77"/>
      <c r="K15" s="77">
        <v>68.400000000000006</v>
      </c>
      <c r="L15" s="76"/>
      <c r="M15" s="70">
        <v>34564</v>
      </c>
      <c r="N15" s="89">
        <v>37485</v>
      </c>
      <c r="Q15" s="72" t="s">
        <v>353</v>
      </c>
    </row>
    <row r="16" spans="1:18" ht="18.75" customHeight="1" x14ac:dyDescent="0.2">
      <c r="A16" s="79"/>
      <c r="B16" s="79"/>
      <c r="C16" s="183"/>
      <c r="D16" s="66"/>
      <c r="E16" s="81" t="s">
        <v>19</v>
      </c>
      <c r="F16" s="81" t="s">
        <v>2137</v>
      </c>
      <c r="G16" s="81" t="s">
        <v>892</v>
      </c>
      <c r="H16" s="73" t="s">
        <v>349</v>
      </c>
      <c r="I16" s="83">
        <v>40.31</v>
      </c>
      <c r="J16" s="79"/>
      <c r="K16" s="91"/>
      <c r="L16" s="66"/>
      <c r="M16" s="66"/>
      <c r="N16" s="66"/>
      <c r="O16" s="66"/>
      <c r="Q16" s="72" t="s">
        <v>353</v>
      </c>
      <c r="R16" s="72"/>
    </row>
    <row r="17" spans="1:18" ht="18.75" customHeight="1" x14ac:dyDescent="0.2">
      <c r="A17" s="79"/>
      <c r="B17" s="79"/>
      <c r="C17" s="183"/>
      <c r="D17" s="66"/>
      <c r="E17" s="81" t="s">
        <v>34</v>
      </c>
      <c r="F17" s="81" t="s">
        <v>2138</v>
      </c>
      <c r="G17" s="81" t="s">
        <v>477</v>
      </c>
      <c r="H17" s="73" t="s">
        <v>349</v>
      </c>
      <c r="I17" s="83">
        <v>6.61</v>
      </c>
      <c r="J17" s="79"/>
      <c r="K17" s="91"/>
      <c r="L17" s="66"/>
      <c r="M17" s="66"/>
      <c r="N17" s="66"/>
      <c r="O17" s="66"/>
      <c r="Q17" s="72" t="s">
        <v>353</v>
      </c>
      <c r="R17" s="72"/>
    </row>
    <row r="18" spans="1:18" ht="18.75" customHeight="1" x14ac:dyDescent="0.2">
      <c r="A18" s="79"/>
      <c r="B18" s="79"/>
      <c r="C18" s="183"/>
      <c r="D18" s="66"/>
      <c r="E18" s="66"/>
      <c r="F18" s="66"/>
      <c r="G18" s="66"/>
      <c r="H18" s="73"/>
      <c r="I18" s="87"/>
      <c r="J18" s="79"/>
      <c r="K18" s="91"/>
      <c r="L18" s="66"/>
      <c r="M18" s="66"/>
      <c r="N18" s="66"/>
      <c r="O18" s="66"/>
      <c r="Q18" s="72" t="s">
        <v>353</v>
      </c>
      <c r="R18" s="72"/>
    </row>
    <row r="19" spans="1:18" s="72" customFormat="1" ht="18.75" customHeight="1" x14ac:dyDescent="0.2">
      <c r="A19" s="70">
        <v>34497</v>
      </c>
      <c r="B19" s="70">
        <v>34511</v>
      </c>
      <c r="C19" s="182">
        <v>33800016</v>
      </c>
      <c r="D19" s="72" t="s">
        <v>2139</v>
      </c>
      <c r="E19" s="73" t="s">
        <v>2140</v>
      </c>
      <c r="F19" s="73" t="s">
        <v>2140</v>
      </c>
      <c r="G19" s="73" t="s">
        <v>407</v>
      </c>
      <c r="H19" s="73" t="s">
        <v>349</v>
      </c>
      <c r="I19" s="75">
        <v>46.56</v>
      </c>
      <c r="J19" s="75">
        <v>64.73</v>
      </c>
      <c r="K19" s="77">
        <v>86.6</v>
      </c>
      <c r="L19" s="76">
        <v>75.7</v>
      </c>
      <c r="M19" s="70">
        <v>34586</v>
      </c>
      <c r="N19" s="89">
        <v>37507</v>
      </c>
      <c r="Q19" s="72" t="s">
        <v>353</v>
      </c>
    </row>
    <row r="20" spans="1:18" ht="18.75" customHeight="1" x14ac:dyDescent="0.2">
      <c r="A20" s="79"/>
      <c r="B20" s="79"/>
      <c r="C20" s="183"/>
      <c r="D20" s="66"/>
      <c r="E20" s="81" t="s">
        <v>19</v>
      </c>
      <c r="F20" s="81" t="s">
        <v>2141</v>
      </c>
      <c r="G20" s="81" t="s">
        <v>457</v>
      </c>
      <c r="H20" s="73" t="s">
        <v>349</v>
      </c>
      <c r="I20" s="83">
        <v>27.61</v>
      </c>
      <c r="J20" s="83">
        <v>35.270000000000003</v>
      </c>
      <c r="K20" s="91"/>
      <c r="L20" s="66"/>
      <c r="M20" s="66"/>
      <c r="N20" s="66"/>
      <c r="O20" s="66"/>
      <c r="Q20" s="72" t="s">
        <v>353</v>
      </c>
      <c r="R20" s="72"/>
    </row>
    <row r="21" spans="1:18" ht="18.75" customHeight="1" x14ac:dyDescent="0.2">
      <c r="A21" s="79"/>
      <c r="B21" s="79"/>
      <c r="C21" s="183"/>
      <c r="D21" s="66"/>
      <c r="E21" s="81" t="s">
        <v>21</v>
      </c>
      <c r="F21" s="81" t="s">
        <v>2142</v>
      </c>
      <c r="G21" s="81" t="s">
        <v>2143</v>
      </c>
      <c r="H21" s="73" t="s">
        <v>349</v>
      </c>
      <c r="I21" s="83">
        <v>25.77</v>
      </c>
      <c r="J21" s="87"/>
      <c r="K21" s="91"/>
      <c r="L21" s="66"/>
      <c r="M21" s="66"/>
      <c r="N21" s="66"/>
      <c r="O21" s="66"/>
      <c r="Q21" s="72" t="s">
        <v>353</v>
      </c>
      <c r="R21" s="72"/>
    </row>
    <row r="22" spans="1:18" ht="18.75" customHeight="1" x14ac:dyDescent="0.2">
      <c r="A22" s="79"/>
      <c r="B22" s="79"/>
      <c r="C22" s="183"/>
      <c r="D22" s="66"/>
      <c r="E22" s="66"/>
      <c r="F22" s="66"/>
      <c r="G22" s="66"/>
      <c r="H22" s="73"/>
      <c r="I22" s="87"/>
      <c r="J22" s="87"/>
      <c r="K22" s="91"/>
      <c r="L22" s="66"/>
      <c r="M22" s="66"/>
      <c r="N22" s="66"/>
      <c r="O22" s="66"/>
      <c r="Q22" s="72" t="s">
        <v>353</v>
      </c>
      <c r="R22" s="72"/>
    </row>
    <row r="23" spans="1:18" s="72" customFormat="1" ht="18.75" customHeight="1" x14ac:dyDescent="0.2">
      <c r="A23" s="70">
        <v>34497</v>
      </c>
      <c r="B23" s="70">
        <v>34511</v>
      </c>
      <c r="C23" s="182">
        <v>33800017</v>
      </c>
      <c r="D23" s="72" t="s">
        <v>2144</v>
      </c>
      <c r="E23" s="73" t="s">
        <v>21</v>
      </c>
      <c r="F23" s="73" t="s">
        <v>2145</v>
      </c>
      <c r="G23" s="73" t="s">
        <v>655</v>
      </c>
      <c r="H23" s="73" t="s">
        <v>349</v>
      </c>
      <c r="I23" s="75">
        <v>58.56</v>
      </c>
      <c r="J23" s="184"/>
      <c r="K23" s="77">
        <v>77.900000000000006</v>
      </c>
      <c r="L23" s="76"/>
      <c r="M23" s="70">
        <v>34568</v>
      </c>
      <c r="N23" s="89">
        <v>37489</v>
      </c>
      <c r="Q23" s="72" t="s">
        <v>353</v>
      </c>
    </row>
    <row r="24" spans="1:18" ht="18.75" customHeight="1" x14ac:dyDescent="0.2">
      <c r="A24" s="79"/>
      <c r="B24" s="79"/>
      <c r="C24" s="183"/>
      <c r="D24" s="66"/>
      <c r="E24" s="81" t="s">
        <v>19</v>
      </c>
      <c r="F24" s="81" t="s">
        <v>2146</v>
      </c>
      <c r="G24" s="81" t="s">
        <v>383</v>
      </c>
      <c r="H24" s="73" t="s">
        <v>349</v>
      </c>
      <c r="I24" s="83">
        <v>41.44</v>
      </c>
      <c r="J24" s="87"/>
      <c r="K24" s="91"/>
      <c r="L24" s="66"/>
      <c r="M24" s="66"/>
      <c r="N24" s="66"/>
      <c r="O24" s="66"/>
      <c r="Q24" s="72" t="s">
        <v>353</v>
      </c>
      <c r="R24" s="72"/>
    </row>
    <row r="25" spans="1:18" ht="18.75" customHeight="1" x14ac:dyDescent="0.2">
      <c r="A25" s="79"/>
      <c r="B25" s="79"/>
      <c r="C25" s="183"/>
      <c r="D25" s="66"/>
      <c r="E25" s="66"/>
      <c r="F25" s="66"/>
      <c r="G25" s="66"/>
      <c r="H25" s="73"/>
      <c r="I25" s="87"/>
      <c r="J25" s="87"/>
      <c r="K25" s="91"/>
      <c r="L25" s="66"/>
      <c r="M25" s="66"/>
      <c r="N25" s="66"/>
      <c r="O25" s="66"/>
      <c r="Q25" s="72" t="s">
        <v>353</v>
      </c>
      <c r="R25" s="72"/>
    </row>
    <row r="26" spans="1:18" s="72" customFormat="1" ht="18.75" customHeight="1" x14ac:dyDescent="0.2">
      <c r="A26" s="70">
        <v>34672</v>
      </c>
      <c r="B26" s="70">
        <v>34686</v>
      </c>
      <c r="C26" s="182">
        <v>13300006</v>
      </c>
      <c r="D26" s="72" t="s">
        <v>2147</v>
      </c>
      <c r="E26" s="73" t="s">
        <v>19</v>
      </c>
      <c r="F26" s="73" t="s">
        <v>2148</v>
      </c>
      <c r="G26" s="73" t="s">
        <v>562</v>
      </c>
      <c r="H26" s="73" t="s">
        <v>349</v>
      </c>
      <c r="I26" s="75">
        <v>55.31</v>
      </c>
      <c r="J26" s="184"/>
      <c r="K26" s="77">
        <v>37.299999999999997</v>
      </c>
      <c r="L26" s="76"/>
      <c r="M26" s="70">
        <v>34882</v>
      </c>
      <c r="N26" s="89">
        <v>37803</v>
      </c>
      <c r="Q26" s="72" t="s">
        <v>353</v>
      </c>
    </row>
    <row r="27" spans="1:18" ht="18.75" customHeight="1" x14ac:dyDescent="0.2">
      <c r="A27" s="79"/>
      <c r="B27" s="79"/>
      <c r="C27" s="183"/>
      <c r="D27" s="66"/>
      <c r="E27" s="81" t="s">
        <v>21</v>
      </c>
      <c r="F27" s="81" t="s">
        <v>2149</v>
      </c>
      <c r="G27" s="81" t="s">
        <v>512</v>
      </c>
      <c r="H27" s="73" t="s">
        <v>349</v>
      </c>
      <c r="I27" s="83">
        <v>29.97</v>
      </c>
      <c r="J27" s="87"/>
      <c r="K27" s="91"/>
      <c r="L27" s="66"/>
      <c r="M27" s="66"/>
      <c r="N27" s="66"/>
      <c r="O27" s="66"/>
      <c r="Q27" s="72" t="s">
        <v>353</v>
      </c>
      <c r="R27" s="72"/>
    </row>
    <row r="28" spans="1:18" ht="18.75" customHeight="1" x14ac:dyDescent="0.2">
      <c r="A28" s="79"/>
      <c r="B28" s="79"/>
      <c r="C28" s="183"/>
      <c r="D28" s="66"/>
      <c r="E28" s="81" t="s">
        <v>34</v>
      </c>
      <c r="F28" s="81" t="s">
        <v>370</v>
      </c>
      <c r="G28" s="81" t="s">
        <v>2150</v>
      </c>
      <c r="H28" s="73" t="s">
        <v>419</v>
      </c>
      <c r="I28" s="83">
        <v>11.81</v>
      </c>
      <c r="J28" s="87"/>
      <c r="K28" s="91"/>
      <c r="L28" s="66"/>
      <c r="M28" s="66"/>
      <c r="N28" s="66"/>
      <c r="O28" s="66"/>
      <c r="Q28" s="72" t="s">
        <v>353</v>
      </c>
      <c r="R28" s="72"/>
    </row>
    <row r="29" spans="1:18" ht="18.75" customHeight="1" x14ac:dyDescent="0.2">
      <c r="A29" s="79"/>
      <c r="B29" s="79"/>
      <c r="C29" s="183"/>
      <c r="D29" s="66"/>
      <c r="E29" s="81" t="s">
        <v>2151</v>
      </c>
      <c r="F29" s="81" t="s">
        <v>2152</v>
      </c>
      <c r="G29" s="81" t="s">
        <v>2153</v>
      </c>
      <c r="H29" s="73" t="s">
        <v>349</v>
      </c>
      <c r="I29" s="83">
        <v>2.91</v>
      </c>
      <c r="J29" s="87"/>
      <c r="K29" s="91"/>
      <c r="L29" s="66"/>
      <c r="M29" s="66"/>
      <c r="N29" s="66"/>
      <c r="O29" s="66"/>
      <c r="Q29" s="72" t="s">
        <v>353</v>
      </c>
      <c r="R29" s="72"/>
    </row>
    <row r="30" spans="1:18" ht="18.75" customHeight="1" x14ac:dyDescent="0.2">
      <c r="A30" s="79"/>
      <c r="B30" s="79"/>
      <c r="C30" s="183"/>
      <c r="D30" s="66"/>
      <c r="E30" s="66"/>
      <c r="F30" s="66"/>
      <c r="G30" s="66"/>
      <c r="H30" s="73"/>
      <c r="I30" s="87"/>
      <c r="J30" s="87"/>
      <c r="K30" s="91"/>
      <c r="L30" s="66"/>
      <c r="M30" s="66"/>
      <c r="N30" s="66"/>
      <c r="O30" s="66"/>
      <c r="Q30" s="72" t="s">
        <v>353</v>
      </c>
      <c r="R30" s="72"/>
    </row>
    <row r="31" spans="1:18" s="72" customFormat="1" ht="18.75" customHeight="1" x14ac:dyDescent="0.2">
      <c r="A31" s="70">
        <v>34728</v>
      </c>
      <c r="B31" s="70"/>
      <c r="C31" s="182">
        <v>13700203</v>
      </c>
      <c r="D31" s="72" t="s">
        <v>2154</v>
      </c>
      <c r="E31" s="73" t="s">
        <v>19</v>
      </c>
      <c r="F31" s="73" t="s">
        <v>2155</v>
      </c>
      <c r="G31" s="73" t="s">
        <v>2156</v>
      </c>
      <c r="H31" s="73" t="s">
        <v>349</v>
      </c>
      <c r="I31" s="75">
        <v>51.78</v>
      </c>
      <c r="J31" s="184"/>
      <c r="K31" s="77">
        <v>64.599999999999994</v>
      </c>
      <c r="L31" s="76"/>
      <c r="M31" s="70">
        <v>34760</v>
      </c>
      <c r="N31" s="89">
        <v>37681</v>
      </c>
      <c r="Q31" s="72" t="s">
        <v>353</v>
      </c>
    </row>
    <row r="32" spans="1:18" ht="18.75" customHeight="1" x14ac:dyDescent="0.2">
      <c r="A32" s="79"/>
      <c r="B32" s="79"/>
      <c r="C32" s="183"/>
      <c r="D32" s="66"/>
      <c r="E32" s="81" t="s">
        <v>21</v>
      </c>
      <c r="F32" s="81" t="s">
        <v>2157</v>
      </c>
      <c r="G32" s="81" t="s">
        <v>2158</v>
      </c>
      <c r="H32" s="73" t="s">
        <v>349</v>
      </c>
      <c r="I32" s="83">
        <v>43.67</v>
      </c>
      <c r="J32" s="87"/>
      <c r="K32" s="91"/>
      <c r="L32" s="66"/>
      <c r="M32" s="66"/>
      <c r="N32" s="66"/>
      <c r="O32" s="66"/>
      <c r="Q32" s="72" t="s">
        <v>353</v>
      </c>
      <c r="R32" s="72"/>
    </row>
    <row r="33" spans="1:18" ht="18.75" customHeight="1" x14ac:dyDescent="0.2">
      <c r="A33" s="79"/>
      <c r="B33" s="79"/>
      <c r="C33" s="183"/>
      <c r="D33" s="66"/>
      <c r="E33" s="81" t="s">
        <v>2159</v>
      </c>
      <c r="F33" s="81" t="s">
        <v>2159</v>
      </c>
      <c r="G33" s="81" t="s">
        <v>2160</v>
      </c>
      <c r="H33" s="73" t="s">
        <v>349</v>
      </c>
      <c r="I33" s="83">
        <v>4.55</v>
      </c>
      <c r="J33" s="87"/>
      <c r="K33" s="91"/>
      <c r="L33" s="66"/>
      <c r="M33" s="66"/>
      <c r="N33" s="66"/>
      <c r="O33" s="66"/>
      <c r="Q33" s="72" t="s">
        <v>353</v>
      </c>
      <c r="R33" s="72"/>
    </row>
    <row r="34" spans="1:18" ht="18.75" customHeight="1" x14ac:dyDescent="0.2">
      <c r="A34" s="79"/>
      <c r="B34" s="79"/>
      <c r="C34" s="183"/>
      <c r="D34" s="66"/>
      <c r="E34" s="66"/>
      <c r="F34" s="66"/>
      <c r="G34" s="66"/>
      <c r="H34" s="73"/>
      <c r="I34" s="87"/>
      <c r="J34" s="87"/>
      <c r="K34" s="91"/>
      <c r="L34" s="66"/>
      <c r="M34" s="66"/>
      <c r="N34" s="66"/>
      <c r="O34" s="66"/>
      <c r="Q34" s="72" t="s">
        <v>353</v>
      </c>
      <c r="R34" s="72"/>
    </row>
    <row r="35" spans="1:18" s="72" customFormat="1" ht="18.75" customHeight="1" x14ac:dyDescent="0.2">
      <c r="A35" s="70">
        <v>34728</v>
      </c>
      <c r="B35" s="70"/>
      <c r="C35" s="182">
        <v>33100055</v>
      </c>
      <c r="D35" s="72" t="s">
        <v>2161</v>
      </c>
      <c r="E35" s="73" t="s">
        <v>21</v>
      </c>
      <c r="F35" s="73" t="s">
        <v>716</v>
      </c>
      <c r="G35" s="73" t="s">
        <v>444</v>
      </c>
      <c r="H35" s="73" t="s">
        <v>349</v>
      </c>
      <c r="I35" s="75">
        <v>69.03</v>
      </c>
      <c r="J35" s="184"/>
      <c r="K35" s="77">
        <v>65.400000000000006</v>
      </c>
      <c r="L35" s="76"/>
      <c r="M35" s="70">
        <v>34736</v>
      </c>
      <c r="N35" s="89">
        <v>37657</v>
      </c>
      <c r="Q35" s="72" t="s">
        <v>353</v>
      </c>
    </row>
    <row r="36" spans="1:18" ht="18.75" customHeight="1" x14ac:dyDescent="0.2">
      <c r="A36" s="79"/>
      <c r="B36" s="79"/>
      <c r="C36" s="183"/>
      <c r="D36" s="66"/>
      <c r="E36" s="81" t="s">
        <v>19</v>
      </c>
      <c r="F36" s="81" t="s">
        <v>2162</v>
      </c>
      <c r="G36" s="81" t="s">
        <v>738</v>
      </c>
      <c r="H36" s="73" t="s">
        <v>349</v>
      </c>
      <c r="I36" s="83">
        <v>30.97</v>
      </c>
      <c r="J36" s="87"/>
      <c r="K36" s="91"/>
      <c r="L36" s="66"/>
      <c r="M36" s="66"/>
      <c r="N36" s="66"/>
      <c r="O36" s="66"/>
      <c r="Q36" s="72" t="s">
        <v>353</v>
      </c>
      <c r="R36" s="72"/>
    </row>
    <row r="37" spans="1:18" ht="18.75" customHeight="1" x14ac:dyDescent="0.2">
      <c r="A37" s="79"/>
      <c r="B37" s="79"/>
      <c r="C37" s="183"/>
      <c r="D37" s="66"/>
      <c r="E37" s="66"/>
      <c r="F37" s="66"/>
      <c r="G37" s="66"/>
      <c r="H37" s="73"/>
      <c r="I37" s="87"/>
      <c r="J37" s="87"/>
      <c r="K37" s="91"/>
      <c r="L37" s="66"/>
      <c r="M37" s="66"/>
      <c r="N37" s="66"/>
      <c r="O37" s="66"/>
      <c r="Q37" s="72" t="s">
        <v>353</v>
      </c>
      <c r="R37" s="72"/>
    </row>
    <row r="38" spans="1:18" s="72" customFormat="1" ht="18.75" customHeight="1" x14ac:dyDescent="0.2">
      <c r="A38" s="70">
        <v>34826</v>
      </c>
      <c r="B38" s="70">
        <v>34840</v>
      </c>
      <c r="C38" s="182">
        <v>33800025</v>
      </c>
      <c r="D38" s="72" t="s">
        <v>2163</v>
      </c>
      <c r="E38" s="73" t="s">
        <v>19</v>
      </c>
      <c r="F38" s="73" t="s">
        <v>1161</v>
      </c>
      <c r="G38" s="73" t="s">
        <v>821</v>
      </c>
      <c r="H38" s="73" t="s">
        <v>349</v>
      </c>
      <c r="I38" s="75">
        <v>45.7</v>
      </c>
      <c r="J38" s="75">
        <v>50.49</v>
      </c>
      <c r="K38" s="77">
        <v>56.2</v>
      </c>
      <c r="L38" s="76">
        <v>51.2</v>
      </c>
      <c r="M38" s="70">
        <v>35023</v>
      </c>
      <c r="N38" s="89">
        <v>37944</v>
      </c>
      <c r="Q38" s="72" t="s">
        <v>353</v>
      </c>
    </row>
    <row r="39" spans="1:18" ht="18.75" customHeight="1" x14ac:dyDescent="0.2">
      <c r="A39" s="79"/>
      <c r="B39" s="79"/>
      <c r="C39" s="183"/>
      <c r="D39" s="66"/>
      <c r="E39" s="81" t="s">
        <v>21</v>
      </c>
      <c r="F39" s="81" t="s">
        <v>2164</v>
      </c>
      <c r="G39" s="81" t="s">
        <v>440</v>
      </c>
      <c r="H39" s="73" t="s">
        <v>349</v>
      </c>
      <c r="I39" s="83">
        <v>35.85</v>
      </c>
      <c r="J39" s="83">
        <v>49.51</v>
      </c>
      <c r="K39" s="91"/>
      <c r="L39" s="66"/>
      <c r="M39" s="66"/>
      <c r="N39" s="66"/>
      <c r="O39" s="66"/>
      <c r="Q39" s="72" t="s">
        <v>353</v>
      </c>
      <c r="R39" s="72"/>
    </row>
    <row r="40" spans="1:18" ht="18.75" customHeight="1" x14ac:dyDescent="0.2">
      <c r="A40" s="79"/>
      <c r="B40" s="79"/>
      <c r="C40" s="183"/>
      <c r="D40" s="66"/>
      <c r="E40" s="81" t="s">
        <v>55</v>
      </c>
      <c r="F40" s="81" t="s">
        <v>2165</v>
      </c>
      <c r="G40" s="81" t="s">
        <v>1091</v>
      </c>
      <c r="H40" s="73" t="s">
        <v>419</v>
      </c>
      <c r="I40" s="83">
        <v>9.83</v>
      </c>
      <c r="J40" s="87"/>
      <c r="K40" s="91"/>
      <c r="L40" s="66"/>
      <c r="M40" s="66"/>
      <c r="N40" s="66"/>
      <c r="O40" s="66"/>
      <c r="Q40" s="72" t="s">
        <v>353</v>
      </c>
      <c r="R40" s="72"/>
    </row>
    <row r="41" spans="1:18" ht="18.75" customHeight="1" x14ac:dyDescent="0.2">
      <c r="A41" s="79"/>
      <c r="B41" s="79"/>
      <c r="C41" s="183"/>
      <c r="D41" s="66"/>
      <c r="E41" s="81" t="s">
        <v>34</v>
      </c>
      <c r="F41" s="81" t="s">
        <v>1252</v>
      </c>
      <c r="G41" s="81" t="s">
        <v>2166</v>
      </c>
      <c r="H41" s="73" t="s">
        <v>349</v>
      </c>
      <c r="I41" s="83">
        <v>8.6199999999999992</v>
      </c>
      <c r="J41" s="87"/>
      <c r="K41" s="91"/>
      <c r="L41" s="66"/>
      <c r="M41" s="66"/>
      <c r="N41" s="66"/>
      <c r="O41" s="66"/>
      <c r="Q41" s="72" t="s">
        <v>353</v>
      </c>
      <c r="R41" s="72"/>
    </row>
    <row r="42" spans="1:18" ht="18.75" customHeight="1" x14ac:dyDescent="0.2">
      <c r="A42" s="79"/>
      <c r="B42" s="79"/>
      <c r="C42" s="183"/>
      <c r="D42" s="66"/>
      <c r="E42" s="66"/>
      <c r="F42" s="66"/>
      <c r="G42" s="66"/>
      <c r="H42" s="73"/>
      <c r="I42" s="87"/>
      <c r="J42" s="87"/>
      <c r="K42" s="91"/>
      <c r="L42" s="66"/>
      <c r="M42" s="66"/>
      <c r="N42" s="66"/>
      <c r="O42" s="66"/>
      <c r="Q42" s="72" t="s">
        <v>353</v>
      </c>
      <c r="R42" s="72"/>
    </row>
    <row r="43" spans="1:18" s="72" customFormat="1" ht="18.75" customHeight="1" x14ac:dyDescent="0.2">
      <c r="A43" s="70">
        <v>34861</v>
      </c>
      <c r="B43" s="70">
        <v>34875</v>
      </c>
      <c r="C43" s="182">
        <v>33900030</v>
      </c>
      <c r="D43" s="72" t="s">
        <v>2167</v>
      </c>
      <c r="E43" s="73" t="s">
        <v>19</v>
      </c>
      <c r="F43" s="73" t="s">
        <v>2168</v>
      </c>
      <c r="G43" s="73" t="s">
        <v>1005</v>
      </c>
      <c r="H43" s="73" t="s">
        <v>349</v>
      </c>
      <c r="I43" s="75">
        <v>55.14</v>
      </c>
      <c r="J43" s="184"/>
      <c r="K43" s="77">
        <v>55.9</v>
      </c>
      <c r="L43" s="76"/>
      <c r="M43" s="70">
        <v>35080</v>
      </c>
      <c r="N43" s="89">
        <v>38001</v>
      </c>
      <c r="Q43" s="72" t="s">
        <v>353</v>
      </c>
    </row>
    <row r="44" spans="1:18" ht="18.75" customHeight="1" x14ac:dyDescent="0.2">
      <c r="A44" s="79"/>
      <c r="B44" s="79"/>
      <c r="C44" s="183"/>
      <c r="D44" s="66"/>
      <c r="E44" s="81" t="s">
        <v>21</v>
      </c>
      <c r="F44" s="81" t="s">
        <v>2169</v>
      </c>
      <c r="G44" s="81" t="s">
        <v>562</v>
      </c>
      <c r="H44" s="73" t="s">
        <v>349</v>
      </c>
      <c r="I44" s="83">
        <v>44.86</v>
      </c>
      <c r="J44" s="87"/>
      <c r="K44" s="91"/>
      <c r="L44" s="66"/>
      <c r="M44" s="66"/>
      <c r="N44" s="66"/>
      <c r="O44" s="66"/>
      <c r="Q44" s="72" t="s">
        <v>353</v>
      </c>
      <c r="R44" s="72"/>
    </row>
    <row r="45" spans="1:18" ht="18.75" customHeight="1" x14ac:dyDescent="0.2">
      <c r="A45" s="79"/>
      <c r="B45" s="79"/>
      <c r="C45" s="183"/>
      <c r="D45" s="66"/>
      <c r="E45" s="66"/>
      <c r="F45" s="66"/>
      <c r="G45" s="66"/>
      <c r="H45" s="73"/>
      <c r="I45" s="87"/>
      <c r="J45" s="87"/>
      <c r="K45" s="91"/>
      <c r="L45" s="66"/>
      <c r="M45" s="66"/>
      <c r="N45" s="66"/>
      <c r="O45" s="66"/>
      <c r="Q45" s="72" t="s">
        <v>353</v>
      </c>
      <c r="R45" s="72"/>
    </row>
    <row r="46" spans="1:18" s="72" customFormat="1" ht="18.75" customHeight="1" x14ac:dyDescent="0.2">
      <c r="A46" s="70">
        <v>34882</v>
      </c>
      <c r="B46" s="70">
        <v>34896</v>
      </c>
      <c r="C46" s="182">
        <v>13500020</v>
      </c>
      <c r="D46" s="72" t="s">
        <v>2170</v>
      </c>
      <c r="E46" s="73" t="s">
        <v>19</v>
      </c>
      <c r="F46" s="73" t="s">
        <v>2171</v>
      </c>
      <c r="G46" s="73" t="s">
        <v>556</v>
      </c>
      <c r="H46" s="73" t="s">
        <v>349</v>
      </c>
      <c r="I46" s="75">
        <v>54.35</v>
      </c>
      <c r="J46" s="184"/>
      <c r="K46" s="77">
        <v>62.7</v>
      </c>
      <c r="L46" s="76"/>
      <c r="M46" s="70">
        <v>35096</v>
      </c>
      <c r="N46" s="89">
        <v>38017</v>
      </c>
      <c r="Q46" s="72" t="s">
        <v>353</v>
      </c>
    </row>
    <row r="47" spans="1:18" ht="18.75" customHeight="1" x14ac:dyDescent="0.2">
      <c r="A47" s="79"/>
      <c r="B47" s="79"/>
      <c r="C47" s="183"/>
      <c r="D47" s="66"/>
      <c r="E47" s="81" t="s">
        <v>21</v>
      </c>
      <c r="F47" s="81" t="s">
        <v>829</v>
      </c>
      <c r="G47" s="81" t="s">
        <v>416</v>
      </c>
      <c r="H47" s="73" t="s">
        <v>349</v>
      </c>
      <c r="I47" s="83">
        <v>35.869999999999997</v>
      </c>
      <c r="J47" s="87"/>
      <c r="K47" s="91"/>
      <c r="L47" s="66"/>
      <c r="M47" s="66"/>
      <c r="N47" s="66"/>
      <c r="O47" s="66"/>
      <c r="Q47" s="72" t="s">
        <v>353</v>
      </c>
      <c r="R47" s="72"/>
    </row>
    <row r="48" spans="1:18" ht="18.75" customHeight="1" x14ac:dyDescent="0.2">
      <c r="A48" s="79"/>
      <c r="B48" s="79"/>
      <c r="C48" s="183"/>
      <c r="D48" s="66"/>
      <c r="E48" s="81" t="s">
        <v>34</v>
      </c>
      <c r="F48" s="81" t="s">
        <v>2172</v>
      </c>
      <c r="G48" s="81" t="s">
        <v>481</v>
      </c>
      <c r="H48" s="73" t="s">
        <v>349</v>
      </c>
      <c r="I48" s="83">
        <v>9.7899999999999991</v>
      </c>
      <c r="J48" s="87"/>
      <c r="K48" s="91"/>
      <c r="L48" s="66"/>
      <c r="M48" s="66"/>
      <c r="N48" s="66"/>
      <c r="O48" s="66"/>
      <c r="Q48" s="72" t="s">
        <v>353</v>
      </c>
      <c r="R48" s="72"/>
    </row>
    <row r="49" spans="1:18" ht="18.75" customHeight="1" x14ac:dyDescent="0.2">
      <c r="A49" s="79"/>
      <c r="B49" s="79"/>
      <c r="C49" s="183"/>
      <c r="D49" s="66"/>
      <c r="E49" s="66"/>
      <c r="F49" s="66"/>
      <c r="G49" s="66"/>
      <c r="H49" s="73"/>
      <c r="I49" s="87"/>
      <c r="J49" s="87"/>
      <c r="K49" s="91"/>
      <c r="L49" s="66"/>
      <c r="M49" s="66"/>
      <c r="N49" s="66"/>
      <c r="O49" s="66"/>
      <c r="Q49" s="72" t="s">
        <v>353</v>
      </c>
      <c r="R49" s="72"/>
    </row>
    <row r="50" spans="1:18" s="72" customFormat="1" ht="18.75" customHeight="1" x14ac:dyDescent="0.2">
      <c r="A50" s="70">
        <v>34959</v>
      </c>
      <c r="B50" s="70">
        <v>34973</v>
      </c>
      <c r="C50" s="182">
        <v>13200050</v>
      </c>
      <c r="D50" s="72" t="s">
        <v>2173</v>
      </c>
      <c r="E50" s="73" t="s">
        <v>34</v>
      </c>
      <c r="F50" s="73" t="s">
        <v>2174</v>
      </c>
      <c r="G50" s="73" t="s">
        <v>789</v>
      </c>
      <c r="H50" s="73" t="s">
        <v>349</v>
      </c>
      <c r="I50" s="75">
        <v>38.450000000000003</v>
      </c>
      <c r="J50" s="75">
        <v>68.25</v>
      </c>
      <c r="K50" s="77">
        <v>60.1</v>
      </c>
      <c r="L50" s="76">
        <v>51.5</v>
      </c>
      <c r="M50" s="70">
        <v>35034</v>
      </c>
      <c r="N50" s="89">
        <v>37955</v>
      </c>
      <c r="Q50" s="72" t="s">
        <v>353</v>
      </c>
    </row>
    <row r="51" spans="1:18" ht="18.75" customHeight="1" x14ac:dyDescent="0.2">
      <c r="A51" s="79"/>
      <c r="B51" s="79"/>
      <c r="C51" s="183"/>
      <c r="D51" s="66"/>
      <c r="E51" s="81" t="s">
        <v>21</v>
      </c>
      <c r="F51" s="81" t="s">
        <v>2175</v>
      </c>
      <c r="G51" s="81" t="s">
        <v>611</v>
      </c>
      <c r="H51" s="73" t="s">
        <v>349</v>
      </c>
      <c r="I51" s="83">
        <v>23.9</v>
      </c>
      <c r="J51" s="83">
        <v>31.75</v>
      </c>
      <c r="K51" s="91"/>
      <c r="L51" s="66"/>
      <c r="M51" s="66"/>
      <c r="N51" s="66"/>
      <c r="O51" s="66"/>
      <c r="Q51" s="72" t="s">
        <v>353</v>
      </c>
      <c r="R51" s="72"/>
    </row>
    <row r="52" spans="1:18" ht="18.75" customHeight="1" x14ac:dyDescent="0.2">
      <c r="A52" s="79"/>
      <c r="B52" s="79"/>
      <c r="C52" s="183"/>
      <c r="D52" s="66"/>
      <c r="E52" s="81" t="s">
        <v>19</v>
      </c>
      <c r="F52" s="81" t="s">
        <v>584</v>
      </c>
      <c r="G52" s="81" t="s">
        <v>423</v>
      </c>
      <c r="H52" s="73" t="s">
        <v>349</v>
      </c>
      <c r="I52" s="83">
        <v>23.21</v>
      </c>
      <c r="J52" s="87"/>
      <c r="K52" s="91"/>
      <c r="L52" s="66"/>
      <c r="M52" s="66"/>
      <c r="N52" s="66"/>
      <c r="O52" s="66"/>
      <c r="Q52" s="72" t="s">
        <v>353</v>
      </c>
      <c r="R52" s="72"/>
    </row>
    <row r="53" spans="1:18" ht="18.75" customHeight="1" x14ac:dyDescent="0.2">
      <c r="A53" s="79"/>
      <c r="B53" s="79"/>
      <c r="C53" s="183"/>
      <c r="D53" s="66"/>
      <c r="E53" s="81" t="s">
        <v>55</v>
      </c>
      <c r="F53" s="81" t="s">
        <v>2176</v>
      </c>
      <c r="G53" s="81" t="s">
        <v>348</v>
      </c>
      <c r="H53" s="73" t="s">
        <v>349</v>
      </c>
      <c r="I53" s="83">
        <v>14.43</v>
      </c>
      <c r="J53" s="87"/>
      <c r="K53" s="91"/>
      <c r="L53" s="66"/>
      <c r="M53" s="66"/>
      <c r="N53" s="66"/>
      <c r="O53" s="66"/>
      <c r="Q53" s="72" t="s">
        <v>353</v>
      </c>
      <c r="R53" s="72"/>
    </row>
    <row r="54" spans="1:18" ht="18.75" customHeight="1" x14ac:dyDescent="0.2">
      <c r="A54" s="79"/>
      <c r="B54" s="79"/>
      <c r="C54" s="183"/>
      <c r="D54" s="66"/>
      <c r="E54" s="66"/>
      <c r="F54" s="66"/>
      <c r="G54" s="66"/>
      <c r="H54" s="73"/>
      <c r="I54" s="87"/>
      <c r="J54" s="87"/>
      <c r="K54" s="91"/>
      <c r="L54" s="66"/>
      <c r="M54" s="66"/>
      <c r="N54" s="66"/>
      <c r="O54" s="66"/>
      <c r="Q54" s="72" t="s">
        <v>353</v>
      </c>
      <c r="R54" s="72"/>
    </row>
    <row r="55" spans="1:18" s="72" customFormat="1" ht="18.75" customHeight="1" x14ac:dyDescent="0.2">
      <c r="A55" s="70">
        <v>35036</v>
      </c>
      <c r="B55" s="70">
        <v>35050</v>
      </c>
      <c r="C55" s="182">
        <v>33900005</v>
      </c>
      <c r="D55" s="72" t="s">
        <v>2177</v>
      </c>
      <c r="E55" s="73" t="s">
        <v>19</v>
      </c>
      <c r="F55" s="73" t="s">
        <v>2178</v>
      </c>
      <c r="G55" s="73" t="s">
        <v>1567</v>
      </c>
      <c r="H55" s="73" t="s">
        <v>419</v>
      </c>
      <c r="I55" s="75">
        <v>49.72</v>
      </c>
      <c r="J55" s="75">
        <v>53.27</v>
      </c>
      <c r="K55" s="77">
        <v>57.4</v>
      </c>
      <c r="L55" s="76">
        <v>57.6</v>
      </c>
      <c r="M55" s="70">
        <v>35278</v>
      </c>
      <c r="N55" s="89">
        <v>38199</v>
      </c>
      <c r="Q55" s="72" t="s">
        <v>353</v>
      </c>
    </row>
    <row r="56" spans="1:18" ht="18.75" customHeight="1" x14ac:dyDescent="0.2">
      <c r="A56" s="79"/>
      <c r="B56" s="79"/>
      <c r="C56" s="183"/>
      <c r="D56" s="66"/>
      <c r="E56" s="81" t="s">
        <v>21</v>
      </c>
      <c r="F56" s="81" t="s">
        <v>2179</v>
      </c>
      <c r="G56" s="81" t="s">
        <v>547</v>
      </c>
      <c r="H56" s="73" t="s">
        <v>349</v>
      </c>
      <c r="I56" s="83">
        <v>40.729999999999997</v>
      </c>
      <c r="J56" s="83">
        <v>46.73</v>
      </c>
      <c r="K56" s="91"/>
      <c r="L56" s="66"/>
      <c r="M56" s="66"/>
      <c r="N56" s="66"/>
      <c r="O56" s="66"/>
      <c r="Q56" s="72" t="s">
        <v>353</v>
      </c>
      <c r="R56" s="72"/>
    </row>
    <row r="57" spans="1:18" ht="18.75" customHeight="1" x14ac:dyDescent="0.2">
      <c r="A57" s="79"/>
      <c r="B57" s="79"/>
      <c r="C57" s="183"/>
      <c r="D57" s="66"/>
      <c r="E57" s="81" t="s">
        <v>55</v>
      </c>
      <c r="F57" s="81" t="s">
        <v>2180</v>
      </c>
      <c r="G57" s="81" t="s">
        <v>348</v>
      </c>
      <c r="H57" s="73" t="s">
        <v>349</v>
      </c>
      <c r="I57" s="83">
        <v>4.95</v>
      </c>
      <c r="J57" s="87"/>
      <c r="K57" s="91"/>
      <c r="L57" s="66"/>
      <c r="M57" s="66"/>
      <c r="N57" s="66"/>
      <c r="O57" s="66"/>
      <c r="Q57" s="72" t="s">
        <v>353</v>
      </c>
      <c r="R57" s="72"/>
    </row>
    <row r="58" spans="1:18" ht="18.75" customHeight="1" x14ac:dyDescent="0.2">
      <c r="A58" s="79"/>
      <c r="B58" s="79"/>
      <c r="C58" s="183"/>
      <c r="D58" s="66"/>
      <c r="E58" s="81" t="s">
        <v>34</v>
      </c>
      <c r="F58" s="81" t="s">
        <v>2181</v>
      </c>
      <c r="G58" s="81" t="s">
        <v>423</v>
      </c>
      <c r="H58" s="73" t="s">
        <v>349</v>
      </c>
      <c r="I58" s="83">
        <v>4.6100000000000003</v>
      </c>
      <c r="J58" s="87"/>
      <c r="K58" s="91"/>
      <c r="L58" s="66"/>
      <c r="M58" s="66"/>
      <c r="N58" s="66"/>
      <c r="O58" s="66"/>
      <c r="Q58" s="72" t="s">
        <v>353</v>
      </c>
      <c r="R58" s="72"/>
    </row>
    <row r="59" spans="1:18" ht="18.75" customHeight="1" x14ac:dyDescent="0.2">
      <c r="A59" s="79"/>
      <c r="B59" s="79"/>
      <c r="C59" s="183"/>
      <c r="D59" s="66"/>
      <c r="E59" s="66"/>
      <c r="F59" s="66"/>
      <c r="G59" s="66"/>
      <c r="H59" s="73"/>
      <c r="I59" s="87"/>
      <c r="J59" s="87"/>
      <c r="K59" s="91"/>
      <c r="L59" s="66"/>
      <c r="M59" s="66"/>
      <c r="N59" s="66"/>
      <c r="O59" s="66"/>
      <c r="Q59" s="72" t="s">
        <v>353</v>
      </c>
      <c r="R59" s="72"/>
    </row>
    <row r="60" spans="1:18" s="72" customFormat="1" ht="18.75" customHeight="1" x14ac:dyDescent="0.2">
      <c r="A60" s="70">
        <v>35148</v>
      </c>
      <c r="B60" s="70">
        <v>35169</v>
      </c>
      <c r="C60" s="182">
        <v>33200025</v>
      </c>
      <c r="D60" s="72" t="s">
        <v>2182</v>
      </c>
      <c r="E60" s="73" t="s">
        <v>1960</v>
      </c>
      <c r="F60" s="73" t="s">
        <v>1960</v>
      </c>
      <c r="G60" s="73" t="s">
        <v>2183</v>
      </c>
      <c r="H60" s="73" t="s">
        <v>349</v>
      </c>
      <c r="I60" s="75">
        <v>64.27</v>
      </c>
      <c r="J60" s="184"/>
      <c r="K60" s="77">
        <v>72.5</v>
      </c>
      <c r="L60" s="76"/>
      <c r="M60" s="70">
        <v>35278</v>
      </c>
      <c r="N60" s="89">
        <v>38199</v>
      </c>
      <c r="Q60" s="72" t="s">
        <v>353</v>
      </c>
    </row>
    <row r="61" spans="1:18" ht="18.75" customHeight="1" x14ac:dyDescent="0.2">
      <c r="A61" s="79"/>
      <c r="B61" s="79"/>
      <c r="C61" s="183"/>
      <c r="D61" s="66"/>
      <c r="E61" s="81" t="s">
        <v>19</v>
      </c>
      <c r="F61" s="81" t="s">
        <v>2184</v>
      </c>
      <c r="G61" s="81" t="s">
        <v>381</v>
      </c>
      <c r="H61" s="73" t="s">
        <v>349</v>
      </c>
      <c r="I61" s="83">
        <v>21.09</v>
      </c>
      <c r="J61" s="87"/>
      <c r="K61" s="91"/>
      <c r="L61" s="66"/>
      <c r="M61" s="66"/>
      <c r="N61" s="66"/>
      <c r="O61" s="66"/>
      <c r="Q61" s="72" t="s">
        <v>353</v>
      </c>
      <c r="R61" s="72"/>
    </row>
    <row r="62" spans="1:18" ht="18.75" customHeight="1" x14ac:dyDescent="0.2">
      <c r="A62" s="79"/>
      <c r="B62" s="79"/>
      <c r="C62" s="183"/>
      <c r="D62" s="66"/>
      <c r="E62" s="81" t="s">
        <v>2185</v>
      </c>
      <c r="F62" s="81" t="s">
        <v>2186</v>
      </c>
      <c r="G62" s="81" t="s">
        <v>423</v>
      </c>
      <c r="H62" s="73" t="s">
        <v>349</v>
      </c>
      <c r="I62" s="83">
        <v>14.64</v>
      </c>
      <c r="J62" s="87"/>
      <c r="K62" s="91"/>
      <c r="L62" s="66"/>
      <c r="M62" s="66"/>
      <c r="N62" s="66"/>
      <c r="O62" s="66"/>
      <c r="Q62" s="72" t="s">
        <v>353</v>
      </c>
      <c r="R62" s="72"/>
    </row>
    <row r="63" spans="1:18" ht="18.75" customHeight="1" x14ac:dyDescent="0.2">
      <c r="A63" s="79"/>
      <c r="B63" s="79"/>
      <c r="C63" s="183"/>
      <c r="D63" s="66"/>
      <c r="E63" s="66"/>
      <c r="F63" s="66"/>
      <c r="G63" s="66"/>
      <c r="H63" s="73"/>
      <c r="I63" s="87"/>
      <c r="J63" s="87"/>
      <c r="K63" s="91"/>
      <c r="L63" s="66"/>
      <c r="M63" s="66"/>
      <c r="N63" s="66"/>
      <c r="O63" s="66"/>
      <c r="Q63" s="72" t="s">
        <v>353</v>
      </c>
      <c r="R63" s="72"/>
    </row>
    <row r="64" spans="1:18" s="72" customFormat="1" ht="18.75" customHeight="1" x14ac:dyDescent="0.2">
      <c r="A64" s="70">
        <v>35323</v>
      </c>
      <c r="B64" s="70">
        <v>35337</v>
      </c>
      <c r="C64" s="182">
        <v>13100090</v>
      </c>
      <c r="D64" s="72" t="s">
        <v>2187</v>
      </c>
      <c r="E64" s="73" t="s">
        <v>19</v>
      </c>
      <c r="F64" s="73" t="s">
        <v>2188</v>
      </c>
      <c r="G64" s="73" t="s">
        <v>525</v>
      </c>
      <c r="H64" s="73" t="s">
        <v>349</v>
      </c>
      <c r="I64" s="75">
        <v>53.98</v>
      </c>
      <c r="J64" s="184"/>
      <c r="K64" s="77">
        <v>50.6</v>
      </c>
      <c r="L64" s="76"/>
      <c r="M64" s="70">
        <v>35462</v>
      </c>
      <c r="N64" s="89">
        <v>38383</v>
      </c>
      <c r="Q64" s="72" t="s">
        <v>353</v>
      </c>
    </row>
    <row r="65" spans="1:19" ht="18.75" customHeight="1" x14ac:dyDescent="0.2">
      <c r="A65" s="79"/>
      <c r="B65" s="79"/>
      <c r="C65" s="183"/>
      <c r="D65" s="66"/>
      <c r="E65" s="81" t="s">
        <v>21</v>
      </c>
      <c r="F65" s="81" t="s">
        <v>2189</v>
      </c>
      <c r="G65" s="81" t="s">
        <v>383</v>
      </c>
      <c r="H65" s="73" t="s">
        <v>349</v>
      </c>
      <c r="I65" s="83">
        <v>31.08</v>
      </c>
      <c r="J65" s="87"/>
      <c r="K65" s="91"/>
      <c r="L65" s="66"/>
      <c r="M65" s="66"/>
      <c r="N65" s="66"/>
      <c r="O65" s="66"/>
      <c r="Q65" s="72" t="s">
        <v>353</v>
      </c>
      <c r="R65" s="72"/>
    </row>
    <row r="66" spans="1:19" ht="18.75" customHeight="1" x14ac:dyDescent="0.2">
      <c r="A66" s="79"/>
      <c r="B66" s="79"/>
      <c r="C66" s="183"/>
      <c r="D66" s="66"/>
      <c r="E66" s="81" t="s">
        <v>2190</v>
      </c>
      <c r="F66" s="81" t="s">
        <v>2190</v>
      </c>
      <c r="G66" s="81" t="s">
        <v>1715</v>
      </c>
      <c r="H66" s="73" t="s">
        <v>349</v>
      </c>
      <c r="I66" s="83">
        <v>14.94</v>
      </c>
      <c r="J66" s="87"/>
      <c r="K66" s="91"/>
      <c r="L66" s="66"/>
      <c r="M66" s="66"/>
      <c r="N66" s="66"/>
      <c r="O66" s="66"/>
      <c r="Q66" s="72" t="s">
        <v>353</v>
      </c>
      <c r="R66" s="72"/>
    </row>
    <row r="67" spans="1:19" ht="18.75" customHeight="1" x14ac:dyDescent="0.2">
      <c r="A67" s="79"/>
      <c r="B67" s="79"/>
      <c r="C67" s="183"/>
      <c r="D67" s="66"/>
      <c r="E67" s="66"/>
      <c r="F67" s="66"/>
      <c r="G67" s="66"/>
      <c r="H67" s="73"/>
      <c r="I67" s="87"/>
      <c r="J67" s="87"/>
      <c r="K67" s="91"/>
      <c r="L67" s="66"/>
      <c r="M67" s="66"/>
      <c r="N67" s="66"/>
      <c r="O67" s="66"/>
      <c r="Q67" s="72" t="s">
        <v>353</v>
      </c>
      <c r="R67" s="72"/>
    </row>
    <row r="68" spans="1:19" s="72" customFormat="1" ht="18.75" customHeight="1" x14ac:dyDescent="0.2">
      <c r="A68" s="70">
        <v>35323</v>
      </c>
      <c r="B68" s="70">
        <v>35344</v>
      </c>
      <c r="C68" s="182">
        <v>23200018</v>
      </c>
      <c r="D68" s="72" t="s">
        <v>2191</v>
      </c>
      <c r="E68" s="73" t="s">
        <v>2192</v>
      </c>
      <c r="F68" s="73" t="s">
        <v>239</v>
      </c>
      <c r="G68" s="73" t="s">
        <v>1005</v>
      </c>
      <c r="H68" s="73" t="s">
        <v>349</v>
      </c>
      <c r="I68" s="75">
        <v>58.14</v>
      </c>
      <c r="J68" s="184"/>
      <c r="K68" s="77">
        <v>60.7</v>
      </c>
      <c r="L68" s="76"/>
      <c r="M68" s="70">
        <v>35462</v>
      </c>
      <c r="N68" s="89">
        <v>38383</v>
      </c>
      <c r="Q68" s="72" t="s">
        <v>353</v>
      </c>
      <c r="S68" s="76"/>
    </row>
    <row r="69" spans="1:19" ht="18.75" customHeight="1" x14ac:dyDescent="0.2">
      <c r="A69" s="79"/>
      <c r="B69" s="79"/>
      <c r="C69" s="183"/>
      <c r="D69" s="66"/>
      <c r="E69" s="81" t="s">
        <v>19</v>
      </c>
      <c r="F69" s="81" t="s">
        <v>2193</v>
      </c>
      <c r="G69" s="81" t="s">
        <v>754</v>
      </c>
      <c r="H69" s="73" t="s">
        <v>349</v>
      </c>
      <c r="I69" s="83">
        <v>41.86</v>
      </c>
      <c r="J69" s="87"/>
      <c r="K69" s="91"/>
      <c r="L69" s="66"/>
      <c r="M69" s="66"/>
      <c r="N69" s="66"/>
      <c r="O69" s="66"/>
      <c r="Q69" s="72" t="s">
        <v>353</v>
      </c>
      <c r="R69" s="72"/>
    </row>
    <row r="70" spans="1:19" ht="18.75" customHeight="1" x14ac:dyDescent="0.2">
      <c r="A70" s="79"/>
      <c r="B70" s="79"/>
      <c r="C70" s="183"/>
      <c r="D70" s="66"/>
      <c r="E70" s="66"/>
      <c r="F70" s="66"/>
      <c r="G70" s="66"/>
      <c r="H70" s="73"/>
      <c r="I70" s="87"/>
      <c r="J70" s="87"/>
      <c r="K70" s="91"/>
      <c r="L70" s="66"/>
      <c r="M70" s="66"/>
      <c r="N70" s="66"/>
      <c r="O70" s="66"/>
      <c r="Q70" s="72" t="s">
        <v>353</v>
      </c>
      <c r="R70" s="72"/>
    </row>
    <row r="71" spans="1:19" s="72" customFormat="1" ht="18.75" customHeight="1" x14ac:dyDescent="0.2">
      <c r="A71" s="70">
        <v>35372</v>
      </c>
      <c r="B71" s="70">
        <v>35386</v>
      </c>
      <c r="C71" s="182">
        <v>14000501</v>
      </c>
      <c r="D71" s="72" t="s">
        <v>2194</v>
      </c>
      <c r="E71" s="73" t="s">
        <v>21</v>
      </c>
      <c r="F71" s="73" t="s">
        <v>2195</v>
      </c>
      <c r="G71" s="73" t="s">
        <v>550</v>
      </c>
      <c r="H71" s="73" t="s">
        <v>349</v>
      </c>
      <c r="I71" s="75">
        <v>46.45</v>
      </c>
      <c r="J71" s="75">
        <v>56.77</v>
      </c>
      <c r="K71" s="77">
        <v>61.3</v>
      </c>
      <c r="L71" s="76">
        <v>62.1</v>
      </c>
      <c r="M71" s="70">
        <v>35643</v>
      </c>
      <c r="N71" s="89">
        <v>38564</v>
      </c>
      <c r="Q71" s="72" t="s">
        <v>353</v>
      </c>
    </row>
    <row r="72" spans="1:19" ht="18.75" customHeight="1" x14ac:dyDescent="0.2">
      <c r="A72" s="79"/>
      <c r="B72" s="79"/>
      <c r="C72" s="183"/>
      <c r="D72" s="66"/>
      <c r="E72" s="81" t="s">
        <v>19</v>
      </c>
      <c r="F72" s="81" t="s">
        <v>2196</v>
      </c>
      <c r="G72" s="81" t="s">
        <v>697</v>
      </c>
      <c r="H72" s="73" t="s">
        <v>349</v>
      </c>
      <c r="I72" s="83">
        <v>35.6</v>
      </c>
      <c r="J72" s="83">
        <v>43.23</v>
      </c>
      <c r="K72" s="91"/>
      <c r="L72" s="66"/>
      <c r="M72" s="66"/>
      <c r="N72" s="66"/>
      <c r="O72" s="66"/>
      <c r="Q72" s="72" t="s">
        <v>353</v>
      </c>
      <c r="R72" s="72"/>
    </row>
    <row r="73" spans="1:19" ht="18.75" customHeight="1" x14ac:dyDescent="0.2">
      <c r="A73" s="79"/>
      <c r="B73" s="79"/>
      <c r="C73" s="183"/>
      <c r="D73" s="66"/>
      <c r="E73" s="81" t="s">
        <v>2197</v>
      </c>
      <c r="F73" s="81" t="s">
        <v>2198</v>
      </c>
      <c r="G73" s="81" t="s">
        <v>436</v>
      </c>
      <c r="H73" s="73" t="s">
        <v>349</v>
      </c>
      <c r="I73" s="83">
        <v>17.95</v>
      </c>
      <c r="J73" s="87"/>
      <c r="K73" s="91"/>
      <c r="L73" s="66"/>
      <c r="M73" s="66"/>
      <c r="N73" s="66"/>
      <c r="O73" s="66"/>
      <c r="Q73" s="72" t="s">
        <v>353</v>
      </c>
      <c r="R73" s="72"/>
    </row>
    <row r="74" spans="1:19" ht="18.75" customHeight="1" x14ac:dyDescent="0.2">
      <c r="A74" s="79"/>
      <c r="B74" s="79"/>
      <c r="C74" s="183"/>
      <c r="D74" s="66"/>
      <c r="E74" s="66"/>
      <c r="F74" s="66"/>
      <c r="G74" s="66"/>
      <c r="H74" s="73"/>
      <c r="I74" s="87"/>
      <c r="J74" s="87"/>
      <c r="K74" s="91"/>
      <c r="L74" s="66"/>
      <c r="M74" s="66"/>
      <c r="N74" s="66"/>
      <c r="O74" s="66"/>
      <c r="Q74" s="72" t="s">
        <v>353</v>
      </c>
      <c r="R74" s="72"/>
    </row>
    <row r="75" spans="1:19" s="72" customFormat="1" ht="18.75" customHeight="1" x14ac:dyDescent="0.2">
      <c r="A75" s="70">
        <v>35575</v>
      </c>
      <c r="B75" s="70">
        <v>35589</v>
      </c>
      <c r="C75" s="182">
        <v>23100502</v>
      </c>
      <c r="D75" s="72" t="s">
        <v>2199</v>
      </c>
      <c r="E75" s="73" t="s">
        <v>2200</v>
      </c>
      <c r="F75" s="73" t="s">
        <v>2200</v>
      </c>
      <c r="G75" s="73" t="s">
        <v>2201</v>
      </c>
      <c r="H75" s="73" t="s">
        <v>349</v>
      </c>
      <c r="I75" s="75">
        <v>57.11</v>
      </c>
      <c r="J75" s="184"/>
      <c r="K75" s="76">
        <v>62</v>
      </c>
      <c r="L75" s="76"/>
      <c r="M75" s="70">
        <v>35765</v>
      </c>
      <c r="N75" s="89">
        <v>38686</v>
      </c>
      <c r="Q75" s="72" t="s">
        <v>353</v>
      </c>
    </row>
    <row r="76" spans="1:19" ht="18.75" customHeight="1" x14ac:dyDescent="0.2">
      <c r="A76" s="79"/>
      <c r="B76" s="79"/>
      <c r="C76" s="183"/>
      <c r="D76" s="66"/>
      <c r="E76" s="81" t="s">
        <v>21</v>
      </c>
      <c r="F76" s="81" t="s">
        <v>2202</v>
      </c>
      <c r="G76" s="81" t="s">
        <v>485</v>
      </c>
      <c r="H76" s="73" t="s">
        <v>349</v>
      </c>
      <c r="I76" s="83">
        <v>27.95</v>
      </c>
      <c r="J76" s="87"/>
      <c r="K76" s="91"/>
      <c r="L76" s="66"/>
      <c r="M76" s="66"/>
      <c r="N76" s="66"/>
      <c r="O76" s="66"/>
      <c r="Q76" s="72" t="s">
        <v>353</v>
      </c>
      <c r="R76" s="72"/>
    </row>
    <row r="77" spans="1:19" ht="18.75" customHeight="1" x14ac:dyDescent="0.2">
      <c r="A77" s="79"/>
      <c r="B77" s="79"/>
      <c r="C77" s="183"/>
      <c r="D77" s="66"/>
      <c r="E77" s="81" t="s">
        <v>19</v>
      </c>
      <c r="F77" s="81" t="s">
        <v>2203</v>
      </c>
      <c r="G77" s="81" t="s">
        <v>423</v>
      </c>
      <c r="H77" s="73" t="s">
        <v>349</v>
      </c>
      <c r="I77" s="83">
        <v>10.42</v>
      </c>
      <c r="J77" s="87"/>
      <c r="K77" s="91"/>
      <c r="L77" s="66"/>
      <c r="M77" s="66"/>
      <c r="N77" s="66"/>
      <c r="O77" s="66"/>
      <c r="Q77" s="72" t="s">
        <v>353</v>
      </c>
      <c r="R77" s="72"/>
    </row>
    <row r="78" spans="1:19" ht="18.75" customHeight="1" x14ac:dyDescent="0.2">
      <c r="A78" s="79"/>
      <c r="B78" s="79"/>
      <c r="C78" s="183"/>
      <c r="D78" s="66"/>
      <c r="E78" s="81" t="s">
        <v>2204</v>
      </c>
      <c r="F78" s="81" t="s">
        <v>2204</v>
      </c>
      <c r="G78" s="81" t="s">
        <v>516</v>
      </c>
      <c r="H78" s="73" t="s">
        <v>349</v>
      </c>
      <c r="I78" s="83">
        <v>4.51</v>
      </c>
      <c r="J78" s="87"/>
      <c r="K78" s="91"/>
      <c r="L78" s="66"/>
      <c r="M78" s="66"/>
      <c r="N78" s="66"/>
      <c r="O78" s="66"/>
      <c r="Q78" s="72" t="s">
        <v>353</v>
      </c>
      <c r="R78" s="72"/>
    </row>
    <row r="79" spans="1:19" ht="18.75" customHeight="1" x14ac:dyDescent="0.2">
      <c r="A79" s="79"/>
      <c r="B79" s="79"/>
      <c r="C79" s="183"/>
      <c r="D79" s="66"/>
      <c r="E79" s="66"/>
      <c r="F79" s="66"/>
      <c r="G79" s="66"/>
      <c r="H79" s="73"/>
      <c r="I79" s="87"/>
      <c r="J79" s="87"/>
      <c r="K79" s="91"/>
      <c r="L79" s="66"/>
      <c r="M79" s="66"/>
      <c r="N79" s="66"/>
      <c r="O79" s="66"/>
      <c r="Q79" s="72" t="s">
        <v>353</v>
      </c>
      <c r="R79" s="72"/>
    </row>
    <row r="80" spans="1:19" s="72" customFormat="1" ht="18.75" customHeight="1" x14ac:dyDescent="0.2">
      <c r="A80" s="70">
        <v>35589</v>
      </c>
      <c r="B80" s="70">
        <v>35603</v>
      </c>
      <c r="C80" s="182">
        <v>33800004</v>
      </c>
      <c r="D80" s="72" t="s">
        <v>2205</v>
      </c>
      <c r="E80" s="73" t="s">
        <v>19</v>
      </c>
      <c r="F80" s="73" t="s">
        <v>1774</v>
      </c>
      <c r="G80" s="73" t="s">
        <v>360</v>
      </c>
      <c r="H80" s="73" t="s">
        <v>349</v>
      </c>
      <c r="I80" s="75">
        <v>33.44</v>
      </c>
      <c r="J80" s="75">
        <v>52.59</v>
      </c>
      <c r="K80" s="76">
        <v>70.7</v>
      </c>
      <c r="L80" s="76">
        <v>64.599999999999994</v>
      </c>
      <c r="M80" s="70">
        <v>35796</v>
      </c>
      <c r="N80" s="89">
        <v>38717</v>
      </c>
      <c r="Q80" s="72" t="s">
        <v>353</v>
      </c>
    </row>
    <row r="81" spans="1:18" ht="18.75" customHeight="1" x14ac:dyDescent="0.2">
      <c r="A81" s="79"/>
      <c r="B81" s="79"/>
      <c r="C81" s="183"/>
      <c r="D81" s="66"/>
      <c r="E81" s="81" t="s">
        <v>2206</v>
      </c>
      <c r="F81" s="81" t="s">
        <v>2206</v>
      </c>
      <c r="G81" s="81" t="s">
        <v>550</v>
      </c>
      <c r="H81" s="73" t="s">
        <v>349</v>
      </c>
      <c r="I81" s="83">
        <v>32.159999999999997</v>
      </c>
      <c r="J81" s="83">
        <v>47.41</v>
      </c>
      <c r="K81" s="91"/>
      <c r="L81" s="66"/>
      <c r="M81" s="66"/>
      <c r="N81" s="66"/>
      <c r="O81" s="66"/>
      <c r="Q81" s="72" t="s">
        <v>353</v>
      </c>
      <c r="R81" s="72"/>
    </row>
    <row r="82" spans="1:18" ht="18.75" customHeight="1" x14ac:dyDescent="0.2">
      <c r="A82" s="79"/>
      <c r="B82" s="79"/>
      <c r="C82" s="183"/>
      <c r="D82" s="66"/>
      <c r="E82" s="81" t="s">
        <v>21</v>
      </c>
      <c r="F82" s="81" t="s">
        <v>398</v>
      </c>
      <c r="G82" s="81" t="s">
        <v>2207</v>
      </c>
      <c r="H82" s="73" t="s">
        <v>349</v>
      </c>
      <c r="I82" s="83">
        <v>17.88</v>
      </c>
      <c r="J82" s="87"/>
      <c r="K82" s="91"/>
      <c r="L82" s="66"/>
      <c r="M82" s="66"/>
      <c r="N82" s="66"/>
      <c r="O82" s="66"/>
      <c r="Q82" s="72" t="s">
        <v>353</v>
      </c>
      <c r="R82" s="72"/>
    </row>
    <row r="83" spans="1:18" ht="18.75" customHeight="1" x14ac:dyDescent="0.2">
      <c r="A83" s="79"/>
      <c r="B83" s="79"/>
      <c r="C83" s="183"/>
      <c r="D83" s="66"/>
      <c r="E83" s="81" t="s">
        <v>2208</v>
      </c>
      <c r="F83" s="81" t="s">
        <v>433</v>
      </c>
      <c r="G83" s="81" t="s">
        <v>1091</v>
      </c>
      <c r="H83" s="73" t="s">
        <v>419</v>
      </c>
      <c r="I83" s="83">
        <v>7.32</v>
      </c>
      <c r="J83" s="87"/>
      <c r="K83" s="91"/>
      <c r="L83" s="66"/>
      <c r="M83" s="66"/>
      <c r="N83" s="66"/>
      <c r="O83" s="66"/>
      <c r="Q83" s="72" t="s">
        <v>353</v>
      </c>
      <c r="R83" s="72"/>
    </row>
    <row r="84" spans="1:18" ht="18.75" customHeight="1" x14ac:dyDescent="0.2">
      <c r="A84" s="79"/>
      <c r="B84" s="79"/>
      <c r="C84" s="183"/>
      <c r="D84" s="66"/>
      <c r="E84" s="81" t="s">
        <v>55</v>
      </c>
      <c r="F84" s="81" t="s">
        <v>371</v>
      </c>
      <c r="G84" s="81" t="s">
        <v>358</v>
      </c>
      <c r="H84" s="73" t="s">
        <v>349</v>
      </c>
      <c r="I84" s="83">
        <v>6.83</v>
      </c>
      <c r="J84" s="87"/>
      <c r="K84" s="91"/>
      <c r="L84" s="66"/>
      <c r="M84" s="66"/>
      <c r="N84" s="66"/>
      <c r="O84" s="66"/>
      <c r="Q84" s="72" t="s">
        <v>353</v>
      </c>
      <c r="R84" s="72"/>
    </row>
    <row r="85" spans="1:18" ht="18.75" customHeight="1" x14ac:dyDescent="0.2">
      <c r="A85" s="79"/>
      <c r="B85" s="79"/>
      <c r="C85" s="183"/>
      <c r="D85" s="66"/>
      <c r="E85" s="81" t="s">
        <v>2209</v>
      </c>
      <c r="F85" s="81" t="s">
        <v>2209</v>
      </c>
      <c r="G85" s="81" t="s">
        <v>360</v>
      </c>
      <c r="H85" s="73" t="s">
        <v>349</v>
      </c>
      <c r="I85" s="83">
        <v>2.37</v>
      </c>
      <c r="J85" s="87"/>
      <c r="K85" s="91"/>
      <c r="L85" s="66"/>
      <c r="M85" s="66"/>
      <c r="N85" s="66"/>
      <c r="O85" s="66"/>
      <c r="Q85" s="72" t="s">
        <v>353</v>
      </c>
      <c r="R85" s="72"/>
    </row>
    <row r="86" spans="1:18" ht="18.75" customHeight="1" x14ac:dyDescent="0.2">
      <c r="A86" s="79"/>
      <c r="B86" s="79"/>
      <c r="C86" s="183"/>
      <c r="D86" s="66"/>
      <c r="E86" s="66"/>
      <c r="F86" s="86"/>
      <c r="G86" s="86"/>
      <c r="H86" s="73"/>
      <c r="I86" s="87"/>
      <c r="J86" s="87"/>
      <c r="K86" s="91"/>
      <c r="L86" s="66"/>
      <c r="M86" s="66"/>
      <c r="N86" s="66"/>
      <c r="O86" s="66"/>
      <c r="Q86" s="72" t="s">
        <v>353</v>
      </c>
      <c r="R86" s="72"/>
    </row>
    <row r="87" spans="1:18" s="72" customFormat="1" ht="18.75" customHeight="1" x14ac:dyDescent="0.2">
      <c r="A87" s="70">
        <v>35694</v>
      </c>
      <c r="B87" s="70">
        <v>35708</v>
      </c>
      <c r="C87" s="182">
        <v>14100075</v>
      </c>
      <c r="D87" s="72" t="s">
        <v>2210</v>
      </c>
      <c r="E87" s="73" t="s">
        <v>19</v>
      </c>
      <c r="F87" s="73" t="s">
        <v>497</v>
      </c>
      <c r="G87" s="73" t="s">
        <v>389</v>
      </c>
      <c r="H87" s="73" t="s">
        <v>349</v>
      </c>
      <c r="I87" s="75">
        <v>59.04</v>
      </c>
      <c r="J87" s="184"/>
      <c r="K87" s="76">
        <v>54.4</v>
      </c>
      <c r="L87" s="76"/>
      <c r="M87" s="70">
        <v>35811</v>
      </c>
      <c r="N87" s="89">
        <v>38732</v>
      </c>
      <c r="Q87" s="72" t="s">
        <v>353</v>
      </c>
    </row>
    <row r="88" spans="1:18" ht="18.75" customHeight="1" x14ac:dyDescent="0.2">
      <c r="A88" s="79"/>
      <c r="B88" s="79"/>
      <c r="C88" s="183"/>
      <c r="D88" s="66"/>
      <c r="E88" s="81" t="s">
        <v>21</v>
      </c>
      <c r="F88" s="81" t="s">
        <v>1405</v>
      </c>
      <c r="G88" s="81" t="s">
        <v>915</v>
      </c>
      <c r="H88" s="73" t="s">
        <v>349</v>
      </c>
      <c r="I88" s="83">
        <v>27.34</v>
      </c>
      <c r="J88" s="87"/>
      <c r="K88" s="91"/>
      <c r="L88" s="66"/>
      <c r="M88" s="66"/>
      <c r="N88" s="66"/>
      <c r="O88" s="66"/>
      <c r="Q88" s="72" t="s">
        <v>353</v>
      </c>
      <c r="R88" s="72"/>
    </row>
    <row r="89" spans="1:18" ht="18.75" customHeight="1" x14ac:dyDescent="0.2">
      <c r="A89" s="79"/>
      <c r="B89" s="79"/>
      <c r="C89" s="183"/>
      <c r="D89" s="66"/>
      <c r="E89" s="81" t="s">
        <v>38</v>
      </c>
      <c r="F89" s="81" t="s">
        <v>533</v>
      </c>
      <c r="G89" s="81" t="s">
        <v>2211</v>
      </c>
      <c r="H89" s="73" t="s">
        <v>419</v>
      </c>
      <c r="I89" s="83">
        <v>8</v>
      </c>
      <c r="J89" s="87"/>
      <c r="K89" s="91"/>
      <c r="L89" s="66"/>
      <c r="M89" s="66"/>
      <c r="N89" s="66"/>
      <c r="O89" s="66"/>
      <c r="Q89" s="72" t="s">
        <v>353</v>
      </c>
      <c r="R89" s="72"/>
    </row>
    <row r="90" spans="1:18" ht="18.75" customHeight="1" x14ac:dyDescent="0.2">
      <c r="A90" s="79"/>
      <c r="B90" s="79"/>
      <c r="C90" s="183"/>
      <c r="D90" s="66"/>
      <c r="E90" s="81" t="s">
        <v>2103</v>
      </c>
      <c r="F90" s="81" t="s">
        <v>2103</v>
      </c>
      <c r="G90" s="81" t="s">
        <v>348</v>
      </c>
      <c r="H90" s="73" t="s">
        <v>349</v>
      </c>
      <c r="I90" s="83">
        <v>5.62</v>
      </c>
      <c r="J90" s="87"/>
      <c r="K90" s="91"/>
      <c r="L90" s="66"/>
      <c r="M90" s="66"/>
      <c r="N90" s="66"/>
      <c r="O90" s="66"/>
      <c r="Q90" s="72" t="s">
        <v>353</v>
      </c>
      <c r="R90" s="72"/>
    </row>
    <row r="91" spans="1:18" ht="18.75" customHeight="1" x14ac:dyDescent="0.2">
      <c r="A91" s="79"/>
      <c r="B91" s="79"/>
      <c r="C91" s="183"/>
      <c r="D91" s="66"/>
      <c r="E91" s="66"/>
      <c r="F91" s="66"/>
      <c r="G91" s="66"/>
      <c r="H91" s="73"/>
      <c r="I91" s="87"/>
      <c r="J91" s="87"/>
      <c r="K91" s="91"/>
      <c r="L91" s="66"/>
      <c r="M91" s="66"/>
      <c r="N91" s="66"/>
      <c r="O91" s="66"/>
      <c r="Q91" s="72" t="s">
        <v>353</v>
      </c>
      <c r="R91" s="72"/>
    </row>
    <row r="92" spans="1:18" s="72" customFormat="1" ht="18.75" customHeight="1" x14ac:dyDescent="0.2">
      <c r="A92" s="70">
        <v>35869</v>
      </c>
      <c r="B92" s="70">
        <v>35883</v>
      </c>
      <c r="C92" s="182">
        <v>33900009</v>
      </c>
      <c r="D92" s="72" t="s">
        <v>2212</v>
      </c>
      <c r="E92" s="185" t="s">
        <v>19</v>
      </c>
      <c r="F92" s="185" t="s">
        <v>533</v>
      </c>
      <c r="G92" s="185" t="s">
        <v>570</v>
      </c>
      <c r="H92" s="73" t="s">
        <v>349</v>
      </c>
      <c r="I92" s="186">
        <v>39.69</v>
      </c>
      <c r="J92" s="186">
        <v>52.89</v>
      </c>
      <c r="K92" s="76">
        <v>64.900000000000006</v>
      </c>
      <c r="L92" s="76">
        <v>62.2</v>
      </c>
      <c r="M92" s="70">
        <v>36039</v>
      </c>
      <c r="N92" s="89">
        <v>38960</v>
      </c>
      <c r="Q92" s="72" t="s">
        <v>353</v>
      </c>
    </row>
    <row r="93" spans="1:18" ht="18.75" customHeight="1" x14ac:dyDescent="0.2">
      <c r="A93" s="79"/>
      <c r="B93" s="79"/>
      <c r="C93" s="183"/>
      <c r="D93" s="66"/>
      <c r="E93" s="187" t="s">
        <v>21</v>
      </c>
      <c r="F93" s="187" t="s">
        <v>2213</v>
      </c>
      <c r="G93" s="187" t="s">
        <v>776</v>
      </c>
      <c r="H93" s="73" t="s">
        <v>349</v>
      </c>
      <c r="I93" s="188">
        <v>37.44</v>
      </c>
      <c r="J93" s="188">
        <v>47.11</v>
      </c>
      <c r="K93" s="91"/>
      <c r="L93" s="66"/>
      <c r="M93" s="66"/>
      <c r="N93" s="66"/>
      <c r="O93" s="66"/>
      <c r="Q93" s="72" t="s">
        <v>353</v>
      </c>
      <c r="R93" s="72"/>
    </row>
    <row r="94" spans="1:18" ht="18.75" customHeight="1" x14ac:dyDescent="0.2">
      <c r="A94" s="79"/>
      <c r="B94" s="79"/>
      <c r="C94" s="183"/>
      <c r="D94" s="66"/>
      <c r="E94" s="187" t="s">
        <v>2214</v>
      </c>
      <c r="F94" s="187" t="s">
        <v>2215</v>
      </c>
      <c r="G94" s="187" t="s">
        <v>995</v>
      </c>
      <c r="H94" s="73" t="s">
        <v>419</v>
      </c>
      <c r="I94" s="188">
        <v>16.78</v>
      </c>
      <c r="J94" s="87"/>
      <c r="K94" s="91"/>
      <c r="L94" s="66"/>
      <c r="M94" s="66"/>
      <c r="N94" s="66"/>
      <c r="O94" s="66"/>
      <c r="Q94" s="72" t="s">
        <v>353</v>
      </c>
      <c r="R94" s="72"/>
    </row>
    <row r="95" spans="1:18" ht="18.75" customHeight="1" x14ac:dyDescent="0.2">
      <c r="A95" s="79"/>
      <c r="B95" s="79"/>
      <c r="C95" s="183"/>
      <c r="D95" s="66"/>
      <c r="E95" s="187" t="s">
        <v>2216</v>
      </c>
      <c r="F95" s="187" t="s">
        <v>2217</v>
      </c>
      <c r="G95" s="187" t="s">
        <v>516</v>
      </c>
      <c r="H95" s="73" t="s">
        <v>349</v>
      </c>
      <c r="I95" s="188">
        <v>3.61</v>
      </c>
      <c r="J95" s="87"/>
      <c r="K95" s="91"/>
      <c r="L95" s="66"/>
      <c r="M95" s="66"/>
      <c r="N95" s="66"/>
      <c r="O95" s="66"/>
      <c r="Q95" s="72" t="s">
        <v>353</v>
      </c>
      <c r="R95" s="72"/>
    </row>
    <row r="96" spans="1:18" ht="18.75" customHeight="1" x14ac:dyDescent="0.2">
      <c r="A96" s="79"/>
      <c r="B96" s="79"/>
      <c r="C96" s="183"/>
      <c r="D96" s="66"/>
      <c r="E96" s="187" t="s">
        <v>38</v>
      </c>
      <c r="F96" s="187" t="s">
        <v>2218</v>
      </c>
      <c r="G96" s="187" t="s">
        <v>392</v>
      </c>
      <c r="H96" s="73" t="s">
        <v>349</v>
      </c>
      <c r="I96" s="188">
        <v>2.48</v>
      </c>
      <c r="J96" s="87"/>
      <c r="K96" s="91"/>
      <c r="L96" s="66"/>
      <c r="M96" s="66"/>
      <c r="N96" s="66"/>
      <c r="O96" s="66"/>
      <c r="Q96" s="72" t="s">
        <v>353</v>
      </c>
      <c r="R96" s="72"/>
    </row>
    <row r="97" spans="1:18" ht="18.75" customHeight="1" x14ac:dyDescent="0.2">
      <c r="A97" s="79"/>
      <c r="B97" s="79"/>
      <c r="C97" s="183"/>
      <c r="D97" s="66"/>
      <c r="E97" s="66"/>
      <c r="F97" s="66"/>
      <c r="G97" s="66"/>
      <c r="H97" s="73"/>
      <c r="I97" s="87"/>
      <c r="J97" s="87"/>
      <c r="K97" s="91"/>
      <c r="L97" s="66"/>
      <c r="M97" s="66"/>
      <c r="N97" s="66"/>
      <c r="O97" s="66"/>
      <c r="Q97" s="72" t="s">
        <v>353</v>
      </c>
      <c r="R97" s="72"/>
    </row>
    <row r="98" spans="1:18" s="72" customFormat="1" ht="18.75" customHeight="1" x14ac:dyDescent="0.2">
      <c r="A98" s="70">
        <v>36065</v>
      </c>
      <c r="B98" s="70">
        <v>36079</v>
      </c>
      <c r="C98" s="182">
        <v>33800001</v>
      </c>
      <c r="D98" s="72" t="s">
        <v>2219</v>
      </c>
      <c r="E98" s="185" t="s">
        <v>2220</v>
      </c>
      <c r="F98" s="185" t="s">
        <v>2220</v>
      </c>
      <c r="G98" s="185" t="s">
        <v>697</v>
      </c>
      <c r="H98" s="73" t="s">
        <v>349</v>
      </c>
      <c r="I98" s="186">
        <v>53.53</v>
      </c>
      <c r="J98" s="184"/>
      <c r="K98" s="76">
        <v>85.2</v>
      </c>
      <c r="L98" s="76"/>
      <c r="M98" s="189">
        <v>36313</v>
      </c>
      <c r="N98" s="190">
        <v>38168</v>
      </c>
      <c r="Q98" s="72" t="s">
        <v>353</v>
      </c>
    </row>
    <row r="99" spans="1:18" ht="18.75" customHeight="1" x14ac:dyDescent="0.2">
      <c r="A99" s="79"/>
      <c r="B99" s="79"/>
      <c r="C99" s="183"/>
      <c r="D99" s="66"/>
      <c r="E99" s="187" t="s">
        <v>19</v>
      </c>
      <c r="F99" s="187" t="s">
        <v>2221</v>
      </c>
      <c r="G99" s="187" t="s">
        <v>2222</v>
      </c>
      <c r="H99" s="73" t="s">
        <v>349</v>
      </c>
      <c r="I99" s="188">
        <v>29</v>
      </c>
      <c r="J99" s="191"/>
      <c r="K99" s="91"/>
      <c r="L99" s="66"/>
      <c r="M99" s="66"/>
      <c r="N99" s="66"/>
      <c r="O99" s="66"/>
      <c r="Q99" s="72" t="s">
        <v>353</v>
      </c>
      <c r="R99" s="72"/>
    </row>
    <row r="100" spans="1:18" ht="18.75" customHeight="1" x14ac:dyDescent="0.2">
      <c r="A100" s="79"/>
      <c r="B100" s="79"/>
      <c r="C100" s="183"/>
      <c r="D100" s="66"/>
      <c r="E100" s="187" t="s">
        <v>276</v>
      </c>
      <c r="F100" s="187" t="s">
        <v>276</v>
      </c>
      <c r="G100" s="187" t="s">
        <v>854</v>
      </c>
      <c r="H100" s="73" t="s">
        <v>349</v>
      </c>
      <c r="I100" s="188">
        <v>17.47</v>
      </c>
      <c r="J100" s="191"/>
      <c r="K100" s="91"/>
      <c r="L100" s="66"/>
      <c r="M100" s="66"/>
      <c r="N100" s="66"/>
      <c r="O100" s="66"/>
      <c r="Q100" s="72" t="s">
        <v>353</v>
      </c>
      <c r="R100" s="72"/>
    </row>
    <row r="101" spans="1:18" ht="18.75" customHeight="1" x14ac:dyDescent="0.2">
      <c r="A101" s="79"/>
      <c r="B101" s="79"/>
      <c r="C101" s="183"/>
      <c r="D101" s="66"/>
      <c r="E101" s="66"/>
      <c r="F101" s="66"/>
      <c r="G101" s="66"/>
      <c r="H101" s="73"/>
      <c r="I101" s="87"/>
      <c r="J101" s="191"/>
      <c r="K101" s="91"/>
      <c r="L101" s="66"/>
      <c r="M101" s="66"/>
      <c r="N101" s="66"/>
      <c r="O101" s="66"/>
      <c r="Q101" s="72" t="s">
        <v>353</v>
      </c>
      <c r="R101" s="72"/>
    </row>
    <row r="102" spans="1:18" s="72" customFormat="1" ht="18.75" customHeight="1" x14ac:dyDescent="0.2">
      <c r="A102" s="70">
        <v>36065</v>
      </c>
      <c r="B102" s="70">
        <v>36079</v>
      </c>
      <c r="C102" s="182">
        <v>33800005</v>
      </c>
      <c r="D102" s="72" t="s">
        <v>2223</v>
      </c>
      <c r="E102" s="185" t="s">
        <v>21</v>
      </c>
      <c r="F102" s="185" t="s">
        <v>1096</v>
      </c>
      <c r="G102" s="185" t="s">
        <v>433</v>
      </c>
      <c r="H102" s="73" t="s">
        <v>349</v>
      </c>
      <c r="I102" s="186">
        <v>78.489999999999995</v>
      </c>
      <c r="J102" s="184"/>
      <c r="K102" s="76">
        <v>88.5</v>
      </c>
      <c r="L102" s="76"/>
      <c r="M102" s="189">
        <v>36220</v>
      </c>
      <c r="N102" s="192">
        <v>39141</v>
      </c>
      <c r="Q102" s="72" t="s">
        <v>353</v>
      </c>
    </row>
    <row r="103" spans="1:18" ht="18.75" customHeight="1" x14ac:dyDescent="0.2">
      <c r="A103" s="79"/>
      <c r="B103" s="79"/>
      <c r="C103" s="183"/>
      <c r="D103" s="66"/>
      <c r="E103" s="187" t="s">
        <v>19</v>
      </c>
      <c r="F103" s="187" t="s">
        <v>872</v>
      </c>
      <c r="G103" s="187" t="s">
        <v>477</v>
      </c>
      <c r="H103" s="73" t="s">
        <v>349</v>
      </c>
      <c r="I103" s="188">
        <v>21.51</v>
      </c>
      <c r="J103" s="191"/>
      <c r="K103" s="91"/>
      <c r="L103" s="66"/>
      <c r="M103" s="66"/>
      <c r="N103" s="66"/>
      <c r="O103" s="66"/>
      <c r="Q103" s="72" t="s">
        <v>353</v>
      </c>
      <c r="R103" s="72"/>
    </row>
    <row r="104" spans="1:18" ht="18.75" customHeight="1" x14ac:dyDescent="0.2">
      <c r="A104" s="79"/>
      <c r="B104" s="79"/>
      <c r="C104" s="183"/>
      <c r="D104" s="66"/>
      <c r="E104" s="66"/>
      <c r="F104" s="66"/>
      <c r="G104" s="66"/>
      <c r="H104" s="73"/>
      <c r="I104" s="87"/>
      <c r="J104" s="191"/>
      <c r="K104" s="91"/>
      <c r="L104" s="66"/>
      <c r="M104" s="66"/>
      <c r="N104" s="66"/>
      <c r="O104" s="66"/>
      <c r="Q104" s="72" t="s">
        <v>353</v>
      </c>
      <c r="R104" s="72"/>
    </row>
    <row r="105" spans="1:18" s="72" customFormat="1" ht="18.75" customHeight="1" x14ac:dyDescent="0.2">
      <c r="A105" s="70">
        <v>36226</v>
      </c>
      <c r="B105" s="70">
        <v>36240</v>
      </c>
      <c r="C105" s="182">
        <v>33800023</v>
      </c>
      <c r="D105" s="72" t="s">
        <v>2224</v>
      </c>
      <c r="E105" s="185" t="s">
        <v>19</v>
      </c>
      <c r="F105" s="185" t="s">
        <v>1534</v>
      </c>
      <c r="G105" s="185" t="s">
        <v>360</v>
      </c>
      <c r="H105" s="73" t="s">
        <v>349</v>
      </c>
      <c r="I105" s="186">
        <v>36.58</v>
      </c>
      <c r="J105" s="186">
        <v>50.48</v>
      </c>
      <c r="K105" s="76">
        <v>63.9</v>
      </c>
      <c r="L105" s="76">
        <v>57.8</v>
      </c>
      <c r="M105" s="70">
        <v>36373</v>
      </c>
      <c r="N105" s="89">
        <v>39294</v>
      </c>
      <c r="Q105" s="72" t="s">
        <v>353</v>
      </c>
    </row>
    <row r="106" spans="1:18" ht="18.75" customHeight="1" x14ac:dyDescent="0.2">
      <c r="A106" s="79"/>
      <c r="B106" s="79"/>
      <c r="C106" s="183"/>
      <c r="D106" s="66"/>
      <c r="E106" s="187" t="s">
        <v>34</v>
      </c>
      <c r="F106" s="187" t="s">
        <v>347</v>
      </c>
      <c r="G106" s="187" t="s">
        <v>2225</v>
      </c>
      <c r="H106" s="73" t="s">
        <v>349</v>
      </c>
      <c r="I106" s="188">
        <v>26.63</v>
      </c>
      <c r="J106" s="188">
        <v>49.52</v>
      </c>
      <c r="K106" s="91"/>
      <c r="L106" s="66"/>
      <c r="M106" s="66"/>
      <c r="N106" s="66"/>
      <c r="O106" s="66"/>
      <c r="Q106" s="72" t="s">
        <v>353</v>
      </c>
      <c r="R106" s="72"/>
    </row>
    <row r="107" spans="1:18" ht="18.75" customHeight="1" x14ac:dyDescent="0.2">
      <c r="A107" s="79"/>
      <c r="B107" s="79"/>
      <c r="C107" s="183"/>
      <c r="D107" s="66"/>
      <c r="E107" s="187" t="s">
        <v>55</v>
      </c>
      <c r="F107" s="187" t="s">
        <v>2226</v>
      </c>
      <c r="G107" s="187" t="s">
        <v>850</v>
      </c>
      <c r="H107" s="73" t="s">
        <v>349</v>
      </c>
      <c r="I107" s="188">
        <v>20.94</v>
      </c>
      <c r="J107" s="87"/>
      <c r="K107" s="91"/>
      <c r="L107" s="66"/>
      <c r="M107" s="66"/>
      <c r="N107" s="66"/>
      <c r="O107" s="66"/>
      <c r="Q107" s="72" t="s">
        <v>353</v>
      </c>
      <c r="R107" s="72"/>
    </row>
    <row r="108" spans="1:18" ht="18.75" customHeight="1" x14ac:dyDescent="0.2">
      <c r="A108" s="79"/>
      <c r="B108" s="79"/>
      <c r="C108" s="183"/>
      <c r="D108" s="66"/>
      <c r="E108" s="187" t="s">
        <v>21</v>
      </c>
      <c r="F108" s="187" t="s">
        <v>2227</v>
      </c>
      <c r="G108" s="187" t="s">
        <v>550</v>
      </c>
      <c r="H108" s="73" t="s">
        <v>349</v>
      </c>
      <c r="I108" s="188">
        <v>15.85</v>
      </c>
      <c r="J108" s="87"/>
      <c r="K108" s="91"/>
      <c r="L108" s="66"/>
      <c r="M108" s="66"/>
      <c r="N108" s="66"/>
      <c r="O108" s="66"/>
      <c r="Q108" s="72" t="s">
        <v>353</v>
      </c>
      <c r="R108" s="72"/>
    </row>
    <row r="109" spans="1:18" ht="18.75" customHeight="1" x14ac:dyDescent="0.2">
      <c r="A109" s="79"/>
      <c r="B109" s="79"/>
      <c r="C109" s="183"/>
      <c r="D109" s="66"/>
      <c r="E109" s="66"/>
      <c r="F109" s="66"/>
      <c r="G109" s="66"/>
      <c r="H109" s="73"/>
      <c r="I109" s="87"/>
      <c r="J109" s="87"/>
      <c r="K109" s="91"/>
      <c r="L109" s="66"/>
      <c r="M109" s="66"/>
      <c r="N109" s="66"/>
      <c r="O109" s="66"/>
      <c r="Q109" s="72" t="s">
        <v>353</v>
      </c>
      <c r="R109" s="72"/>
    </row>
    <row r="110" spans="1:18" s="72" customFormat="1" ht="18.75" customHeight="1" x14ac:dyDescent="0.2">
      <c r="A110" s="70">
        <v>36324</v>
      </c>
      <c r="B110" s="70">
        <v>36338</v>
      </c>
      <c r="C110" s="182">
        <v>33200002</v>
      </c>
      <c r="D110" s="72" t="s">
        <v>2228</v>
      </c>
      <c r="E110" s="185" t="s">
        <v>19</v>
      </c>
      <c r="F110" s="185" t="s">
        <v>1333</v>
      </c>
      <c r="G110" s="185" t="s">
        <v>348</v>
      </c>
      <c r="H110" s="73" t="s">
        <v>349</v>
      </c>
      <c r="I110" s="186">
        <v>51.71</v>
      </c>
      <c r="J110" s="184"/>
      <c r="K110" s="76">
        <v>64.8</v>
      </c>
      <c r="L110" s="76"/>
      <c r="M110" s="70">
        <v>36526</v>
      </c>
      <c r="N110" s="89">
        <v>39447</v>
      </c>
      <c r="Q110" s="72" t="s">
        <v>353</v>
      </c>
    </row>
    <row r="111" spans="1:18" ht="18.75" customHeight="1" x14ac:dyDescent="0.2">
      <c r="A111" s="79"/>
      <c r="B111" s="79"/>
      <c r="C111" s="183"/>
      <c r="D111" s="66"/>
      <c r="E111" s="187" t="s">
        <v>2229</v>
      </c>
      <c r="F111" s="187" t="s">
        <v>2229</v>
      </c>
      <c r="G111" s="187" t="s">
        <v>861</v>
      </c>
      <c r="H111" s="73" t="s">
        <v>349</v>
      </c>
      <c r="I111" s="188">
        <v>48.29</v>
      </c>
      <c r="J111" s="87"/>
      <c r="K111" s="91"/>
      <c r="L111" s="66"/>
      <c r="M111" s="66"/>
      <c r="N111" s="66"/>
      <c r="O111" s="66"/>
      <c r="Q111" s="72" t="s">
        <v>353</v>
      </c>
      <c r="R111" s="72"/>
    </row>
    <row r="112" spans="1:18" ht="18.75" customHeight="1" x14ac:dyDescent="0.2">
      <c r="A112" s="79"/>
      <c r="B112" s="79"/>
      <c r="C112" s="183"/>
      <c r="D112" s="66"/>
      <c r="E112" s="66"/>
      <c r="F112" s="66"/>
      <c r="G112" s="66"/>
      <c r="H112" s="73"/>
      <c r="I112" s="87"/>
      <c r="J112" s="87"/>
      <c r="K112" s="91"/>
      <c r="L112" s="66"/>
      <c r="M112" s="66"/>
      <c r="N112" s="66"/>
      <c r="O112" s="66"/>
      <c r="Q112" s="72" t="s">
        <v>353</v>
      </c>
      <c r="R112" s="72"/>
    </row>
    <row r="113" spans="1:18" s="72" customFormat="1" ht="18.75" customHeight="1" x14ac:dyDescent="0.2">
      <c r="A113" s="70">
        <v>36457</v>
      </c>
      <c r="B113" s="70">
        <v>36471</v>
      </c>
      <c r="C113" s="182">
        <v>33400501</v>
      </c>
      <c r="D113" s="72" t="s">
        <v>2230</v>
      </c>
      <c r="E113" s="185" t="s">
        <v>19</v>
      </c>
      <c r="F113" s="185" t="s">
        <v>2231</v>
      </c>
      <c r="G113" s="185" t="s">
        <v>591</v>
      </c>
      <c r="H113" s="73" t="s">
        <v>349</v>
      </c>
      <c r="I113" s="186">
        <v>59.94</v>
      </c>
      <c r="J113" s="184"/>
      <c r="K113" s="76">
        <v>53.5</v>
      </c>
      <c r="L113" s="76"/>
      <c r="M113" s="70">
        <v>36708</v>
      </c>
      <c r="N113" s="89">
        <v>39629</v>
      </c>
      <c r="Q113" s="72" t="s">
        <v>353</v>
      </c>
    </row>
    <row r="114" spans="1:18" ht="18.75" customHeight="1" x14ac:dyDescent="0.2">
      <c r="A114" s="79"/>
      <c r="B114" s="79"/>
      <c r="C114" s="183"/>
      <c r="D114" s="66"/>
      <c r="E114" s="187" t="s">
        <v>21</v>
      </c>
      <c r="F114" s="187" t="s">
        <v>1082</v>
      </c>
      <c r="G114" s="187" t="s">
        <v>1005</v>
      </c>
      <c r="H114" s="73" t="s">
        <v>349</v>
      </c>
      <c r="I114" s="188">
        <v>40.06</v>
      </c>
      <c r="J114" s="87"/>
      <c r="K114" s="91"/>
      <c r="L114" s="66"/>
      <c r="M114" s="66"/>
      <c r="N114" s="66"/>
      <c r="O114" s="66"/>
      <c r="Q114" s="72" t="s">
        <v>353</v>
      </c>
      <c r="R114" s="72"/>
    </row>
    <row r="115" spans="1:18" ht="18.75" customHeight="1" x14ac:dyDescent="0.2">
      <c r="A115" s="79"/>
      <c r="B115" s="79"/>
      <c r="C115" s="183"/>
      <c r="D115" s="66"/>
      <c r="E115" s="66"/>
      <c r="F115" s="66"/>
      <c r="G115" s="66"/>
      <c r="H115" s="73"/>
      <c r="I115" s="87"/>
      <c r="J115" s="87"/>
      <c r="K115" s="91"/>
      <c r="L115" s="66"/>
      <c r="M115" s="66"/>
      <c r="N115" s="66"/>
      <c r="O115" s="66"/>
      <c r="Q115" s="72" t="s">
        <v>353</v>
      </c>
      <c r="R115" s="72"/>
    </row>
    <row r="116" spans="1:18" s="72" customFormat="1" ht="18.75" customHeight="1" x14ac:dyDescent="0.2">
      <c r="A116" s="70">
        <v>36569</v>
      </c>
      <c r="B116" s="70">
        <v>36583</v>
      </c>
      <c r="C116" s="182">
        <v>13800045</v>
      </c>
      <c r="D116" s="72" t="s">
        <v>2232</v>
      </c>
      <c r="E116" s="185" t="s">
        <v>21</v>
      </c>
      <c r="F116" s="185" t="s">
        <v>1919</v>
      </c>
      <c r="G116" s="185" t="s">
        <v>1068</v>
      </c>
      <c r="H116" s="73" t="s">
        <v>349</v>
      </c>
      <c r="I116" s="186">
        <v>54.92</v>
      </c>
      <c r="J116" s="184"/>
      <c r="K116" s="76">
        <v>40.799999999999997</v>
      </c>
      <c r="L116" s="76"/>
      <c r="M116" s="70">
        <v>36699</v>
      </c>
      <c r="N116" s="89">
        <v>39620</v>
      </c>
      <c r="Q116" s="72" t="s">
        <v>353</v>
      </c>
    </row>
    <row r="117" spans="1:18" ht="18.75" customHeight="1" x14ac:dyDescent="0.2">
      <c r="A117" s="79"/>
      <c r="B117" s="79"/>
      <c r="C117" s="183"/>
      <c r="D117" s="66"/>
      <c r="E117" s="187" t="s">
        <v>19</v>
      </c>
      <c r="F117" s="187" t="s">
        <v>2233</v>
      </c>
      <c r="G117" s="187" t="s">
        <v>352</v>
      </c>
      <c r="H117" s="73" t="s">
        <v>349</v>
      </c>
      <c r="I117" s="188">
        <v>29.35</v>
      </c>
      <c r="J117" s="87"/>
      <c r="K117" s="91"/>
      <c r="L117" s="66"/>
      <c r="M117" s="66"/>
      <c r="N117" s="66"/>
      <c r="O117" s="66"/>
      <c r="Q117" s="72" t="s">
        <v>353</v>
      </c>
      <c r="R117" s="72"/>
    </row>
    <row r="118" spans="1:18" ht="18.75" customHeight="1" x14ac:dyDescent="0.2">
      <c r="A118" s="79"/>
      <c r="B118" s="79"/>
      <c r="C118" s="183"/>
      <c r="D118" s="66"/>
      <c r="E118" s="187" t="s">
        <v>55</v>
      </c>
      <c r="F118" s="187" t="s">
        <v>2234</v>
      </c>
      <c r="G118" s="187" t="s">
        <v>2235</v>
      </c>
      <c r="H118" s="73" t="s">
        <v>349</v>
      </c>
      <c r="I118" s="188">
        <v>8.99</v>
      </c>
      <c r="J118" s="87"/>
      <c r="K118" s="91"/>
      <c r="L118" s="66"/>
      <c r="M118" s="66"/>
      <c r="N118" s="66"/>
      <c r="O118" s="66"/>
      <c r="Q118" s="72" t="s">
        <v>353</v>
      </c>
      <c r="R118" s="72"/>
    </row>
    <row r="119" spans="1:18" ht="18.75" customHeight="1" x14ac:dyDescent="0.2">
      <c r="A119" s="79"/>
      <c r="B119" s="79"/>
      <c r="C119" s="183"/>
      <c r="D119" s="66"/>
      <c r="E119" s="187" t="s">
        <v>34</v>
      </c>
      <c r="F119" s="187" t="s">
        <v>2236</v>
      </c>
      <c r="G119" s="187" t="s">
        <v>565</v>
      </c>
      <c r="H119" s="73" t="s">
        <v>349</v>
      </c>
      <c r="I119" s="188">
        <v>2.72</v>
      </c>
      <c r="J119" s="87"/>
      <c r="K119" s="91"/>
      <c r="L119" s="66"/>
      <c r="M119" s="66"/>
      <c r="N119" s="66"/>
      <c r="O119" s="66"/>
      <c r="Q119" s="72" t="s">
        <v>353</v>
      </c>
      <c r="R119" s="72"/>
    </row>
    <row r="120" spans="1:18" ht="18.75" customHeight="1" x14ac:dyDescent="0.2">
      <c r="A120" s="79"/>
      <c r="B120" s="79"/>
      <c r="C120" s="183"/>
      <c r="D120" s="66"/>
      <c r="E120" s="187" t="s">
        <v>2237</v>
      </c>
      <c r="F120" s="187" t="s">
        <v>2237</v>
      </c>
      <c r="G120" s="187" t="s">
        <v>1005</v>
      </c>
      <c r="H120" s="73" t="s">
        <v>349</v>
      </c>
      <c r="I120" s="188">
        <v>2.0699999999999998</v>
      </c>
      <c r="J120" s="87"/>
      <c r="K120" s="91"/>
      <c r="L120" s="66"/>
      <c r="M120" s="66"/>
      <c r="N120" s="66"/>
      <c r="O120" s="66"/>
      <c r="Q120" s="72" t="s">
        <v>353</v>
      </c>
      <c r="R120" s="72"/>
    </row>
    <row r="121" spans="1:18" ht="18.75" customHeight="1" x14ac:dyDescent="0.2">
      <c r="A121" s="79"/>
      <c r="B121" s="79"/>
      <c r="C121" s="183"/>
      <c r="D121" s="66"/>
      <c r="E121" s="187" t="s">
        <v>1368</v>
      </c>
      <c r="F121" s="187" t="s">
        <v>1368</v>
      </c>
      <c r="G121" s="187" t="s">
        <v>444</v>
      </c>
      <c r="H121" s="73" t="s">
        <v>349</v>
      </c>
      <c r="I121" s="188">
        <v>1.94</v>
      </c>
      <c r="J121" s="87"/>
      <c r="K121" s="91"/>
      <c r="L121" s="66"/>
      <c r="M121" s="66"/>
      <c r="N121" s="66"/>
      <c r="O121" s="66"/>
      <c r="Q121" s="72" t="s">
        <v>353</v>
      </c>
      <c r="R121" s="72"/>
    </row>
    <row r="122" spans="1:18" ht="18.75" customHeight="1" x14ac:dyDescent="0.2">
      <c r="A122" s="79"/>
      <c r="B122" s="79"/>
      <c r="C122" s="183"/>
      <c r="D122" s="66"/>
      <c r="E122" s="66"/>
      <c r="F122" s="66"/>
      <c r="G122" s="66"/>
      <c r="H122" s="73"/>
      <c r="I122" s="87"/>
      <c r="J122" s="87"/>
      <c r="K122" s="91"/>
      <c r="L122" s="66"/>
      <c r="M122" s="66"/>
      <c r="N122" s="66"/>
      <c r="O122" s="66"/>
      <c r="Q122" s="72" t="s">
        <v>353</v>
      </c>
      <c r="R122" s="72"/>
    </row>
    <row r="123" spans="1:18" s="72" customFormat="1" ht="18.75" customHeight="1" x14ac:dyDescent="0.2">
      <c r="A123" s="70">
        <v>36597</v>
      </c>
      <c r="B123" s="70">
        <v>36611</v>
      </c>
      <c r="C123" s="182">
        <v>33100003</v>
      </c>
      <c r="D123" s="72" t="s">
        <v>2238</v>
      </c>
      <c r="E123" s="185" t="s">
        <v>21</v>
      </c>
      <c r="F123" s="185" t="s">
        <v>2239</v>
      </c>
      <c r="G123" s="185" t="s">
        <v>2143</v>
      </c>
      <c r="H123" s="73" t="s">
        <v>349</v>
      </c>
      <c r="I123" s="186">
        <v>74.31</v>
      </c>
      <c r="J123" s="184"/>
      <c r="K123" s="76">
        <v>40.299999999999997</v>
      </c>
      <c r="L123" s="76"/>
      <c r="M123" s="70">
        <v>36743</v>
      </c>
      <c r="N123" s="68">
        <v>38960</v>
      </c>
      <c r="Q123" s="72" t="s">
        <v>353</v>
      </c>
    </row>
    <row r="124" spans="1:18" ht="18.75" customHeight="1" x14ac:dyDescent="0.2">
      <c r="A124" s="79"/>
      <c r="B124" s="79"/>
      <c r="C124" s="183"/>
      <c r="D124" s="66" t="s">
        <v>2240</v>
      </c>
      <c r="E124" s="187" t="s">
        <v>34</v>
      </c>
      <c r="F124" s="187" t="s">
        <v>2241</v>
      </c>
      <c r="G124" s="187" t="s">
        <v>2242</v>
      </c>
      <c r="H124" s="73" t="s">
        <v>349</v>
      </c>
      <c r="I124" s="188">
        <v>17.3</v>
      </c>
      <c r="J124" s="87"/>
      <c r="K124" s="91"/>
      <c r="L124" s="66"/>
      <c r="M124" s="66"/>
      <c r="N124" s="66"/>
      <c r="O124" s="66"/>
      <c r="Q124" s="72" t="s">
        <v>353</v>
      </c>
      <c r="R124" s="72"/>
    </row>
    <row r="125" spans="1:18" ht="18.75" customHeight="1" x14ac:dyDescent="0.2">
      <c r="A125" s="79"/>
      <c r="B125" s="79"/>
      <c r="C125" s="183"/>
      <c r="D125" s="66"/>
      <c r="E125" s="187" t="s">
        <v>2243</v>
      </c>
      <c r="F125" s="187" t="s">
        <v>2243</v>
      </c>
      <c r="G125" s="187" t="s">
        <v>2244</v>
      </c>
      <c r="H125" s="73" t="s">
        <v>349</v>
      </c>
      <c r="I125" s="188">
        <v>8.39</v>
      </c>
      <c r="J125" s="87"/>
      <c r="K125" s="91"/>
      <c r="L125" s="66"/>
      <c r="M125" s="66"/>
      <c r="N125" s="66"/>
      <c r="O125" s="66"/>
      <c r="Q125" s="72" t="s">
        <v>353</v>
      </c>
      <c r="R125" s="72"/>
    </row>
    <row r="126" spans="1:18" ht="18.75" customHeight="1" x14ac:dyDescent="0.2">
      <c r="A126" s="79"/>
      <c r="B126" s="79"/>
      <c r="C126" s="183"/>
      <c r="D126" s="66"/>
      <c r="E126" s="66"/>
      <c r="F126" s="66"/>
      <c r="G126" s="66"/>
      <c r="H126" s="73"/>
      <c r="I126" s="87"/>
      <c r="J126" s="87"/>
      <c r="K126" s="91"/>
      <c r="L126" s="66"/>
      <c r="M126" s="66"/>
      <c r="N126" s="66"/>
      <c r="O126" s="66"/>
      <c r="Q126" s="72" t="s">
        <v>353</v>
      </c>
      <c r="R126" s="72"/>
    </row>
    <row r="127" spans="1:18" s="72" customFormat="1" ht="18.75" customHeight="1" x14ac:dyDescent="0.2">
      <c r="A127" s="70">
        <v>36667</v>
      </c>
      <c r="B127" s="70">
        <v>36681</v>
      </c>
      <c r="C127" s="182">
        <v>13700068</v>
      </c>
      <c r="D127" s="72" t="s">
        <v>2245</v>
      </c>
      <c r="E127" s="185" t="s">
        <v>21</v>
      </c>
      <c r="F127" s="185" t="s">
        <v>1493</v>
      </c>
      <c r="G127" s="185" t="s">
        <v>355</v>
      </c>
      <c r="H127" s="73" t="s">
        <v>349</v>
      </c>
      <c r="I127" s="186">
        <v>52.15</v>
      </c>
      <c r="J127" s="184"/>
      <c r="K127" s="76">
        <v>54.3</v>
      </c>
      <c r="L127" s="76"/>
      <c r="M127" s="70">
        <v>36853</v>
      </c>
      <c r="N127" s="89">
        <v>39774</v>
      </c>
      <c r="Q127" s="72" t="s">
        <v>353</v>
      </c>
    </row>
    <row r="128" spans="1:18" ht="18.75" customHeight="1" x14ac:dyDescent="0.2">
      <c r="A128" s="79"/>
      <c r="B128" s="79"/>
      <c r="C128" s="183"/>
      <c r="D128" s="66"/>
      <c r="E128" s="187" t="s">
        <v>19</v>
      </c>
      <c r="F128" s="187" t="s">
        <v>2246</v>
      </c>
      <c r="G128" s="187" t="s">
        <v>440</v>
      </c>
      <c r="H128" s="73" t="s">
        <v>349</v>
      </c>
      <c r="I128" s="188">
        <v>47.85</v>
      </c>
      <c r="J128" s="87"/>
      <c r="K128" s="91"/>
      <c r="L128" s="66"/>
      <c r="M128" s="66"/>
      <c r="N128" s="66"/>
      <c r="O128" s="66"/>
      <c r="Q128" s="72" t="s">
        <v>353</v>
      </c>
      <c r="R128" s="72"/>
    </row>
    <row r="129" spans="1:18" ht="18.75" customHeight="1" x14ac:dyDescent="0.2">
      <c r="A129" s="79"/>
      <c r="B129" s="79"/>
      <c r="C129" s="183"/>
      <c r="D129" s="66"/>
      <c r="E129" s="66"/>
      <c r="F129" s="66"/>
      <c r="G129" s="66"/>
      <c r="H129" s="73"/>
      <c r="I129" s="87"/>
      <c r="J129" s="87"/>
      <c r="K129" s="91"/>
      <c r="L129" s="66"/>
      <c r="M129" s="66"/>
      <c r="N129" s="66"/>
      <c r="O129" s="66"/>
      <c r="Q129" s="72" t="s">
        <v>353</v>
      </c>
      <c r="R129" s="72"/>
    </row>
    <row r="130" spans="1:18" s="72" customFormat="1" ht="18.75" customHeight="1" x14ac:dyDescent="0.2">
      <c r="A130" s="70">
        <v>36681</v>
      </c>
      <c r="B130" s="70">
        <v>36695</v>
      </c>
      <c r="C130" s="182">
        <v>13400045</v>
      </c>
      <c r="D130" s="72" t="s">
        <v>2247</v>
      </c>
      <c r="E130" s="185" t="s">
        <v>19</v>
      </c>
      <c r="F130" s="185" t="s">
        <v>2248</v>
      </c>
      <c r="G130" s="185" t="s">
        <v>2249</v>
      </c>
      <c r="H130" s="73" t="s">
        <v>349</v>
      </c>
      <c r="I130" s="186">
        <v>41.14</v>
      </c>
      <c r="J130" s="186">
        <v>56.43</v>
      </c>
      <c r="K130" s="76">
        <v>45.8</v>
      </c>
      <c r="L130" s="76">
        <v>42.2</v>
      </c>
      <c r="M130" s="70">
        <v>36951</v>
      </c>
      <c r="N130" s="89">
        <v>39141</v>
      </c>
      <c r="Q130" s="72" t="s">
        <v>353</v>
      </c>
    </row>
    <row r="131" spans="1:18" ht="18.75" customHeight="1" x14ac:dyDescent="0.2">
      <c r="A131" s="79"/>
      <c r="B131" s="79"/>
      <c r="C131" s="183"/>
      <c r="D131" s="66"/>
      <c r="E131" s="187" t="s">
        <v>21</v>
      </c>
      <c r="F131" s="187" t="s">
        <v>2250</v>
      </c>
      <c r="G131" s="187" t="s">
        <v>570</v>
      </c>
      <c r="H131" s="73" t="s">
        <v>349</v>
      </c>
      <c r="I131" s="188">
        <v>29.88</v>
      </c>
      <c r="J131" s="188">
        <v>43.57</v>
      </c>
      <c r="K131" s="91"/>
      <c r="L131" s="66"/>
      <c r="M131" s="66"/>
      <c r="N131" s="66"/>
      <c r="O131" s="66"/>
      <c r="Q131" s="72" t="s">
        <v>353</v>
      </c>
      <c r="R131" s="72"/>
    </row>
    <row r="132" spans="1:18" ht="18.75" customHeight="1" x14ac:dyDescent="0.2">
      <c r="A132" s="79"/>
      <c r="B132" s="79"/>
      <c r="C132" s="183"/>
      <c r="D132" s="66"/>
      <c r="E132" s="187" t="s">
        <v>38</v>
      </c>
      <c r="F132" s="187" t="s">
        <v>716</v>
      </c>
      <c r="G132" s="187" t="s">
        <v>1989</v>
      </c>
      <c r="H132" s="73" t="s">
        <v>349</v>
      </c>
      <c r="I132" s="188">
        <v>19.28</v>
      </c>
      <c r="J132" s="87"/>
      <c r="K132" s="91"/>
      <c r="L132" s="66"/>
      <c r="M132" s="66"/>
      <c r="N132" s="66"/>
      <c r="O132" s="66"/>
      <c r="Q132" s="72" t="s">
        <v>353</v>
      </c>
      <c r="R132" s="72"/>
    </row>
    <row r="133" spans="1:18" ht="18.75" customHeight="1" x14ac:dyDescent="0.2">
      <c r="A133" s="79"/>
      <c r="B133" s="79"/>
      <c r="C133" s="183"/>
      <c r="D133" s="66"/>
      <c r="E133" s="187" t="s">
        <v>2251</v>
      </c>
      <c r="F133" s="187" t="s">
        <v>2252</v>
      </c>
      <c r="G133" s="187" t="s">
        <v>348</v>
      </c>
      <c r="H133" s="73" t="s">
        <v>349</v>
      </c>
      <c r="I133" s="188">
        <v>8.5</v>
      </c>
      <c r="J133" s="87"/>
      <c r="K133" s="91"/>
      <c r="L133" s="66"/>
      <c r="M133" s="66"/>
      <c r="N133" s="66"/>
      <c r="O133" s="66"/>
      <c r="Q133" s="72" t="s">
        <v>353</v>
      </c>
      <c r="R133" s="72"/>
    </row>
    <row r="134" spans="1:18" ht="18.75" customHeight="1" x14ac:dyDescent="0.2">
      <c r="A134" s="79"/>
      <c r="B134" s="79"/>
      <c r="C134" s="183"/>
      <c r="D134" s="66"/>
      <c r="E134" s="187" t="s">
        <v>34</v>
      </c>
      <c r="F134" s="187" t="s">
        <v>1928</v>
      </c>
      <c r="G134" s="187" t="s">
        <v>1644</v>
      </c>
      <c r="H134" s="73" t="s">
        <v>349</v>
      </c>
      <c r="I134" s="188">
        <v>1.2</v>
      </c>
      <c r="J134" s="87"/>
      <c r="K134" s="91"/>
      <c r="L134" s="66"/>
      <c r="M134" s="66"/>
      <c r="N134" s="66"/>
      <c r="O134" s="66"/>
      <c r="Q134" s="72" t="s">
        <v>353</v>
      </c>
      <c r="R134" s="72"/>
    </row>
    <row r="135" spans="1:18" ht="18.75" customHeight="1" x14ac:dyDescent="0.2">
      <c r="A135" s="79"/>
      <c r="B135" s="79"/>
      <c r="C135" s="183"/>
      <c r="D135" s="66"/>
      <c r="E135" s="66"/>
      <c r="F135" s="66"/>
      <c r="G135" s="66"/>
      <c r="H135" s="73"/>
      <c r="I135" s="87"/>
      <c r="J135" s="87"/>
      <c r="K135" s="91"/>
      <c r="L135" s="66"/>
      <c r="M135" s="66"/>
      <c r="N135" s="66"/>
      <c r="O135" s="66"/>
      <c r="Q135" s="72" t="s">
        <v>353</v>
      </c>
      <c r="R135" s="72"/>
    </row>
    <row r="136" spans="1:18" s="72" customFormat="1" ht="18.75" customHeight="1" x14ac:dyDescent="0.2">
      <c r="A136" s="70">
        <v>36912</v>
      </c>
      <c r="B136" s="70">
        <v>36933</v>
      </c>
      <c r="C136" s="182">
        <v>33800020</v>
      </c>
      <c r="D136" s="72" t="s">
        <v>2253</v>
      </c>
      <c r="E136" s="185" t="s">
        <v>693</v>
      </c>
      <c r="F136" s="185" t="s">
        <v>693</v>
      </c>
      <c r="G136" s="185" t="s">
        <v>423</v>
      </c>
      <c r="H136" s="73" t="s">
        <v>349</v>
      </c>
      <c r="I136" s="186">
        <v>52.6</v>
      </c>
      <c r="J136" s="184"/>
      <c r="K136" s="76">
        <v>60.3</v>
      </c>
      <c r="L136" s="76"/>
      <c r="M136" s="70">
        <v>37043</v>
      </c>
      <c r="N136" s="89">
        <v>39964</v>
      </c>
      <c r="Q136" s="72" t="s">
        <v>353</v>
      </c>
    </row>
    <row r="137" spans="1:18" ht="18.75" customHeight="1" x14ac:dyDescent="0.2">
      <c r="A137" s="79"/>
      <c r="B137" s="79"/>
      <c r="C137" s="183"/>
      <c r="D137" s="66"/>
      <c r="E137" s="187" t="s">
        <v>21</v>
      </c>
      <c r="F137" s="187" t="s">
        <v>2254</v>
      </c>
      <c r="G137" s="187" t="s">
        <v>702</v>
      </c>
      <c r="H137" s="73" t="s">
        <v>349</v>
      </c>
      <c r="I137" s="188">
        <v>47.4</v>
      </c>
      <c r="J137" s="87"/>
      <c r="K137" s="91"/>
      <c r="L137" s="66"/>
      <c r="M137" s="66"/>
      <c r="N137" s="66"/>
      <c r="O137" s="66"/>
      <c r="Q137" s="72" t="s">
        <v>353</v>
      </c>
      <c r="R137" s="72"/>
    </row>
    <row r="138" spans="1:18" ht="18.75" customHeight="1" x14ac:dyDescent="0.2">
      <c r="A138" s="79"/>
      <c r="B138" s="79"/>
      <c r="C138" s="183"/>
      <c r="D138" s="66"/>
      <c r="E138" s="66"/>
      <c r="F138" s="66"/>
      <c r="G138" s="66"/>
      <c r="H138" s="73"/>
      <c r="I138" s="87"/>
      <c r="J138" s="87"/>
      <c r="K138" s="91"/>
      <c r="L138" s="66"/>
      <c r="M138" s="66"/>
      <c r="N138" s="66"/>
      <c r="O138" s="66"/>
      <c r="Q138" s="72" t="s">
        <v>353</v>
      </c>
      <c r="R138" s="72"/>
    </row>
    <row r="139" spans="1:18" s="72" customFormat="1" ht="18.75" customHeight="1" x14ac:dyDescent="0.2">
      <c r="A139" s="70">
        <v>37017</v>
      </c>
      <c r="B139" s="70">
        <v>37031</v>
      </c>
      <c r="C139" s="182">
        <v>23100134</v>
      </c>
      <c r="D139" s="72" t="s">
        <v>2255</v>
      </c>
      <c r="E139" s="185" t="s">
        <v>2256</v>
      </c>
      <c r="F139" s="185" t="s">
        <v>2257</v>
      </c>
      <c r="G139" s="185" t="s">
        <v>547</v>
      </c>
      <c r="H139" s="73" t="s">
        <v>349</v>
      </c>
      <c r="I139" s="186">
        <v>50.46</v>
      </c>
      <c r="J139" s="184"/>
      <c r="K139" s="76">
        <v>49.4</v>
      </c>
      <c r="L139" s="76"/>
      <c r="M139" s="70">
        <v>37257</v>
      </c>
      <c r="N139" s="89">
        <v>40178</v>
      </c>
      <c r="Q139" s="72" t="s">
        <v>353</v>
      </c>
    </row>
    <row r="140" spans="1:18" ht="18.75" customHeight="1" x14ac:dyDescent="0.2">
      <c r="A140" s="79"/>
      <c r="B140" s="79"/>
      <c r="C140" s="183"/>
      <c r="D140" s="66"/>
      <c r="E140" s="187" t="s">
        <v>19</v>
      </c>
      <c r="F140" s="187" t="s">
        <v>2258</v>
      </c>
      <c r="G140" s="187" t="s">
        <v>512</v>
      </c>
      <c r="H140" s="73" t="s">
        <v>349</v>
      </c>
      <c r="I140" s="188">
        <v>30.38</v>
      </c>
      <c r="J140" s="87"/>
      <c r="K140" s="91"/>
      <c r="L140" s="66"/>
      <c r="M140" s="66"/>
      <c r="N140" s="66"/>
      <c r="O140" s="66"/>
      <c r="Q140" s="72" t="s">
        <v>353</v>
      </c>
      <c r="R140" s="72"/>
    </row>
    <row r="141" spans="1:18" ht="18.75" customHeight="1" x14ac:dyDescent="0.2">
      <c r="A141" s="79"/>
      <c r="B141" s="79"/>
      <c r="C141" s="183"/>
      <c r="D141" s="66"/>
      <c r="E141" s="187" t="s">
        <v>34</v>
      </c>
      <c r="F141" s="187" t="s">
        <v>2259</v>
      </c>
      <c r="G141" s="187" t="s">
        <v>1498</v>
      </c>
      <c r="H141" s="73" t="s">
        <v>349</v>
      </c>
      <c r="I141" s="188">
        <v>19.16</v>
      </c>
      <c r="J141" s="87"/>
      <c r="K141" s="91"/>
      <c r="L141" s="66"/>
      <c r="M141" s="66"/>
      <c r="N141" s="66"/>
      <c r="O141" s="66"/>
      <c r="Q141" s="72" t="s">
        <v>353</v>
      </c>
      <c r="R141" s="72"/>
    </row>
    <row r="142" spans="1:18" ht="18.75" customHeight="1" x14ac:dyDescent="0.2">
      <c r="A142" s="79"/>
      <c r="B142" s="79"/>
      <c r="C142" s="183"/>
      <c r="D142" s="66"/>
      <c r="E142" s="66"/>
      <c r="F142" s="66"/>
      <c r="G142" s="66"/>
      <c r="H142" s="73"/>
      <c r="I142" s="87"/>
      <c r="J142" s="87"/>
      <c r="K142" s="91"/>
      <c r="L142" s="66"/>
      <c r="M142" s="66"/>
      <c r="N142" s="66"/>
      <c r="O142" s="66"/>
      <c r="Q142" s="72" t="s">
        <v>353</v>
      </c>
      <c r="R142" s="72"/>
    </row>
    <row r="143" spans="1:18" s="72" customFormat="1" ht="18.75" customHeight="1" x14ac:dyDescent="0.2">
      <c r="A143" s="70">
        <v>37017</v>
      </c>
      <c r="B143" s="70">
        <v>37031</v>
      </c>
      <c r="C143" s="182">
        <v>33200024</v>
      </c>
      <c r="D143" s="72" t="s">
        <v>2260</v>
      </c>
      <c r="E143" s="185" t="s">
        <v>21</v>
      </c>
      <c r="F143" s="185" t="s">
        <v>2261</v>
      </c>
      <c r="G143" s="185" t="s">
        <v>381</v>
      </c>
      <c r="H143" s="73" t="s">
        <v>349</v>
      </c>
      <c r="I143" s="186">
        <v>50.33</v>
      </c>
      <c r="J143" s="184"/>
      <c r="K143" s="76">
        <v>59.8</v>
      </c>
      <c r="L143" s="76"/>
      <c r="M143" s="70">
        <v>37257</v>
      </c>
      <c r="N143" s="89">
        <v>40178</v>
      </c>
      <c r="Q143" s="72" t="s">
        <v>353</v>
      </c>
    </row>
    <row r="144" spans="1:18" ht="18.75" customHeight="1" x14ac:dyDescent="0.2">
      <c r="A144" s="79"/>
      <c r="B144" s="79"/>
      <c r="C144" s="183"/>
      <c r="D144" s="66"/>
      <c r="E144" s="187" t="s">
        <v>19</v>
      </c>
      <c r="F144" s="187" t="s">
        <v>109</v>
      </c>
      <c r="G144" s="187" t="s">
        <v>358</v>
      </c>
      <c r="H144" s="73" t="s">
        <v>349</v>
      </c>
      <c r="I144" s="188">
        <v>34.03</v>
      </c>
      <c r="J144" s="87"/>
      <c r="K144" s="91"/>
      <c r="L144" s="66"/>
      <c r="M144" s="66"/>
      <c r="N144" s="66"/>
      <c r="O144" s="66"/>
      <c r="Q144" s="72" t="s">
        <v>353</v>
      </c>
      <c r="R144" s="72"/>
    </row>
    <row r="145" spans="1:18" ht="18.75" customHeight="1" x14ac:dyDescent="0.2">
      <c r="A145" s="79"/>
      <c r="B145" s="79"/>
      <c r="C145" s="183"/>
      <c r="D145" s="66"/>
      <c r="E145" s="187" t="s">
        <v>2262</v>
      </c>
      <c r="F145" s="187" t="s">
        <v>2262</v>
      </c>
      <c r="G145" s="187" t="s">
        <v>423</v>
      </c>
      <c r="H145" s="73" t="s">
        <v>349</v>
      </c>
      <c r="I145" s="188">
        <v>12.43</v>
      </c>
      <c r="J145" s="87"/>
      <c r="K145" s="91"/>
      <c r="L145" s="66"/>
      <c r="M145" s="66"/>
      <c r="N145" s="66"/>
      <c r="O145" s="66"/>
      <c r="Q145" s="72" t="s">
        <v>353</v>
      </c>
      <c r="R145" s="72"/>
    </row>
    <row r="146" spans="1:18" ht="18.75" customHeight="1" x14ac:dyDescent="0.2">
      <c r="A146" s="79"/>
      <c r="B146" s="79"/>
      <c r="C146" s="183"/>
      <c r="D146" s="66"/>
      <c r="E146" s="187" t="s">
        <v>958</v>
      </c>
      <c r="F146" s="187" t="s">
        <v>958</v>
      </c>
      <c r="G146" s="187" t="s">
        <v>2263</v>
      </c>
      <c r="H146" s="73" t="s">
        <v>349</v>
      </c>
      <c r="I146" s="188">
        <v>3.21</v>
      </c>
      <c r="J146" s="87"/>
      <c r="K146" s="91"/>
      <c r="L146" s="66"/>
      <c r="M146" s="66"/>
      <c r="N146" s="66"/>
      <c r="O146" s="66"/>
      <c r="Q146" s="72" t="s">
        <v>353</v>
      </c>
      <c r="R146" s="72"/>
    </row>
    <row r="147" spans="1:18" ht="18.75" customHeight="1" x14ac:dyDescent="0.2">
      <c r="A147" s="79"/>
      <c r="B147" s="79"/>
      <c r="C147" s="183"/>
      <c r="D147" s="66"/>
      <c r="E147" s="66"/>
      <c r="F147" s="66"/>
      <c r="G147" s="66"/>
      <c r="H147" s="73"/>
      <c r="I147" s="87"/>
      <c r="J147" s="87"/>
      <c r="K147" s="91"/>
      <c r="L147" s="66"/>
      <c r="M147" s="66"/>
      <c r="N147" s="66"/>
      <c r="O147" s="66"/>
      <c r="Q147" s="72" t="s">
        <v>353</v>
      </c>
      <c r="R147" s="72"/>
    </row>
    <row r="148" spans="1:18" s="72" customFormat="1" ht="18.75" customHeight="1" x14ac:dyDescent="0.2">
      <c r="A148" s="70">
        <v>37038</v>
      </c>
      <c r="B148" s="70">
        <v>37052</v>
      </c>
      <c r="C148" s="182">
        <v>33800019</v>
      </c>
      <c r="D148" s="72" t="s">
        <v>2264</v>
      </c>
      <c r="E148" s="185" t="s">
        <v>2265</v>
      </c>
      <c r="F148" s="185" t="s">
        <v>2265</v>
      </c>
      <c r="G148" s="185" t="s">
        <v>485</v>
      </c>
      <c r="H148" s="73" t="s">
        <v>349</v>
      </c>
      <c r="I148" s="186">
        <v>78.3</v>
      </c>
      <c r="J148" s="184"/>
      <c r="K148" s="76">
        <v>44.2</v>
      </c>
      <c r="L148" s="76"/>
      <c r="M148" s="70">
        <v>37257</v>
      </c>
      <c r="N148" s="68">
        <v>39263</v>
      </c>
      <c r="Q148" s="72" t="s">
        <v>353</v>
      </c>
    </row>
    <row r="149" spans="1:18" ht="18.75" customHeight="1" x14ac:dyDescent="0.2">
      <c r="A149" s="79"/>
      <c r="B149" s="79"/>
      <c r="C149" s="183"/>
      <c r="D149" s="66"/>
      <c r="E149" s="187" t="s">
        <v>38</v>
      </c>
      <c r="F149" s="187" t="s">
        <v>2266</v>
      </c>
      <c r="G149" s="187" t="s">
        <v>702</v>
      </c>
      <c r="H149" s="73" t="s">
        <v>349</v>
      </c>
      <c r="I149" s="188">
        <v>21.7</v>
      </c>
      <c r="J149" s="87"/>
      <c r="K149" s="91"/>
      <c r="L149" s="66"/>
      <c r="M149" s="66"/>
      <c r="N149" s="66"/>
      <c r="O149" s="66"/>
      <c r="Q149" s="72" t="s">
        <v>353</v>
      </c>
      <c r="R149" s="72"/>
    </row>
    <row r="150" spans="1:18" ht="18.75" customHeight="1" x14ac:dyDescent="0.2">
      <c r="A150" s="79"/>
      <c r="B150" s="79"/>
      <c r="C150" s="183"/>
      <c r="D150" s="66"/>
      <c r="E150" s="66"/>
      <c r="F150" s="66"/>
      <c r="G150" s="66"/>
      <c r="H150" s="73"/>
      <c r="I150" s="87"/>
      <c r="J150" s="87"/>
      <c r="K150" s="91"/>
      <c r="L150" s="66"/>
      <c r="M150" s="66"/>
      <c r="N150" s="66"/>
      <c r="O150" s="66"/>
      <c r="Q150" s="72" t="s">
        <v>353</v>
      </c>
      <c r="R150" s="72"/>
    </row>
    <row r="151" spans="1:18" s="72" customFormat="1" ht="18.75" customHeight="1" x14ac:dyDescent="0.2">
      <c r="A151" s="70">
        <v>37052</v>
      </c>
      <c r="B151" s="70">
        <v>37066</v>
      </c>
      <c r="C151" s="182">
        <v>13100077</v>
      </c>
      <c r="D151" s="72" t="s">
        <v>2267</v>
      </c>
      <c r="E151" s="185" t="s">
        <v>19</v>
      </c>
      <c r="F151" s="185" t="s">
        <v>2268</v>
      </c>
      <c r="G151" s="185" t="s">
        <v>348</v>
      </c>
      <c r="H151" s="73" t="s">
        <v>349</v>
      </c>
      <c r="I151" s="186">
        <v>58.63</v>
      </c>
      <c r="J151" s="184"/>
      <c r="K151" s="76">
        <v>48.3</v>
      </c>
      <c r="L151" s="76"/>
      <c r="M151" s="70">
        <v>37257</v>
      </c>
      <c r="N151" s="89">
        <v>40178</v>
      </c>
      <c r="Q151" s="72" t="s">
        <v>353</v>
      </c>
    </row>
    <row r="152" spans="1:18" ht="18.75" customHeight="1" x14ac:dyDescent="0.2">
      <c r="A152" s="79"/>
      <c r="B152" s="79"/>
      <c r="C152" s="183"/>
      <c r="D152" s="66"/>
      <c r="E152" s="187" t="s">
        <v>21</v>
      </c>
      <c r="F152" s="187" t="s">
        <v>551</v>
      </c>
      <c r="G152" s="187" t="s">
        <v>577</v>
      </c>
      <c r="H152" s="73" t="s">
        <v>419</v>
      </c>
      <c r="I152" s="188">
        <v>23.54</v>
      </c>
      <c r="J152" s="87"/>
      <c r="K152" s="91"/>
      <c r="L152" s="66"/>
      <c r="M152" s="66"/>
      <c r="N152" s="66"/>
      <c r="O152" s="66"/>
      <c r="Q152" s="72" t="s">
        <v>353</v>
      </c>
      <c r="R152" s="72"/>
    </row>
    <row r="153" spans="1:18" ht="18.75" customHeight="1" x14ac:dyDescent="0.2">
      <c r="A153" s="79"/>
      <c r="B153" s="79"/>
      <c r="C153" s="183"/>
      <c r="D153" s="66"/>
      <c r="E153" s="187" t="s">
        <v>55</v>
      </c>
      <c r="F153" s="187" t="s">
        <v>2269</v>
      </c>
      <c r="G153" s="187" t="s">
        <v>2242</v>
      </c>
      <c r="H153" s="73" t="s">
        <v>349</v>
      </c>
      <c r="I153" s="188">
        <v>17.059999999999999</v>
      </c>
      <c r="J153" s="87"/>
      <c r="K153" s="91"/>
      <c r="L153" s="66"/>
      <c r="M153" s="66"/>
      <c r="N153" s="66"/>
      <c r="O153" s="66"/>
      <c r="Q153" s="72" t="s">
        <v>353</v>
      </c>
      <c r="R153" s="72"/>
    </row>
    <row r="154" spans="1:18" ht="18.75" customHeight="1" x14ac:dyDescent="0.2">
      <c r="A154" s="79"/>
      <c r="B154" s="79"/>
      <c r="C154" s="183"/>
      <c r="D154" s="66"/>
      <c r="E154" s="187" t="s">
        <v>2270</v>
      </c>
      <c r="F154" s="187" t="s">
        <v>2270</v>
      </c>
      <c r="G154" s="187" t="s">
        <v>358</v>
      </c>
      <c r="H154" s="73" t="s">
        <v>349</v>
      </c>
      <c r="I154" s="188">
        <v>0.76</v>
      </c>
      <c r="J154" s="87"/>
      <c r="K154" s="91"/>
      <c r="L154" s="66"/>
      <c r="M154" s="66"/>
      <c r="N154" s="66"/>
      <c r="O154" s="66"/>
      <c r="Q154" s="72" t="s">
        <v>353</v>
      </c>
      <c r="R154" s="72"/>
    </row>
    <row r="155" spans="1:18" ht="18.75" customHeight="1" x14ac:dyDescent="0.2">
      <c r="A155" s="79"/>
      <c r="B155" s="79"/>
      <c r="C155" s="183"/>
      <c r="D155" s="66"/>
      <c r="E155" s="66"/>
      <c r="F155" s="66"/>
      <c r="G155" s="66"/>
      <c r="H155" s="73"/>
      <c r="I155" s="87"/>
      <c r="J155" s="87"/>
      <c r="K155" s="91"/>
      <c r="L155" s="66"/>
      <c r="M155" s="66"/>
      <c r="N155" s="66"/>
      <c r="O155" s="66"/>
      <c r="Q155" s="72" t="s">
        <v>353</v>
      </c>
      <c r="R155" s="72"/>
    </row>
    <row r="156" spans="1:18" s="72" customFormat="1" ht="18.75" customHeight="1" x14ac:dyDescent="0.2">
      <c r="A156" s="70">
        <v>37143</v>
      </c>
      <c r="B156" s="70">
        <v>37157</v>
      </c>
      <c r="C156" s="182">
        <v>13300052</v>
      </c>
      <c r="D156" s="72" t="s">
        <v>2271</v>
      </c>
      <c r="E156" s="185" t="s">
        <v>21</v>
      </c>
      <c r="F156" s="185" t="s">
        <v>109</v>
      </c>
      <c r="G156" s="185" t="s">
        <v>708</v>
      </c>
      <c r="H156" s="73" t="s">
        <v>349</v>
      </c>
      <c r="I156" s="186">
        <v>86.13</v>
      </c>
      <c r="J156" s="184"/>
      <c r="K156" s="76">
        <v>33.6</v>
      </c>
      <c r="L156" s="76"/>
      <c r="M156" s="70">
        <v>37257</v>
      </c>
      <c r="N156" s="89">
        <v>40178</v>
      </c>
      <c r="Q156" s="72" t="s">
        <v>353</v>
      </c>
    </row>
    <row r="157" spans="1:18" ht="18.75" customHeight="1" x14ac:dyDescent="0.2">
      <c r="A157" s="79"/>
      <c r="B157" s="79"/>
      <c r="C157" s="183"/>
      <c r="D157" s="66"/>
      <c r="E157" s="66"/>
      <c r="F157" s="66"/>
      <c r="G157" s="66"/>
      <c r="H157" s="73"/>
      <c r="I157" s="87"/>
      <c r="J157" s="87"/>
      <c r="K157" s="91"/>
      <c r="L157" s="66"/>
      <c r="M157" s="66"/>
      <c r="N157" s="66"/>
      <c r="O157" s="66"/>
      <c r="Q157" s="72" t="s">
        <v>353</v>
      </c>
      <c r="R157" s="72"/>
    </row>
    <row r="158" spans="1:18" s="72" customFormat="1" ht="18.75" customHeight="1" x14ac:dyDescent="0.2">
      <c r="A158" s="70">
        <v>37143</v>
      </c>
      <c r="B158" s="70">
        <v>37157</v>
      </c>
      <c r="C158" s="182">
        <v>33400007</v>
      </c>
      <c r="D158" s="72" t="s">
        <v>2272</v>
      </c>
      <c r="E158" s="185" t="s">
        <v>19</v>
      </c>
      <c r="F158" s="185" t="s">
        <v>2273</v>
      </c>
      <c r="G158" s="185" t="s">
        <v>516</v>
      </c>
      <c r="H158" s="73" t="s">
        <v>349</v>
      </c>
      <c r="I158" s="186">
        <v>42.98</v>
      </c>
      <c r="J158" s="186">
        <v>55.98</v>
      </c>
      <c r="K158" s="76">
        <v>51.5</v>
      </c>
      <c r="L158" s="76">
        <v>43.5</v>
      </c>
      <c r="M158" s="70">
        <v>37257</v>
      </c>
      <c r="N158" s="89">
        <v>40178</v>
      </c>
      <c r="Q158" s="72" t="s">
        <v>353</v>
      </c>
    </row>
    <row r="159" spans="1:18" ht="18.75" customHeight="1" x14ac:dyDescent="0.2">
      <c r="A159" s="79"/>
      <c r="B159" s="79"/>
      <c r="C159" s="183"/>
      <c r="D159" s="66"/>
      <c r="E159" s="187" t="s">
        <v>55</v>
      </c>
      <c r="F159" s="187" t="s">
        <v>716</v>
      </c>
      <c r="G159" s="187" t="s">
        <v>1375</v>
      </c>
      <c r="H159" s="73" t="s">
        <v>349</v>
      </c>
      <c r="I159" s="188">
        <v>24.52</v>
      </c>
      <c r="J159" s="188">
        <v>44.02</v>
      </c>
      <c r="K159" s="91"/>
      <c r="L159" s="66"/>
      <c r="M159" s="66"/>
      <c r="N159" s="66"/>
      <c r="O159" s="66"/>
      <c r="Q159" s="72" t="s">
        <v>353</v>
      </c>
      <c r="R159" s="72"/>
    </row>
    <row r="160" spans="1:18" ht="18.75" customHeight="1" x14ac:dyDescent="0.2">
      <c r="A160" s="79"/>
      <c r="B160" s="79"/>
      <c r="C160" s="183"/>
      <c r="D160" s="66"/>
      <c r="E160" s="187" t="s">
        <v>21</v>
      </c>
      <c r="F160" s="187" t="s">
        <v>870</v>
      </c>
      <c r="G160" s="187" t="s">
        <v>383</v>
      </c>
      <c r="H160" s="73" t="s">
        <v>349</v>
      </c>
      <c r="I160" s="188">
        <v>13.58</v>
      </c>
      <c r="J160" s="87"/>
      <c r="K160" s="91"/>
      <c r="L160" s="66"/>
      <c r="M160" s="66"/>
      <c r="N160" s="66"/>
      <c r="O160" s="66"/>
      <c r="Q160" s="72" t="s">
        <v>353</v>
      </c>
      <c r="R160" s="72"/>
    </row>
    <row r="161" spans="1:18" ht="18.75" customHeight="1" x14ac:dyDescent="0.2">
      <c r="A161" s="79"/>
      <c r="B161" s="79"/>
      <c r="C161" s="183"/>
      <c r="D161" s="66"/>
      <c r="E161" s="187" t="s">
        <v>2274</v>
      </c>
      <c r="F161" s="187" t="s">
        <v>2103</v>
      </c>
      <c r="G161" s="187" t="s">
        <v>915</v>
      </c>
      <c r="H161" s="73" t="s">
        <v>349</v>
      </c>
      <c r="I161" s="188">
        <v>10.36</v>
      </c>
      <c r="J161" s="87"/>
      <c r="K161" s="91"/>
      <c r="L161" s="66"/>
      <c r="M161" s="66"/>
      <c r="N161" s="66"/>
      <c r="O161" s="66"/>
      <c r="Q161" s="72" t="s">
        <v>353</v>
      </c>
      <c r="R161" s="72"/>
    </row>
    <row r="162" spans="1:18" ht="18.75" customHeight="1" x14ac:dyDescent="0.2">
      <c r="A162" s="79"/>
      <c r="B162" s="79"/>
      <c r="C162" s="183"/>
      <c r="D162" s="66"/>
      <c r="E162" s="187" t="s">
        <v>2275</v>
      </c>
      <c r="F162" s="187" t="s">
        <v>393</v>
      </c>
      <c r="G162" s="187" t="s">
        <v>361</v>
      </c>
      <c r="H162" s="73" t="s">
        <v>349</v>
      </c>
      <c r="I162" s="188">
        <v>3.63</v>
      </c>
      <c r="J162" s="87"/>
      <c r="K162" s="91"/>
      <c r="L162" s="66"/>
      <c r="M162" s="66"/>
      <c r="N162" s="66"/>
      <c r="O162" s="66"/>
      <c r="Q162" s="72" t="s">
        <v>353</v>
      </c>
      <c r="R162" s="72"/>
    </row>
    <row r="163" spans="1:18" ht="18.75" customHeight="1" x14ac:dyDescent="0.2">
      <c r="A163" s="79"/>
      <c r="B163" s="79"/>
      <c r="C163" s="183"/>
      <c r="D163" s="66"/>
      <c r="E163" s="187" t="s">
        <v>38</v>
      </c>
      <c r="F163" s="187" t="s">
        <v>2276</v>
      </c>
      <c r="G163" s="187" t="s">
        <v>789</v>
      </c>
      <c r="H163" s="73" t="s">
        <v>349</v>
      </c>
      <c r="I163" s="188">
        <v>2.78</v>
      </c>
      <c r="J163" s="87"/>
      <c r="K163" s="91"/>
      <c r="L163" s="66"/>
      <c r="M163" s="66"/>
      <c r="N163" s="66"/>
      <c r="O163" s="66"/>
      <c r="Q163" s="72" t="s">
        <v>353</v>
      </c>
      <c r="R163" s="72"/>
    </row>
    <row r="164" spans="1:18" ht="18.75" customHeight="1" x14ac:dyDescent="0.2">
      <c r="A164" s="79"/>
      <c r="B164" s="79"/>
      <c r="C164" s="183"/>
      <c r="D164" s="66"/>
      <c r="E164" s="187" t="s">
        <v>2277</v>
      </c>
      <c r="F164" s="187" t="s">
        <v>2278</v>
      </c>
      <c r="G164" s="187" t="s">
        <v>348</v>
      </c>
      <c r="H164" s="73" t="s">
        <v>349</v>
      </c>
      <c r="I164" s="188">
        <v>2.16</v>
      </c>
      <c r="J164" s="87"/>
      <c r="K164" s="91"/>
      <c r="L164" s="66"/>
      <c r="M164" s="66"/>
      <c r="N164" s="66"/>
      <c r="O164" s="66"/>
      <c r="Q164" s="72" t="s">
        <v>353</v>
      </c>
      <c r="R164" s="72"/>
    </row>
    <row r="165" spans="1:18" ht="18.75" customHeight="1" x14ac:dyDescent="0.2">
      <c r="A165" s="79"/>
      <c r="B165" s="79"/>
      <c r="C165" s="183"/>
      <c r="D165" s="66"/>
      <c r="E165" s="86"/>
      <c r="F165" s="66"/>
      <c r="G165" s="66"/>
      <c r="H165" s="73"/>
      <c r="I165" s="87"/>
      <c r="J165" s="87"/>
      <c r="K165" s="91"/>
      <c r="L165" s="66"/>
      <c r="M165" s="66"/>
      <c r="N165" s="66"/>
      <c r="O165" s="66"/>
      <c r="Q165" s="72" t="s">
        <v>353</v>
      </c>
      <c r="R165" s="72"/>
    </row>
    <row r="166" spans="1:18" s="72" customFormat="1" ht="18.75" customHeight="1" x14ac:dyDescent="0.2">
      <c r="A166" s="70">
        <v>37318</v>
      </c>
      <c r="B166" s="70">
        <v>37332</v>
      </c>
      <c r="C166" s="182">
        <v>13100007</v>
      </c>
      <c r="D166" s="72" t="s">
        <v>2126</v>
      </c>
      <c r="E166" s="185" t="s">
        <v>19</v>
      </c>
      <c r="F166" s="185" t="s">
        <v>2279</v>
      </c>
      <c r="G166" s="185" t="s">
        <v>2280</v>
      </c>
      <c r="H166" s="73" t="s">
        <v>349</v>
      </c>
      <c r="I166" s="186">
        <v>66.42</v>
      </c>
      <c r="J166" s="184"/>
      <c r="K166" s="76">
        <v>43.4</v>
      </c>
      <c r="L166" s="76"/>
      <c r="M166" s="70">
        <v>37469</v>
      </c>
      <c r="N166" s="89">
        <v>40390</v>
      </c>
      <c r="O166" s="73" t="s">
        <v>2127</v>
      </c>
      <c r="P166" s="73" t="s">
        <v>2127</v>
      </c>
      <c r="Q166" s="72" t="s">
        <v>985</v>
      </c>
      <c r="R166" s="72" t="str">
        <f>VLOOKUP($Q166,[1]Tabelle1!$A$1:$B$3884,2,FALSE)</f>
        <v>m</v>
      </c>
    </row>
    <row r="167" spans="1:18" ht="18.75" customHeight="1" x14ac:dyDescent="0.2">
      <c r="A167" s="79"/>
      <c r="B167" s="79"/>
      <c r="C167" s="183"/>
      <c r="D167" s="66"/>
      <c r="E167" s="187" t="s">
        <v>21</v>
      </c>
      <c r="F167" s="187" t="s">
        <v>2281</v>
      </c>
      <c r="G167" s="187" t="s">
        <v>368</v>
      </c>
      <c r="H167" s="73" t="s">
        <v>349</v>
      </c>
      <c r="I167" s="188">
        <v>33.58</v>
      </c>
      <c r="J167" s="87"/>
      <c r="K167" s="91"/>
      <c r="L167" s="66"/>
      <c r="M167" s="66"/>
      <c r="N167" s="66"/>
      <c r="O167" s="66"/>
      <c r="Q167" s="72" t="s">
        <v>353</v>
      </c>
      <c r="R167" s="72"/>
    </row>
    <row r="168" spans="1:18" ht="18.75" customHeight="1" x14ac:dyDescent="0.2">
      <c r="A168" s="79"/>
      <c r="B168" s="79"/>
      <c r="C168" s="183"/>
      <c r="D168" s="66"/>
      <c r="E168" s="66"/>
      <c r="F168" s="66"/>
      <c r="G168" s="66"/>
      <c r="H168" s="73"/>
      <c r="I168" s="87"/>
      <c r="J168" s="87"/>
      <c r="K168" s="91"/>
      <c r="L168" s="66"/>
      <c r="M168" s="66"/>
      <c r="N168" s="66"/>
      <c r="O168" s="66"/>
      <c r="Q168" s="72" t="s">
        <v>353</v>
      </c>
      <c r="R168" s="72"/>
    </row>
    <row r="169" spans="1:18" s="72" customFormat="1" ht="18.75" customHeight="1" x14ac:dyDescent="0.2">
      <c r="A169" s="70">
        <v>37318</v>
      </c>
      <c r="B169" s="70">
        <v>37332</v>
      </c>
      <c r="C169" s="182">
        <v>13100070</v>
      </c>
      <c r="D169" s="72" t="s">
        <v>2129</v>
      </c>
      <c r="E169" s="185" t="s">
        <v>19</v>
      </c>
      <c r="F169" s="185" t="s">
        <v>2282</v>
      </c>
      <c r="G169" s="185" t="s">
        <v>556</v>
      </c>
      <c r="H169" s="73" t="s">
        <v>349</v>
      </c>
      <c r="I169" s="186">
        <v>55.39</v>
      </c>
      <c r="J169" s="184"/>
      <c r="K169" s="76">
        <v>53.3</v>
      </c>
      <c r="L169" s="76"/>
      <c r="M169" s="70">
        <v>37478</v>
      </c>
      <c r="N169" s="89">
        <v>40399</v>
      </c>
      <c r="O169" s="73" t="s">
        <v>21</v>
      </c>
      <c r="P169" s="73" t="s">
        <v>2130</v>
      </c>
      <c r="Q169" s="72" t="s">
        <v>607</v>
      </c>
      <c r="R169" s="72" t="str">
        <f>VLOOKUP($Q169,[1]Tabelle1!$A$1:$B$3884,2,FALSE)</f>
        <v>m</v>
      </c>
    </row>
    <row r="170" spans="1:18" ht="18.75" customHeight="1" x14ac:dyDescent="0.2">
      <c r="A170" s="79"/>
      <c r="B170" s="79"/>
      <c r="C170" s="183"/>
      <c r="D170" s="66"/>
      <c r="E170" s="187" t="s">
        <v>2130</v>
      </c>
      <c r="F170" s="187" t="s">
        <v>2130</v>
      </c>
      <c r="G170" s="187" t="s">
        <v>607</v>
      </c>
      <c r="H170" s="73" t="s">
        <v>349</v>
      </c>
      <c r="I170" s="188">
        <v>44.61</v>
      </c>
      <c r="J170" s="87"/>
      <c r="K170" s="91"/>
      <c r="L170" s="66"/>
      <c r="M170" s="66"/>
      <c r="N170" s="66"/>
      <c r="O170" s="66"/>
      <c r="Q170" s="72" t="s">
        <v>353</v>
      </c>
      <c r="R170" s="72"/>
    </row>
    <row r="171" spans="1:18" ht="18.75" customHeight="1" x14ac:dyDescent="0.2">
      <c r="A171" s="79"/>
      <c r="B171" s="79"/>
      <c r="C171" s="183"/>
      <c r="D171" s="66"/>
      <c r="E171" s="66"/>
      <c r="F171" s="66"/>
      <c r="G171" s="66"/>
      <c r="H171" s="73"/>
      <c r="I171" s="87"/>
      <c r="J171" s="87"/>
      <c r="K171" s="91"/>
      <c r="L171" s="66"/>
      <c r="M171" s="66"/>
      <c r="N171" s="66"/>
      <c r="O171" s="66"/>
      <c r="Q171" s="72" t="s">
        <v>353</v>
      </c>
      <c r="R171" s="72"/>
    </row>
    <row r="172" spans="1:18" s="72" customFormat="1" ht="18.75" customHeight="1" x14ac:dyDescent="0.2">
      <c r="A172" s="70">
        <v>37318</v>
      </c>
      <c r="B172" s="70">
        <v>37332</v>
      </c>
      <c r="C172" s="182">
        <v>13700003</v>
      </c>
      <c r="D172" s="72" t="s">
        <v>2135</v>
      </c>
      <c r="E172" s="185" t="s">
        <v>21</v>
      </c>
      <c r="F172" s="185" t="s">
        <v>2136</v>
      </c>
      <c r="G172" s="185" t="s">
        <v>464</v>
      </c>
      <c r="H172" s="73" t="s">
        <v>349</v>
      </c>
      <c r="I172" s="186">
        <v>63.78</v>
      </c>
      <c r="J172" s="184"/>
      <c r="K172" s="76">
        <v>45.3</v>
      </c>
      <c r="L172" s="76"/>
      <c r="M172" s="70">
        <v>37486</v>
      </c>
      <c r="N172" s="89">
        <v>40407</v>
      </c>
      <c r="O172" s="73" t="s">
        <v>21</v>
      </c>
      <c r="P172" s="73" t="s">
        <v>2136</v>
      </c>
      <c r="Q172" s="72" t="s">
        <v>464</v>
      </c>
      <c r="R172" s="72" t="str">
        <f>VLOOKUP($Q172,[1]Tabelle1!$A$1:$B$3884,2,FALSE)</f>
        <v>m</v>
      </c>
    </row>
    <row r="173" spans="1:18" ht="18.75" customHeight="1" x14ac:dyDescent="0.2">
      <c r="A173" s="79"/>
      <c r="B173" s="79"/>
      <c r="C173" s="183"/>
      <c r="D173" s="66"/>
      <c r="E173" s="187" t="s">
        <v>19</v>
      </c>
      <c r="F173" s="187" t="s">
        <v>2137</v>
      </c>
      <c r="G173" s="187" t="s">
        <v>892</v>
      </c>
      <c r="H173" s="73" t="s">
        <v>349</v>
      </c>
      <c r="I173" s="188">
        <v>36.22</v>
      </c>
      <c r="J173" s="87"/>
      <c r="K173" s="91"/>
      <c r="L173" s="66"/>
      <c r="M173" s="66"/>
      <c r="N173" s="66"/>
      <c r="O173" s="66"/>
      <c r="Q173" s="72" t="s">
        <v>353</v>
      </c>
      <c r="R173" s="72"/>
    </row>
    <row r="174" spans="1:18" ht="18.75" customHeight="1" x14ac:dyDescent="0.2">
      <c r="A174" s="79"/>
      <c r="B174" s="79"/>
      <c r="C174" s="183"/>
      <c r="D174" s="66"/>
      <c r="E174" s="66"/>
      <c r="F174" s="66"/>
      <c r="G174" s="66"/>
      <c r="H174" s="73"/>
      <c r="I174" s="87"/>
      <c r="J174" s="87"/>
      <c r="K174" s="91"/>
      <c r="L174" s="66"/>
      <c r="M174" s="66"/>
      <c r="N174" s="66"/>
      <c r="O174" s="66"/>
      <c r="Q174" s="72" t="s">
        <v>353</v>
      </c>
      <c r="R174" s="72"/>
    </row>
    <row r="175" spans="1:18" s="72" customFormat="1" ht="18.75" customHeight="1" x14ac:dyDescent="0.2">
      <c r="A175" s="70">
        <v>37360</v>
      </c>
      <c r="B175" s="70">
        <v>37374</v>
      </c>
      <c r="C175" s="182">
        <v>33800016</v>
      </c>
      <c r="D175" s="72" t="s">
        <v>2139</v>
      </c>
      <c r="E175" s="185" t="s">
        <v>19</v>
      </c>
      <c r="F175" s="185" t="s">
        <v>2141</v>
      </c>
      <c r="G175" s="185" t="s">
        <v>457</v>
      </c>
      <c r="H175" s="73" t="s">
        <v>349</v>
      </c>
      <c r="I175" s="186">
        <v>37.1</v>
      </c>
      <c r="J175" s="186">
        <v>50.3</v>
      </c>
      <c r="K175" s="76">
        <v>67</v>
      </c>
      <c r="L175" s="76">
        <v>61.6</v>
      </c>
      <c r="M175" s="70">
        <v>37508</v>
      </c>
      <c r="N175" s="89">
        <v>40429</v>
      </c>
      <c r="O175" s="73" t="s">
        <v>2140</v>
      </c>
      <c r="P175" s="73" t="s">
        <v>2140</v>
      </c>
      <c r="Q175" s="72" t="s">
        <v>407</v>
      </c>
      <c r="R175" s="72" t="str">
        <f>VLOOKUP($Q175,[1]Tabelle1!$A$1:$B$3884,2,FALSE)</f>
        <v>m</v>
      </c>
    </row>
    <row r="176" spans="1:18" ht="18.75" customHeight="1" x14ac:dyDescent="0.2">
      <c r="A176" s="79"/>
      <c r="B176" s="79"/>
      <c r="C176" s="183"/>
      <c r="D176" s="66"/>
      <c r="E176" s="187" t="s">
        <v>2140</v>
      </c>
      <c r="F176" s="187" t="s">
        <v>2140</v>
      </c>
      <c r="G176" s="187" t="s">
        <v>407</v>
      </c>
      <c r="H176" s="73" t="s">
        <v>349</v>
      </c>
      <c r="I176" s="188">
        <v>42.15</v>
      </c>
      <c r="J176" s="188">
        <v>49.7</v>
      </c>
      <c r="K176" s="91"/>
      <c r="L176" s="66"/>
      <c r="M176" s="66"/>
      <c r="N176" s="66"/>
      <c r="O176" s="66"/>
      <c r="Q176" s="72" t="s">
        <v>353</v>
      </c>
      <c r="R176" s="72"/>
    </row>
    <row r="177" spans="1:26" ht="18.75" customHeight="1" x14ac:dyDescent="0.2">
      <c r="A177" s="79"/>
      <c r="B177" s="79"/>
      <c r="C177" s="183"/>
      <c r="D177" s="66"/>
      <c r="E177" s="187" t="s">
        <v>21</v>
      </c>
      <c r="F177" s="187" t="s">
        <v>2283</v>
      </c>
      <c r="G177" s="187" t="s">
        <v>1188</v>
      </c>
      <c r="H177" s="73" t="s">
        <v>349</v>
      </c>
      <c r="I177" s="188">
        <v>20.76</v>
      </c>
      <c r="J177" s="87"/>
      <c r="K177" s="91"/>
      <c r="L177" s="66"/>
      <c r="M177" s="66"/>
      <c r="N177" s="66"/>
      <c r="O177" s="66"/>
      <c r="Q177" s="72" t="s">
        <v>353</v>
      </c>
      <c r="R177" s="72"/>
    </row>
    <row r="178" spans="1:26" ht="18.75" customHeight="1" x14ac:dyDescent="0.2">
      <c r="A178" s="79"/>
      <c r="B178" s="79"/>
      <c r="C178" s="183"/>
      <c r="D178" s="66"/>
      <c r="E178" s="66"/>
      <c r="F178" s="66"/>
      <c r="G178" s="66"/>
      <c r="H178" s="73"/>
      <c r="I178" s="87"/>
      <c r="J178" s="87"/>
      <c r="K178" s="91"/>
      <c r="L178" s="66"/>
      <c r="M178" s="66"/>
      <c r="N178" s="66"/>
      <c r="O178" s="66"/>
      <c r="Q178" s="72" t="s">
        <v>353</v>
      </c>
      <c r="R178" s="72"/>
    </row>
    <row r="179" spans="1:26" s="72" customFormat="1" ht="18.75" customHeight="1" x14ac:dyDescent="0.2">
      <c r="A179" s="70">
        <v>37360</v>
      </c>
      <c r="B179" s="70">
        <v>37374</v>
      </c>
      <c r="C179" s="182">
        <v>33800017</v>
      </c>
      <c r="D179" s="72" t="s">
        <v>2144</v>
      </c>
      <c r="E179" s="185" t="s">
        <v>21</v>
      </c>
      <c r="F179" s="185" t="s">
        <v>2284</v>
      </c>
      <c r="G179" s="185" t="s">
        <v>389</v>
      </c>
      <c r="H179" s="73" t="s">
        <v>349</v>
      </c>
      <c r="I179" s="186">
        <v>43.76</v>
      </c>
      <c r="J179" s="186">
        <v>54.52</v>
      </c>
      <c r="K179" s="76">
        <v>62.3</v>
      </c>
      <c r="L179" s="76">
        <v>56.4</v>
      </c>
      <c r="M179" s="70">
        <v>37490</v>
      </c>
      <c r="N179" s="89">
        <v>40411</v>
      </c>
      <c r="O179" s="73" t="s">
        <v>21</v>
      </c>
      <c r="P179" s="73" t="s">
        <v>2145</v>
      </c>
      <c r="Q179" s="72" t="s">
        <v>655</v>
      </c>
      <c r="R179" s="72" t="str">
        <f>VLOOKUP($Q179,[1]Tabelle1!$A$1:$B$3884,2,FALSE)</f>
        <v>m</v>
      </c>
    </row>
    <row r="180" spans="1:26" ht="18.75" customHeight="1" x14ac:dyDescent="0.2">
      <c r="A180" s="79"/>
      <c r="B180" s="79"/>
      <c r="C180" s="183"/>
      <c r="D180" s="66"/>
      <c r="E180" s="187" t="s">
        <v>19</v>
      </c>
      <c r="F180" s="187" t="s">
        <v>2285</v>
      </c>
      <c r="G180" s="187" t="s">
        <v>2286</v>
      </c>
      <c r="H180" s="73" t="s">
        <v>419</v>
      </c>
      <c r="I180" s="188">
        <v>31.96</v>
      </c>
      <c r="J180" s="188">
        <v>45.48</v>
      </c>
      <c r="K180" s="91"/>
      <c r="L180" s="66"/>
      <c r="M180" s="66"/>
      <c r="N180" s="66"/>
      <c r="O180" s="66"/>
      <c r="Q180" s="72" t="s">
        <v>353</v>
      </c>
      <c r="R180" s="72"/>
    </row>
    <row r="181" spans="1:26" ht="18.75" customHeight="1" x14ac:dyDescent="0.2">
      <c r="A181" s="79"/>
      <c r="B181" s="79"/>
      <c r="C181" s="183"/>
      <c r="D181" s="66"/>
      <c r="E181" s="187" t="s">
        <v>2287</v>
      </c>
      <c r="F181" s="187" t="s">
        <v>2287</v>
      </c>
      <c r="G181" s="187" t="s">
        <v>611</v>
      </c>
      <c r="H181" s="73" t="s">
        <v>349</v>
      </c>
      <c r="I181" s="188">
        <v>22.58</v>
      </c>
      <c r="J181" s="87"/>
      <c r="K181" s="91"/>
      <c r="L181" s="66"/>
      <c r="M181" s="66"/>
      <c r="N181" s="66"/>
      <c r="O181" s="66"/>
      <c r="Q181" s="72" t="s">
        <v>353</v>
      </c>
      <c r="R181" s="72"/>
    </row>
    <row r="182" spans="1:26" ht="18.75" customHeight="1" x14ac:dyDescent="0.2">
      <c r="A182" s="79"/>
      <c r="B182" s="79"/>
      <c r="C182" s="183"/>
      <c r="D182" s="66"/>
      <c r="E182" s="187" t="s">
        <v>2275</v>
      </c>
      <c r="F182" s="187" t="s">
        <v>2288</v>
      </c>
      <c r="G182" s="187" t="s">
        <v>500</v>
      </c>
      <c r="H182" s="73" t="s">
        <v>349</v>
      </c>
      <c r="I182" s="188">
        <v>1.7</v>
      </c>
      <c r="J182" s="87"/>
      <c r="K182" s="91"/>
      <c r="L182" s="66"/>
      <c r="M182" s="66"/>
      <c r="N182" s="66"/>
      <c r="O182" s="66"/>
      <c r="Q182" s="72" t="s">
        <v>353</v>
      </c>
      <c r="R182" s="72"/>
    </row>
    <row r="183" spans="1:26" ht="18.75" customHeight="1" x14ac:dyDescent="0.2">
      <c r="A183" s="79"/>
      <c r="B183" s="79"/>
      <c r="C183" s="183"/>
      <c r="D183" s="66"/>
      <c r="E183" s="66"/>
      <c r="F183" s="66"/>
      <c r="G183" s="66"/>
      <c r="H183" s="73"/>
      <c r="I183" s="87"/>
      <c r="J183" s="87"/>
      <c r="K183" s="91"/>
      <c r="L183" s="66"/>
      <c r="M183" s="66"/>
      <c r="N183" s="66"/>
      <c r="O183" s="66"/>
      <c r="Q183" s="72" t="s">
        <v>353</v>
      </c>
      <c r="R183" s="72"/>
    </row>
    <row r="184" spans="1:26" s="72" customFormat="1" ht="18.75" customHeight="1" x14ac:dyDescent="0.2">
      <c r="A184" s="70">
        <v>37416</v>
      </c>
      <c r="B184" s="70">
        <v>37430</v>
      </c>
      <c r="C184" s="182">
        <v>13700203</v>
      </c>
      <c r="D184" s="72" t="s">
        <v>2154</v>
      </c>
      <c r="E184" s="185" t="s">
        <v>19</v>
      </c>
      <c r="F184" s="185" t="s">
        <v>2155</v>
      </c>
      <c r="G184" s="185" t="s">
        <v>2289</v>
      </c>
      <c r="H184" s="73" t="s">
        <v>349</v>
      </c>
      <c r="I184" s="186">
        <v>64</v>
      </c>
      <c r="J184" s="184"/>
      <c r="K184" s="76">
        <v>51.6</v>
      </c>
      <c r="L184" s="76"/>
      <c r="M184" s="70">
        <v>37682</v>
      </c>
      <c r="N184" s="89">
        <v>39082</v>
      </c>
      <c r="O184" s="73" t="s">
        <v>19</v>
      </c>
      <c r="P184" s="73" t="s">
        <v>2155</v>
      </c>
      <c r="Q184" s="72" t="s">
        <v>2156</v>
      </c>
      <c r="R184" s="72" t="s">
        <v>349</v>
      </c>
    </row>
    <row r="185" spans="1:26" ht="18.75" customHeight="1" x14ac:dyDescent="0.2">
      <c r="A185" s="79"/>
      <c r="B185" s="79"/>
      <c r="C185" s="183"/>
      <c r="D185" s="66"/>
      <c r="E185" s="187" t="s">
        <v>21</v>
      </c>
      <c r="F185" s="187" t="s">
        <v>2290</v>
      </c>
      <c r="G185" s="187" t="s">
        <v>562</v>
      </c>
      <c r="H185" s="73" t="s">
        <v>349</v>
      </c>
      <c r="I185" s="188">
        <v>36</v>
      </c>
      <c r="J185" s="87"/>
      <c r="K185" s="91"/>
      <c r="L185" s="66"/>
      <c r="M185" s="66"/>
      <c r="N185" s="66"/>
      <c r="O185" s="66"/>
      <c r="Q185" s="72" t="s">
        <v>353</v>
      </c>
      <c r="R185" s="72"/>
    </row>
    <row r="186" spans="1:26" ht="18.75" customHeight="1" x14ac:dyDescent="0.2">
      <c r="A186" s="79"/>
      <c r="B186" s="79"/>
      <c r="C186" s="183"/>
      <c r="D186" s="66"/>
      <c r="E186" s="66"/>
      <c r="F186" s="66"/>
      <c r="G186" s="66"/>
      <c r="H186" s="73"/>
      <c r="I186" s="87"/>
      <c r="J186" s="87"/>
      <c r="K186" s="91"/>
      <c r="L186" s="66"/>
      <c r="M186" s="66"/>
      <c r="N186" s="66"/>
      <c r="O186" s="66"/>
      <c r="Q186" s="72" t="s">
        <v>353</v>
      </c>
      <c r="R186" s="72"/>
    </row>
    <row r="187" spans="1:26" s="72" customFormat="1" ht="18.75" customHeight="1" x14ac:dyDescent="0.2">
      <c r="A187" s="70">
        <v>37521</v>
      </c>
      <c r="B187" s="70">
        <v>37535</v>
      </c>
      <c r="C187" s="182">
        <v>33100055</v>
      </c>
      <c r="D187" s="72" t="s">
        <v>2161</v>
      </c>
      <c r="E187" s="185" t="s">
        <v>21</v>
      </c>
      <c r="F187" s="185" t="s">
        <v>716</v>
      </c>
      <c r="G187" s="185" t="s">
        <v>444</v>
      </c>
      <c r="H187" s="73" t="s">
        <v>349</v>
      </c>
      <c r="I187" s="186">
        <v>65.709999999999994</v>
      </c>
      <c r="J187" s="184"/>
      <c r="K187" s="76">
        <v>78.2</v>
      </c>
      <c r="L187" s="76"/>
      <c r="M187" s="70">
        <v>37658</v>
      </c>
      <c r="N187" s="89">
        <v>40579</v>
      </c>
      <c r="O187" s="73" t="s">
        <v>21</v>
      </c>
      <c r="P187" s="73" t="s">
        <v>716</v>
      </c>
      <c r="Q187" s="72" t="s">
        <v>444</v>
      </c>
      <c r="R187" s="72" t="str">
        <f>VLOOKUP($Q187,[1]Tabelle1!$A$1:$B$3884,2,FALSE)</f>
        <v>m</v>
      </c>
      <c r="S187" s="176" t="s">
        <v>2291</v>
      </c>
      <c r="T187" s="66"/>
      <c r="U187" s="66"/>
      <c r="V187" s="66"/>
      <c r="W187" s="66"/>
      <c r="X187" s="66"/>
      <c r="Y187" s="66"/>
      <c r="Z187" s="66"/>
    </row>
    <row r="188" spans="1:26" ht="18.75" customHeight="1" x14ac:dyDescent="0.2">
      <c r="A188" s="79"/>
      <c r="B188" s="79"/>
      <c r="C188" s="183"/>
      <c r="D188" s="66"/>
      <c r="E188" s="187" t="s">
        <v>19</v>
      </c>
      <c r="F188" s="187" t="s">
        <v>1842</v>
      </c>
      <c r="G188" s="187" t="s">
        <v>629</v>
      </c>
      <c r="H188" s="73" t="s">
        <v>349</v>
      </c>
      <c r="I188" s="188">
        <v>34.29</v>
      </c>
      <c r="J188" s="87"/>
      <c r="K188" s="91"/>
      <c r="L188" s="193"/>
      <c r="M188" s="136"/>
      <c r="N188" s="66"/>
      <c r="O188" s="66"/>
      <c r="Q188" s="72" t="s">
        <v>353</v>
      </c>
      <c r="R188" s="72"/>
    </row>
    <row r="189" spans="1:26" ht="18.75" customHeight="1" x14ac:dyDescent="0.2">
      <c r="A189" s="79"/>
      <c r="B189" s="79"/>
      <c r="C189" s="183"/>
      <c r="D189" s="66"/>
      <c r="E189" s="66"/>
      <c r="F189" s="66"/>
      <c r="G189" s="66"/>
      <c r="H189" s="73"/>
      <c r="I189" s="87"/>
      <c r="J189" s="87"/>
      <c r="K189" s="91"/>
      <c r="L189" s="193"/>
      <c r="M189" s="136"/>
      <c r="N189" s="66"/>
      <c r="O189" s="66"/>
      <c r="Q189" s="72" t="s">
        <v>353</v>
      </c>
      <c r="R189" s="72"/>
    </row>
    <row r="190" spans="1:26" s="72" customFormat="1" ht="18.75" customHeight="1" x14ac:dyDescent="0.2">
      <c r="A190" s="70">
        <v>37696</v>
      </c>
      <c r="B190" s="70">
        <v>37710</v>
      </c>
      <c r="C190" s="182">
        <v>13300006</v>
      </c>
      <c r="D190" s="72" t="s">
        <v>2147</v>
      </c>
      <c r="E190" s="185" t="s">
        <v>19</v>
      </c>
      <c r="F190" s="185" t="s">
        <v>669</v>
      </c>
      <c r="G190" s="185" t="s">
        <v>1188</v>
      </c>
      <c r="H190" s="73" t="s">
        <v>349</v>
      </c>
      <c r="I190" s="186">
        <v>43.39</v>
      </c>
      <c r="J190" s="186">
        <v>51.25</v>
      </c>
      <c r="K190" s="76">
        <v>37.200000000000003</v>
      </c>
      <c r="L190" s="76">
        <v>35.4</v>
      </c>
      <c r="M190" s="70">
        <v>37805</v>
      </c>
      <c r="N190" s="89">
        <v>40726</v>
      </c>
      <c r="O190" s="73" t="s">
        <v>19</v>
      </c>
      <c r="P190" s="73" t="s">
        <v>2148</v>
      </c>
      <c r="Q190" s="72" t="s">
        <v>562</v>
      </c>
      <c r="R190" s="72" t="str">
        <f>VLOOKUP($Q190,[1]Tabelle1!$A$1:$B$3884,2,FALSE)</f>
        <v>m</v>
      </c>
    </row>
    <row r="191" spans="1:26" ht="18.75" customHeight="1" x14ac:dyDescent="0.2">
      <c r="A191" s="79"/>
      <c r="B191" s="79"/>
      <c r="C191" s="183"/>
      <c r="D191" s="66"/>
      <c r="E191" s="187" t="s">
        <v>21</v>
      </c>
      <c r="F191" s="187" t="s">
        <v>2292</v>
      </c>
      <c r="G191" s="187" t="s">
        <v>2293</v>
      </c>
      <c r="H191" s="73" t="s">
        <v>419</v>
      </c>
      <c r="I191" s="188">
        <v>38.799999999999997</v>
      </c>
      <c r="J191" s="188">
        <v>48.75</v>
      </c>
      <c r="K191" s="91"/>
      <c r="L191" s="66"/>
      <c r="M191" s="66"/>
      <c r="N191" s="66"/>
      <c r="O191" s="66"/>
      <c r="Q191" s="72" t="s">
        <v>353</v>
      </c>
      <c r="R191" s="72"/>
    </row>
    <row r="192" spans="1:26" ht="18.75" customHeight="1" x14ac:dyDescent="0.2">
      <c r="A192" s="79"/>
      <c r="B192" s="79"/>
      <c r="C192" s="183"/>
      <c r="D192" s="66"/>
      <c r="E192" s="187" t="s">
        <v>34</v>
      </c>
      <c r="F192" s="187" t="s">
        <v>2294</v>
      </c>
      <c r="G192" s="187" t="s">
        <v>1215</v>
      </c>
      <c r="H192" s="73" t="s">
        <v>349</v>
      </c>
      <c r="I192" s="188">
        <v>12.04</v>
      </c>
      <c r="J192" s="87"/>
      <c r="K192" s="91"/>
      <c r="L192" s="66"/>
      <c r="M192" s="66"/>
      <c r="N192" s="66"/>
      <c r="O192" s="66"/>
      <c r="Q192" s="72" t="s">
        <v>353</v>
      </c>
      <c r="R192" s="72"/>
    </row>
    <row r="193" spans="1:18" ht="18.75" customHeight="1" x14ac:dyDescent="0.2">
      <c r="A193" s="79"/>
      <c r="B193" s="79"/>
      <c r="C193" s="183"/>
      <c r="D193" s="66"/>
      <c r="E193" s="187" t="s">
        <v>2295</v>
      </c>
      <c r="F193" s="187" t="s">
        <v>2295</v>
      </c>
      <c r="G193" s="187" t="s">
        <v>416</v>
      </c>
      <c r="H193" s="73" t="s">
        <v>349</v>
      </c>
      <c r="I193" s="188">
        <v>5.78</v>
      </c>
      <c r="J193" s="87"/>
      <c r="K193" s="91"/>
      <c r="L193" s="66"/>
      <c r="M193" s="66"/>
      <c r="N193" s="66"/>
      <c r="O193" s="66"/>
      <c r="Q193" s="72" t="s">
        <v>353</v>
      </c>
      <c r="R193" s="72"/>
    </row>
    <row r="194" spans="1:18" ht="18.75" customHeight="1" x14ac:dyDescent="0.2">
      <c r="A194" s="79"/>
      <c r="B194" s="79"/>
      <c r="C194" s="183"/>
      <c r="D194" s="66"/>
      <c r="E194" s="66"/>
      <c r="F194" s="66"/>
      <c r="G194" s="66"/>
      <c r="H194" s="73"/>
      <c r="I194" s="87"/>
      <c r="J194" s="87"/>
      <c r="K194" s="91"/>
      <c r="L194" s="66"/>
      <c r="M194" s="66"/>
      <c r="N194" s="66"/>
      <c r="O194" s="66"/>
      <c r="Q194" s="72" t="s">
        <v>353</v>
      </c>
      <c r="R194" s="72"/>
    </row>
    <row r="195" spans="1:18" s="72" customFormat="1" ht="18.75" customHeight="1" x14ac:dyDescent="0.2">
      <c r="A195" s="70">
        <v>37752</v>
      </c>
      <c r="B195" s="70">
        <v>37766</v>
      </c>
      <c r="C195" s="182">
        <v>13200050</v>
      </c>
      <c r="D195" s="72" t="s">
        <v>2173</v>
      </c>
      <c r="E195" s="185" t="s">
        <v>2174</v>
      </c>
      <c r="F195" s="185" t="s">
        <v>2174</v>
      </c>
      <c r="G195" s="185" t="s">
        <v>789</v>
      </c>
      <c r="H195" s="73" t="s">
        <v>349</v>
      </c>
      <c r="I195" s="186">
        <v>60.09</v>
      </c>
      <c r="J195" s="184"/>
      <c r="K195" s="76">
        <v>53.1</v>
      </c>
      <c r="L195" s="76"/>
      <c r="M195" s="70">
        <v>37956</v>
      </c>
      <c r="N195" s="89">
        <v>40877</v>
      </c>
      <c r="O195" s="73" t="s">
        <v>34</v>
      </c>
      <c r="P195" s="73" t="s">
        <v>2174</v>
      </c>
      <c r="Q195" s="72" t="s">
        <v>789</v>
      </c>
      <c r="R195" s="72" t="str">
        <f>VLOOKUP($Q195,[1]Tabelle1!$A$1:$B$3884,2,FALSE)</f>
        <v>m</v>
      </c>
    </row>
    <row r="196" spans="1:18" ht="18.75" customHeight="1" x14ac:dyDescent="0.2">
      <c r="A196" s="79"/>
      <c r="B196" s="79"/>
      <c r="C196" s="183"/>
      <c r="D196" s="66"/>
      <c r="E196" s="187" t="s">
        <v>19</v>
      </c>
      <c r="F196" s="187" t="s">
        <v>2296</v>
      </c>
      <c r="G196" s="187" t="s">
        <v>469</v>
      </c>
      <c r="H196" s="73" t="s">
        <v>349</v>
      </c>
      <c r="I196" s="188">
        <v>39.909999999999997</v>
      </c>
      <c r="J196" s="87"/>
      <c r="K196" s="91"/>
      <c r="L196" s="66"/>
      <c r="M196" s="66"/>
      <c r="N196" s="66"/>
      <c r="O196" s="66"/>
      <c r="Q196" s="72" t="s">
        <v>353</v>
      </c>
      <c r="R196" s="72"/>
    </row>
    <row r="197" spans="1:18" ht="18.75" customHeight="1" x14ac:dyDescent="0.2">
      <c r="A197" s="79"/>
      <c r="B197" s="79"/>
      <c r="C197" s="183"/>
      <c r="D197" s="66"/>
      <c r="E197" s="66"/>
      <c r="F197" s="66"/>
      <c r="G197" s="66"/>
      <c r="H197" s="73"/>
      <c r="I197" s="87"/>
      <c r="J197" s="87"/>
      <c r="K197" s="91"/>
      <c r="L197" s="66"/>
      <c r="M197" s="66"/>
      <c r="N197" s="66"/>
      <c r="O197" s="66"/>
      <c r="Q197" s="72" t="s">
        <v>353</v>
      </c>
      <c r="R197" s="72"/>
    </row>
    <row r="198" spans="1:18" s="72" customFormat="1" ht="18.75" customHeight="1" x14ac:dyDescent="0.2">
      <c r="A198" s="70">
        <v>37787</v>
      </c>
      <c r="B198" s="70">
        <v>37801</v>
      </c>
      <c r="C198" s="182">
        <v>33800025</v>
      </c>
      <c r="D198" s="72" t="s">
        <v>2163</v>
      </c>
      <c r="E198" s="185" t="s">
        <v>55</v>
      </c>
      <c r="F198" s="185" t="s">
        <v>2297</v>
      </c>
      <c r="G198" s="185" t="s">
        <v>358</v>
      </c>
      <c r="H198" s="73" t="s">
        <v>349</v>
      </c>
      <c r="I198" s="186">
        <v>63.16</v>
      </c>
      <c r="J198" s="184"/>
      <c r="K198" s="76">
        <v>58.8</v>
      </c>
      <c r="L198" s="76"/>
      <c r="M198" s="70">
        <v>37945</v>
      </c>
      <c r="N198" s="89">
        <v>40866</v>
      </c>
      <c r="O198" s="73" t="s">
        <v>19</v>
      </c>
      <c r="P198" s="73" t="s">
        <v>1161</v>
      </c>
      <c r="Q198" s="72" t="s">
        <v>821</v>
      </c>
      <c r="R198" s="72" t="str">
        <f>VLOOKUP($Q198,[1]Tabelle1!$A$1:$B$3884,2,FALSE)</f>
        <v>m</v>
      </c>
    </row>
    <row r="199" spans="1:18" ht="18.75" customHeight="1" x14ac:dyDescent="0.2">
      <c r="A199" s="79"/>
      <c r="B199" s="79"/>
      <c r="C199" s="183"/>
      <c r="D199" s="66"/>
      <c r="E199" s="187" t="s">
        <v>19</v>
      </c>
      <c r="F199" s="187" t="s">
        <v>2298</v>
      </c>
      <c r="G199" s="187" t="s">
        <v>854</v>
      </c>
      <c r="H199" s="73" t="s">
        <v>349</v>
      </c>
      <c r="I199" s="188">
        <v>25.08</v>
      </c>
      <c r="J199" s="87"/>
      <c r="K199" s="91"/>
      <c r="L199" s="66"/>
      <c r="M199" s="66"/>
      <c r="N199" s="66"/>
      <c r="O199" s="66"/>
      <c r="Q199" s="72" t="s">
        <v>353</v>
      </c>
      <c r="R199" s="72"/>
    </row>
    <row r="200" spans="1:18" ht="18.75" customHeight="1" x14ac:dyDescent="0.2">
      <c r="A200" s="79"/>
      <c r="B200" s="79"/>
      <c r="C200" s="183"/>
      <c r="D200" s="66"/>
      <c r="E200" s="187" t="s">
        <v>21</v>
      </c>
      <c r="F200" s="187" t="s">
        <v>1034</v>
      </c>
      <c r="G200" s="187" t="s">
        <v>371</v>
      </c>
      <c r="H200" s="73" t="s">
        <v>349</v>
      </c>
      <c r="I200" s="188">
        <v>10.44</v>
      </c>
      <c r="J200" s="87"/>
      <c r="K200" s="91"/>
      <c r="L200" s="66"/>
      <c r="M200" s="66"/>
      <c r="N200" s="66"/>
      <c r="O200" s="66"/>
      <c r="Q200" s="72" t="s">
        <v>353</v>
      </c>
      <c r="R200" s="72"/>
    </row>
    <row r="201" spans="1:18" ht="18.75" customHeight="1" x14ac:dyDescent="0.2">
      <c r="A201" s="79"/>
      <c r="B201" s="79"/>
      <c r="C201" s="183"/>
      <c r="D201" s="66"/>
      <c r="E201" s="187" t="s">
        <v>38</v>
      </c>
      <c r="F201" s="187" t="s">
        <v>2299</v>
      </c>
      <c r="G201" s="187" t="s">
        <v>1989</v>
      </c>
      <c r="H201" s="73" t="s">
        <v>349</v>
      </c>
      <c r="I201" s="188">
        <v>1.33</v>
      </c>
      <c r="J201" s="87"/>
      <c r="K201" s="91"/>
      <c r="L201" s="66"/>
      <c r="M201" s="66"/>
      <c r="N201" s="66"/>
      <c r="O201" s="66"/>
      <c r="Q201" s="72" t="s">
        <v>353</v>
      </c>
      <c r="R201" s="72"/>
    </row>
    <row r="202" spans="1:18" ht="18.75" customHeight="1" x14ac:dyDescent="0.2">
      <c r="A202" s="79"/>
      <c r="B202" s="79"/>
      <c r="C202" s="183"/>
      <c r="D202" s="66"/>
      <c r="E202" s="66"/>
      <c r="F202" s="66"/>
      <c r="G202" s="66"/>
      <c r="H202" s="73"/>
      <c r="I202" s="87"/>
      <c r="J202" s="87"/>
      <c r="K202" s="91"/>
      <c r="L202" s="66"/>
      <c r="M202" s="66"/>
      <c r="N202" s="66"/>
      <c r="O202" s="66"/>
      <c r="Q202" s="72" t="s">
        <v>353</v>
      </c>
      <c r="R202" s="72"/>
    </row>
    <row r="203" spans="1:18" s="72" customFormat="1" ht="18.75" customHeight="1" x14ac:dyDescent="0.2">
      <c r="A203" s="70">
        <v>37787</v>
      </c>
      <c r="B203" s="70">
        <v>37801</v>
      </c>
      <c r="C203" s="182">
        <v>33900030</v>
      </c>
      <c r="D203" s="72" t="s">
        <v>2167</v>
      </c>
      <c r="E203" s="185" t="s">
        <v>19</v>
      </c>
      <c r="F203" s="185" t="s">
        <v>2168</v>
      </c>
      <c r="G203" s="185" t="s">
        <v>1005</v>
      </c>
      <c r="H203" s="73" t="s">
        <v>349</v>
      </c>
      <c r="I203" s="186">
        <v>45.85</v>
      </c>
      <c r="J203" s="186">
        <v>52.76</v>
      </c>
      <c r="K203" s="76">
        <v>48.46</v>
      </c>
      <c r="L203" s="76">
        <v>43.28</v>
      </c>
      <c r="M203" s="70">
        <v>38002</v>
      </c>
      <c r="N203" s="89">
        <v>40923</v>
      </c>
      <c r="O203" s="73" t="s">
        <v>19</v>
      </c>
      <c r="P203" s="73" t="s">
        <v>2168</v>
      </c>
      <c r="Q203" s="72" t="s">
        <v>1005</v>
      </c>
      <c r="R203" s="72" t="str">
        <f>VLOOKUP($Q203,[1]Tabelle1!$A$1:$B$3884,2,FALSE)</f>
        <v>m</v>
      </c>
    </row>
    <row r="204" spans="1:18" ht="18.75" customHeight="1" x14ac:dyDescent="0.2">
      <c r="A204" s="79"/>
      <c r="B204" s="79"/>
      <c r="C204" s="183"/>
      <c r="D204" s="66"/>
      <c r="E204" s="187" t="s">
        <v>21</v>
      </c>
      <c r="F204" s="187" t="s">
        <v>2153</v>
      </c>
      <c r="G204" s="187" t="s">
        <v>547</v>
      </c>
      <c r="H204" s="73" t="s">
        <v>349</v>
      </c>
      <c r="I204" s="188">
        <v>29.51</v>
      </c>
      <c r="J204" s="188">
        <v>47.24</v>
      </c>
      <c r="K204" s="91"/>
      <c r="L204" s="66"/>
      <c r="M204" s="66"/>
      <c r="N204" s="66"/>
      <c r="O204" s="66"/>
      <c r="Q204" s="72" t="s">
        <v>353</v>
      </c>
      <c r="R204" s="72"/>
    </row>
    <row r="205" spans="1:18" ht="18.75" customHeight="1" x14ac:dyDescent="0.2">
      <c r="A205" s="79"/>
      <c r="B205" s="79"/>
      <c r="C205" s="183"/>
      <c r="D205" s="66"/>
      <c r="E205" s="187" t="s">
        <v>2300</v>
      </c>
      <c r="F205" s="187" t="s">
        <v>2300</v>
      </c>
      <c r="G205" s="187" t="s">
        <v>585</v>
      </c>
      <c r="H205" s="73" t="s">
        <v>349</v>
      </c>
      <c r="I205" s="188">
        <v>19.04</v>
      </c>
      <c r="J205" s="87"/>
      <c r="K205" s="91"/>
      <c r="L205" s="66"/>
      <c r="M205" s="66"/>
      <c r="N205" s="66"/>
      <c r="O205" s="66"/>
      <c r="Q205" s="72" t="s">
        <v>353</v>
      </c>
      <c r="R205" s="72"/>
    </row>
    <row r="206" spans="1:18" ht="18.75" customHeight="1" x14ac:dyDescent="0.2">
      <c r="A206" s="79"/>
      <c r="B206" s="79"/>
      <c r="C206" s="183"/>
      <c r="D206" s="66"/>
      <c r="E206" s="187" t="s">
        <v>34</v>
      </c>
      <c r="F206" s="187" t="s">
        <v>693</v>
      </c>
      <c r="G206" s="187" t="s">
        <v>1005</v>
      </c>
      <c r="H206" s="73" t="s">
        <v>349</v>
      </c>
      <c r="I206" s="188">
        <v>5.6</v>
      </c>
      <c r="J206" s="87"/>
      <c r="K206" s="91"/>
      <c r="L206" s="66"/>
      <c r="M206" s="66"/>
      <c r="N206" s="66"/>
      <c r="O206" s="66"/>
      <c r="Q206" s="72" t="s">
        <v>353</v>
      </c>
      <c r="R206" s="72"/>
    </row>
    <row r="207" spans="1:18" ht="18.75" customHeight="1" x14ac:dyDescent="0.2">
      <c r="A207" s="79"/>
      <c r="B207" s="79"/>
      <c r="C207" s="183"/>
      <c r="D207" s="66"/>
      <c r="E207" s="66"/>
      <c r="F207" s="66"/>
      <c r="G207" s="66"/>
      <c r="H207" s="73"/>
      <c r="I207" s="87"/>
      <c r="J207" s="87"/>
      <c r="K207" s="91"/>
      <c r="L207" s="66"/>
      <c r="M207" s="66"/>
      <c r="N207" s="66"/>
      <c r="O207" s="66"/>
      <c r="Q207" s="72" t="s">
        <v>353</v>
      </c>
      <c r="R207" s="72"/>
    </row>
    <row r="208" spans="1:18" s="72" customFormat="1" ht="18.75" customHeight="1" x14ac:dyDescent="0.2">
      <c r="A208" s="70">
        <v>37878</v>
      </c>
      <c r="B208" s="70">
        <v>37892</v>
      </c>
      <c r="C208" s="182">
        <v>13500020</v>
      </c>
      <c r="D208" s="72" t="s">
        <v>2170</v>
      </c>
      <c r="E208" s="185" t="s">
        <v>19</v>
      </c>
      <c r="F208" s="185" t="s">
        <v>2171</v>
      </c>
      <c r="G208" s="185" t="s">
        <v>556</v>
      </c>
      <c r="H208" s="73" t="s">
        <v>349</v>
      </c>
      <c r="I208" s="186">
        <v>52.18</v>
      </c>
      <c r="J208" s="184"/>
      <c r="K208" s="76">
        <v>57.7</v>
      </c>
      <c r="L208" s="76"/>
      <c r="M208" s="70">
        <v>38018</v>
      </c>
      <c r="N208" s="89">
        <v>40939</v>
      </c>
      <c r="O208" s="73" t="s">
        <v>19</v>
      </c>
      <c r="P208" s="73" t="s">
        <v>2171</v>
      </c>
      <c r="Q208" s="72" t="s">
        <v>556</v>
      </c>
      <c r="R208" s="72" t="str">
        <f>VLOOKUP($Q208,[1]Tabelle1!$A$1:$B$3884,2,FALSE)</f>
        <v>m</v>
      </c>
    </row>
    <row r="209" spans="1:18" ht="18.75" customHeight="1" x14ac:dyDescent="0.2">
      <c r="A209" s="79"/>
      <c r="B209" s="79"/>
      <c r="C209" s="183"/>
      <c r="D209" s="66"/>
      <c r="E209" s="187" t="s">
        <v>21</v>
      </c>
      <c r="F209" s="187" t="s">
        <v>2301</v>
      </c>
      <c r="G209" s="187" t="s">
        <v>444</v>
      </c>
      <c r="H209" s="73" t="s">
        <v>349</v>
      </c>
      <c r="I209" s="188">
        <v>47.82</v>
      </c>
      <c r="J209" s="87"/>
      <c r="K209" s="91"/>
      <c r="L209" s="66"/>
      <c r="M209" s="66"/>
      <c r="N209" s="66"/>
      <c r="O209" s="66"/>
      <c r="Q209" s="72" t="s">
        <v>353</v>
      </c>
      <c r="R209" s="72"/>
    </row>
    <row r="210" spans="1:18" ht="18.75" customHeight="1" x14ac:dyDescent="0.2">
      <c r="A210" s="79"/>
      <c r="B210" s="79"/>
      <c r="C210" s="183"/>
      <c r="D210" s="66"/>
      <c r="E210" s="66"/>
      <c r="F210" s="66"/>
      <c r="G210" s="66"/>
      <c r="H210" s="73"/>
      <c r="I210" s="87"/>
      <c r="J210" s="87"/>
      <c r="K210" s="91"/>
      <c r="L210" s="66"/>
      <c r="M210" s="66"/>
      <c r="N210" s="66"/>
      <c r="O210" s="66"/>
      <c r="Q210" s="72" t="s">
        <v>353</v>
      </c>
      <c r="R210" s="72"/>
    </row>
    <row r="211" spans="1:18" s="72" customFormat="1" ht="18.75" customHeight="1" x14ac:dyDescent="0.2">
      <c r="A211" s="70">
        <v>37934</v>
      </c>
      <c r="B211" s="70">
        <v>37948</v>
      </c>
      <c r="C211" s="182">
        <v>33200025</v>
      </c>
      <c r="D211" s="72" t="s">
        <v>2182</v>
      </c>
      <c r="E211" s="185" t="s">
        <v>19</v>
      </c>
      <c r="F211" s="185" t="s">
        <v>2302</v>
      </c>
      <c r="G211" s="185" t="s">
        <v>2280</v>
      </c>
      <c r="H211" s="73" t="s">
        <v>349</v>
      </c>
      <c r="I211" s="186">
        <v>54.96</v>
      </c>
      <c r="J211" s="184"/>
      <c r="K211" s="76">
        <v>57.1</v>
      </c>
      <c r="L211" s="76"/>
      <c r="M211" s="70">
        <v>38200</v>
      </c>
      <c r="N211" s="89">
        <v>41121</v>
      </c>
      <c r="O211" s="73" t="s">
        <v>1960</v>
      </c>
      <c r="P211" s="73" t="s">
        <v>1960</v>
      </c>
      <c r="Q211" s="72" t="s">
        <v>2183</v>
      </c>
      <c r="R211" s="72" t="s">
        <v>349</v>
      </c>
    </row>
    <row r="212" spans="1:18" ht="18.75" customHeight="1" x14ac:dyDescent="0.2">
      <c r="A212" s="79"/>
      <c r="B212" s="79"/>
      <c r="C212" s="183"/>
      <c r="D212" s="66"/>
      <c r="E212" s="187" t="s">
        <v>1960</v>
      </c>
      <c r="F212" s="187" t="s">
        <v>1960</v>
      </c>
      <c r="G212" s="187" t="s">
        <v>2183</v>
      </c>
      <c r="H212" s="73" t="s">
        <v>349</v>
      </c>
      <c r="I212" s="188">
        <v>45.04</v>
      </c>
      <c r="J212" s="87"/>
      <c r="K212" s="91"/>
      <c r="L212" s="66"/>
      <c r="M212" s="66"/>
      <c r="N212" s="66"/>
      <c r="O212" s="66"/>
      <c r="Q212" s="72" t="s">
        <v>353</v>
      </c>
      <c r="R212" s="72"/>
    </row>
    <row r="213" spans="1:18" ht="18.75" customHeight="1" x14ac:dyDescent="0.2">
      <c r="A213" s="79"/>
      <c r="B213" s="79"/>
      <c r="C213" s="183"/>
      <c r="D213" s="66"/>
      <c r="E213" s="66"/>
      <c r="F213" s="66"/>
      <c r="G213" s="66"/>
      <c r="H213" s="73"/>
      <c r="I213" s="87"/>
      <c r="J213" s="87"/>
      <c r="K213" s="91"/>
      <c r="L213" s="66"/>
      <c r="M213" s="66"/>
      <c r="N213" s="66"/>
      <c r="O213" s="66"/>
      <c r="Q213" s="72" t="s">
        <v>353</v>
      </c>
      <c r="R213" s="72"/>
    </row>
    <row r="214" spans="1:18" s="72" customFormat="1" ht="18.75" customHeight="1" x14ac:dyDescent="0.2">
      <c r="A214" s="70">
        <v>37934</v>
      </c>
      <c r="B214" s="70">
        <v>37948</v>
      </c>
      <c r="C214" s="182">
        <v>33800001</v>
      </c>
      <c r="D214" s="72" t="s">
        <v>2219</v>
      </c>
      <c r="E214" s="185" t="s">
        <v>55</v>
      </c>
      <c r="F214" s="185" t="s">
        <v>1028</v>
      </c>
      <c r="G214" s="185" t="s">
        <v>477</v>
      </c>
      <c r="H214" s="73" t="s">
        <v>349</v>
      </c>
      <c r="I214" s="186">
        <v>21.23</v>
      </c>
      <c r="J214" s="186">
        <v>71.8</v>
      </c>
      <c r="K214" s="76">
        <v>64.8</v>
      </c>
      <c r="L214" s="76">
        <v>62.8</v>
      </c>
      <c r="M214" s="70">
        <v>38169</v>
      </c>
      <c r="N214" s="89">
        <v>41090</v>
      </c>
      <c r="O214" s="185" t="s">
        <v>2220</v>
      </c>
      <c r="P214" s="185" t="s">
        <v>2220</v>
      </c>
      <c r="Q214" s="72" t="s">
        <v>697</v>
      </c>
      <c r="R214" s="72" t="str">
        <f>VLOOKUP($Q214,[1]Tabelle1!$A$1:$B$3884,2,FALSE)</f>
        <v>m</v>
      </c>
    </row>
    <row r="215" spans="1:18" ht="18.75" customHeight="1" x14ac:dyDescent="0.2">
      <c r="A215" s="79"/>
      <c r="B215" s="79"/>
      <c r="C215" s="183"/>
      <c r="D215" s="66"/>
      <c r="E215" s="187" t="s">
        <v>21</v>
      </c>
      <c r="F215" s="187" t="s">
        <v>2303</v>
      </c>
      <c r="G215" s="187" t="s">
        <v>348</v>
      </c>
      <c r="H215" s="73" t="s">
        <v>349</v>
      </c>
      <c r="I215" s="188">
        <v>26.43</v>
      </c>
      <c r="J215" s="188">
        <v>28.2</v>
      </c>
      <c r="K215" s="91"/>
      <c r="L215" s="66"/>
      <c r="M215" s="66"/>
      <c r="N215" s="66"/>
      <c r="O215" s="66"/>
      <c r="Q215" s="72" t="s">
        <v>353</v>
      </c>
      <c r="R215" s="72"/>
    </row>
    <row r="216" spans="1:18" ht="18.75" customHeight="1" x14ac:dyDescent="0.2">
      <c r="A216" s="79"/>
      <c r="B216" s="79"/>
      <c r="C216" s="183"/>
      <c r="D216" s="66"/>
      <c r="E216" s="187" t="s">
        <v>2304</v>
      </c>
      <c r="F216" s="187" t="s">
        <v>2305</v>
      </c>
      <c r="G216" s="187" t="s">
        <v>477</v>
      </c>
      <c r="H216" s="73" t="s">
        <v>349</v>
      </c>
      <c r="I216" s="188">
        <v>18.66</v>
      </c>
      <c r="K216" s="91"/>
      <c r="L216" s="66"/>
      <c r="M216" s="66"/>
      <c r="N216" s="66"/>
      <c r="O216" s="66"/>
      <c r="Q216" s="72" t="s">
        <v>353</v>
      </c>
      <c r="R216" s="72"/>
    </row>
    <row r="217" spans="1:18" ht="18.75" customHeight="1" x14ac:dyDescent="0.2">
      <c r="A217" s="79"/>
      <c r="B217" s="79"/>
      <c r="C217" s="183"/>
      <c r="D217" s="66"/>
      <c r="E217" s="187" t="s">
        <v>19</v>
      </c>
      <c r="F217" s="187" t="s">
        <v>1364</v>
      </c>
      <c r="G217" s="187" t="s">
        <v>2306</v>
      </c>
      <c r="H217" s="73" t="s">
        <v>419</v>
      </c>
      <c r="I217" s="188">
        <v>18.100000000000001</v>
      </c>
      <c r="J217" s="87"/>
      <c r="K217" s="91"/>
      <c r="L217" s="66"/>
      <c r="M217" s="66"/>
      <c r="N217" s="66"/>
      <c r="O217" s="66"/>
      <c r="Q217" s="72" t="s">
        <v>353</v>
      </c>
      <c r="R217" s="72"/>
    </row>
    <row r="218" spans="1:18" ht="18.75" customHeight="1" x14ac:dyDescent="0.2">
      <c r="A218" s="79"/>
      <c r="B218" s="79"/>
      <c r="C218" s="183"/>
      <c r="D218" s="66"/>
      <c r="E218" s="187" t="s">
        <v>2307</v>
      </c>
      <c r="F218" s="187" t="s">
        <v>2307</v>
      </c>
      <c r="G218" s="187" t="s">
        <v>789</v>
      </c>
      <c r="H218" s="73" t="s">
        <v>349</v>
      </c>
      <c r="I218" s="188">
        <v>11.67</v>
      </c>
      <c r="J218" s="87"/>
      <c r="K218" s="91"/>
      <c r="L218" s="66"/>
      <c r="M218" s="66"/>
      <c r="N218" s="66"/>
      <c r="O218" s="66"/>
      <c r="Q218" s="72" t="s">
        <v>353</v>
      </c>
      <c r="R218" s="72"/>
    </row>
    <row r="219" spans="1:18" ht="18.75" customHeight="1" x14ac:dyDescent="0.2">
      <c r="A219" s="79"/>
      <c r="B219" s="79"/>
      <c r="C219" s="183"/>
      <c r="D219" s="66"/>
      <c r="E219" s="187" t="s">
        <v>2308</v>
      </c>
      <c r="F219" s="187" t="s">
        <v>2308</v>
      </c>
      <c r="G219" s="187" t="s">
        <v>1188</v>
      </c>
      <c r="H219" s="73" t="s">
        <v>349</v>
      </c>
      <c r="I219" s="188">
        <v>3.03</v>
      </c>
      <c r="J219" s="87"/>
      <c r="K219" s="91"/>
      <c r="L219" s="66"/>
      <c r="M219" s="66"/>
      <c r="N219" s="66"/>
      <c r="O219" s="66"/>
      <c r="Q219" s="72" t="s">
        <v>353</v>
      </c>
      <c r="R219" s="72"/>
    </row>
    <row r="220" spans="1:18" ht="18.75" customHeight="1" x14ac:dyDescent="0.2">
      <c r="A220" s="79"/>
      <c r="B220" s="79"/>
      <c r="C220" s="183"/>
      <c r="D220" s="66"/>
      <c r="E220" s="187" t="s">
        <v>2309</v>
      </c>
      <c r="F220" s="187" t="s">
        <v>2309</v>
      </c>
      <c r="G220" s="187" t="s">
        <v>1213</v>
      </c>
      <c r="H220" s="73" t="s">
        <v>419</v>
      </c>
      <c r="I220" s="188">
        <v>0.87</v>
      </c>
      <c r="J220" s="87"/>
      <c r="K220" s="91"/>
      <c r="L220" s="66"/>
      <c r="M220" s="66"/>
      <c r="N220" s="66"/>
      <c r="O220" s="66"/>
      <c r="Q220" s="72" t="s">
        <v>353</v>
      </c>
      <c r="R220" s="72"/>
    </row>
    <row r="221" spans="1:18" ht="18.75" customHeight="1" x14ac:dyDescent="0.2">
      <c r="A221" s="79"/>
      <c r="B221" s="79"/>
      <c r="C221" s="183"/>
      <c r="D221" s="66"/>
      <c r="E221" s="66"/>
      <c r="F221" s="66"/>
      <c r="G221" s="66"/>
      <c r="H221" s="73"/>
      <c r="I221" s="87"/>
      <c r="J221" s="87"/>
      <c r="K221" s="91"/>
      <c r="L221" s="66"/>
      <c r="M221" s="66"/>
      <c r="N221" s="66"/>
      <c r="O221" s="66"/>
      <c r="Q221" s="72" t="s">
        <v>353</v>
      </c>
      <c r="R221" s="72"/>
    </row>
    <row r="222" spans="1:18" s="72" customFormat="1" ht="18.75" customHeight="1" x14ac:dyDescent="0.2">
      <c r="A222" s="70">
        <v>37934</v>
      </c>
      <c r="B222" s="70">
        <v>37948</v>
      </c>
      <c r="C222" s="182">
        <v>33900005</v>
      </c>
      <c r="D222" s="72" t="s">
        <v>2177</v>
      </c>
      <c r="E222" s="185" t="s">
        <v>19</v>
      </c>
      <c r="F222" s="185" t="s">
        <v>2178</v>
      </c>
      <c r="G222" s="185" t="s">
        <v>1567</v>
      </c>
      <c r="H222" s="73" t="s">
        <v>419</v>
      </c>
      <c r="I222" s="186">
        <v>77.81</v>
      </c>
      <c r="J222" s="184"/>
      <c r="K222" s="76">
        <v>38.299999999999997</v>
      </c>
      <c r="L222" s="76"/>
      <c r="M222" s="70">
        <v>38200</v>
      </c>
      <c r="N222" s="194">
        <v>41060</v>
      </c>
      <c r="O222" s="73" t="s">
        <v>19</v>
      </c>
      <c r="P222" s="73" t="s">
        <v>2178</v>
      </c>
      <c r="Q222" s="72" t="s">
        <v>1567</v>
      </c>
      <c r="R222" s="72" t="str">
        <f>VLOOKUP($Q222,[1]Tabelle1!$A$1:$B$3884,2,FALSE)</f>
        <v>w</v>
      </c>
    </row>
    <row r="223" spans="1:18" ht="18.75" customHeight="1" x14ac:dyDescent="0.2">
      <c r="A223" s="79"/>
      <c r="B223" s="79"/>
      <c r="C223" s="183"/>
      <c r="D223" s="66"/>
      <c r="E223" s="187" t="s">
        <v>34</v>
      </c>
      <c r="F223" s="187" t="s">
        <v>2310</v>
      </c>
      <c r="G223" s="187" t="s">
        <v>1228</v>
      </c>
      <c r="H223" s="73" t="s">
        <v>349</v>
      </c>
      <c r="I223" s="188">
        <v>22.19</v>
      </c>
      <c r="J223" s="87"/>
      <c r="K223" s="91"/>
      <c r="L223" s="66"/>
      <c r="M223" s="66"/>
      <c r="N223" s="66"/>
      <c r="O223" s="66"/>
      <c r="Q223" s="72" t="s">
        <v>353</v>
      </c>
      <c r="R223" s="72"/>
    </row>
    <row r="224" spans="1:18" ht="18.75" customHeight="1" x14ac:dyDescent="0.2">
      <c r="A224" s="79"/>
      <c r="B224" s="79"/>
      <c r="C224" s="183"/>
      <c r="D224" s="66"/>
      <c r="E224" s="66"/>
      <c r="F224" s="66"/>
      <c r="G224" s="66"/>
      <c r="H224" s="73"/>
      <c r="I224" s="87"/>
      <c r="J224" s="87"/>
      <c r="K224" s="91"/>
      <c r="L224" s="66"/>
      <c r="M224" s="66"/>
      <c r="N224" s="66"/>
      <c r="O224" s="66"/>
      <c r="Q224" s="72" t="s">
        <v>353</v>
      </c>
      <c r="R224" s="72"/>
    </row>
    <row r="225" spans="1:18" s="72" customFormat="1" ht="18.75" customHeight="1" x14ac:dyDescent="0.2">
      <c r="A225" s="70">
        <v>38151</v>
      </c>
      <c r="B225" s="70">
        <v>38165</v>
      </c>
      <c r="C225" s="182">
        <v>13100090</v>
      </c>
      <c r="D225" s="72" t="s">
        <v>2187</v>
      </c>
      <c r="E225" s="185" t="s">
        <v>19</v>
      </c>
      <c r="F225" s="185" t="s">
        <v>2311</v>
      </c>
      <c r="G225" s="185" t="s">
        <v>464</v>
      </c>
      <c r="H225" s="73" t="s">
        <v>349</v>
      </c>
      <c r="I225" s="186">
        <v>51.61</v>
      </c>
      <c r="J225" s="184"/>
      <c r="K225" s="76">
        <v>61.3</v>
      </c>
      <c r="L225" s="76"/>
      <c r="M225" s="70">
        <v>38384</v>
      </c>
      <c r="N225" s="89">
        <v>41305</v>
      </c>
      <c r="O225" s="73" t="s">
        <v>19</v>
      </c>
      <c r="P225" s="73" t="s">
        <v>2188</v>
      </c>
      <c r="Q225" s="72" t="s">
        <v>525</v>
      </c>
      <c r="R225" s="72" t="str">
        <f>VLOOKUP($Q225,[1]Tabelle1!$A$1:$B$3884,2,FALSE)</f>
        <v>m</v>
      </c>
    </row>
    <row r="226" spans="1:18" ht="18.75" customHeight="1" x14ac:dyDescent="0.2">
      <c r="A226" s="79"/>
      <c r="B226" s="79"/>
      <c r="C226" s="183"/>
      <c r="D226" s="66"/>
      <c r="E226" s="187" t="s">
        <v>21</v>
      </c>
      <c r="F226" s="187" t="s">
        <v>2312</v>
      </c>
      <c r="G226" s="187" t="s">
        <v>355</v>
      </c>
      <c r="H226" s="73" t="s">
        <v>349</v>
      </c>
      <c r="I226" s="188">
        <v>32.57</v>
      </c>
      <c r="J226" s="87"/>
      <c r="K226" s="91"/>
      <c r="L226" s="66"/>
      <c r="M226" s="66"/>
      <c r="N226" s="66"/>
      <c r="O226" s="66"/>
      <c r="Q226" s="72" t="s">
        <v>353</v>
      </c>
      <c r="R226" s="72"/>
    </row>
    <row r="227" spans="1:18" ht="18.75" customHeight="1" x14ac:dyDescent="0.2">
      <c r="A227" s="79"/>
      <c r="B227" s="79"/>
      <c r="C227" s="183"/>
      <c r="D227" s="66"/>
      <c r="E227" s="187" t="s">
        <v>261</v>
      </c>
      <c r="F227" s="187" t="s">
        <v>261</v>
      </c>
      <c r="G227" s="187" t="s">
        <v>998</v>
      </c>
      <c r="H227" s="73" t="s">
        <v>349</v>
      </c>
      <c r="I227" s="188">
        <v>15.82</v>
      </c>
      <c r="J227" s="87"/>
      <c r="K227" s="91"/>
      <c r="L227" s="66"/>
      <c r="M227" s="66"/>
      <c r="N227" s="66"/>
      <c r="O227" s="66"/>
      <c r="Q227" s="72" t="s">
        <v>353</v>
      </c>
      <c r="R227" s="72"/>
    </row>
    <row r="228" spans="1:18" ht="18.75" customHeight="1" x14ac:dyDescent="0.2">
      <c r="A228" s="79"/>
      <c r="B228" s="79"/>
      <c r="C228" s="183"/>
      <c r="D228" s="66"/>
      <c r="E228" s="66"/>
      <c r="F228" s="66"/>
      <c r="G228" s="66"/>
      <c r="H228" s="73"/>
      <c r="I228" s="87"/>
      <c r="J228" s="87"/>
      <c r="K228" s="91"/>
      <c r="L228" s="66"/>
      <c r="M228" s="66"/>
      <c r="N228" s="66"/>
      <c r="O228" s="66"/>
      <c r="Q228" s="72" t="s">
        <v>353</v>
      </c>
      <c r="R228" s="72"/>
    </row>
    <row r="229" spans="1:18" s="72" customFormat="1" ht="18.75" customHeight="1" x14ac:dyDescent="0.2">
      <c r="A229" s="70">
        <v>38151</v>
      </c>
      <c r="B229" s="70">
        <v>38165</v>
      </c>
      <c r="C229" s="182">
        <v>23200018</v>
      </c>
      <c r="D229" s="72" t="s">
        <v>2191</v>
      </c>
      <c r="E229" s="185" t="s">
        <v>2313</v>
      </c>
      <c r="F229" s="185" t="s">
        <v>2314</v>
      </c>
      <c r="G229" s="185" t="s">
        <v>1005</v>
      </c>
      <c r="H229" s="73" t="s">
        <v>349</v>
      </c>
      <c r="I229" s="186">
        <v>81.95</v>
      </c>
      <c r="J229" s="184"/>
      <c r="K229" s="76">
        <v>56.3</v>
      </c>
      <c r="L229" s="76"/>
      <c r="M229" s="70">
        <v>38384</v>
      </c>
      <c r="N229" s="89">
        <v>40162</v>
      </c>
      <c r="O229" s="73" t="s">
        <v>2192</v>
      </c>
      <c r="P229" s="73" t="s">
        <v>239</v>
      </c>
      <c r="Q229" s="72" t="s">
        <v>1005</v>
      </c>
      <c r="R229" s="72" t="str">
        <f>VLOOKUP($Q229,[1]Tabelle1!$A$1:$B$3884,2,FALSE)</f>
        <v>m</v>
      </c>
    </row>
    <row r="230" spans="1:18" ht="18.75" customHeight="1" x14ac:dyDescent="0.2">
      <c r="A230" s="79"/>
      <c r="B230" s="79"/>
      <c r="C230" s="183"/>
      <c r="D230" s="66"/>
      <c r="E230" s="187" t="s">
        <v>19</v>
      </c>
      <c r="F230" s="187" t="s">
        <v>2315</v>
      </c>
      <c r="G230" s="187" t="s">
        <v>1699</v>
      </c>
      <c r="H230" s="73" t="s">
        <v>419</v>
      </c>
      <c r="I230" s="188">
        <v>16.98</v>
      </c>
      <c r="J230" s="87"/>
      <c r="K230" s="91"/>
      <c r="L230" s="66"/>
      <c r="M230" s="66"/>
      <c r="N230" s="66"/>
      <c r="O230" s="66"/>
      <c r="Q230" s="72" t="s">
        <v>353</v>
      </c>
      <c r="R230" s="72"/>
    </row>
    <row r="231" spans="1:18" ht="18.75" customHeight="1" x14ac:dyDescent="0.2">
      <c r="A231" s="79"/>
      <c r="B231" s="79"/>
      <c r="C231" s="183"/>
      <c r="D231" s="66"/>
      <c r="E231" s="187" t="s">
        <v>2316</v>
      </c>
      <c r="F231" s="187" t="s">
        <v>2316</v>
      </c>
      <c r="G231" s="187" t="s">
        <v>2317</v>
      </c>
      <c r="H231" s="73" t="s">
        <v>349</v>
      </c>
      <c r="I231" s="188">
        <v>1.07</v>
      </c>
      <c r="J231" s="87"/>
      <c r="K231" s="91"/>
      <c r="L231" s="66"/>
      <c r="M231" s="66"/>
      <c r="N231" s="66"/>
      <c r="O231" s="66"/>
      <c r="Q231" s="72" t="s">
        <v>353</v>
      </c>
      <c r="R231" s="72"/>
    </row>
    <row r="232" spans="1:18" ht="18.75" customHeight="1" x14ac:dyDescent="0.2">
      <c r="A232" s="79"/>
      <c r="B232" s="79"/>
      <c r="C232" s="183"/>
      <c r="D232" s="66"/>
      <c r="E232" s="66"/>
      <c r="F232" s="66"/>
      <c r="G232" s="66"/>
      <c r="H232" s="73"/>
      <c r="I232" s="87"/>
      <c r="J232" s="87"/>
      <c r="K232" s="91"/>
      <c r="L232" s="66"/>
      <c r="M232" s="66"/>
      <c r="N232" s="66"/>
      <c r="O232" s="66"/>
      <c r="Q232" s="72" t="s">
        <v>353</v>
      </c>
      <c r="R232" s="72"/>
    </row>
    <row r="233" spans="1:18" s="72" customFormat="1" ht="18.75" customHeight="1" x14ac:dyDescent="0.2">
      <c r="A233" s="70">
        <v>38452</v>
      </c>
      <c r="B233" s="70">
        <v>38466</v>
      </c>
      <c r="C233" s="182">
        <v>14000501</v>
      </c>
      <c r="D233" s="72" t="s">
        <v>2194</v>
      </c>
      <c r="E233" s="185" t="s">
        <v>21</v>
      </c>
      <c r="F233" s="185" t="s">
        <v>2195</v>
      </c>
      <c r="G233" s="185" t="s">
        <v>550</v>
      </c>
      <c r="H233" s="73" t="s">
        <v>349</v>
      </c>
      <c r="I233" s="186">
        <v>57.17</v>
      </c>
      <c r="J233" s="184"/>
      <c r="K233" s="76">
        <v>55.6</v>
      </c>
      <c r="L233" s="76"/>
      <c r="M233" s="70">
        <v>38565</v>
      </c>
      <c r="N233" s="89">
        <v>41486</v>
      </c>
      <c r="O233" s="73" t="s">
        <v>21</v>
      </c>
      <c r="P233" s="73" t="s">
        <v>2195</v>
      </c>
      <c r="Q233" s="72" t="s">
        <v>550</v>
      </c>
      <c r="R233" s="72" t="str">
        <f>VLOOKUP($Q233,[1]Tabelle1!$A$1:$B$3884,2,FALSE)</f>
        <v>m</v>
      </c>
    </row>
    <row r="234" spans="1:18" ht="18.75" customHeight="1" x14ac:dyDescent="0.2">
      <c r="A234" s="79"/>
      <c r="B234" s="79"/>
      <c r="C234" s="183"/>
      <c r="D234" s="66"/>
      <c r="E234" s="187" t="s">
        <v>19</v>
      </c>
      <c r="F234" s="187" t="s">
        <v>1174</v>
      </c>
      <c r="G234" s="187" t="s">
        <v>383</v>
      </c>
      <c r="H234" s="73" t="s">
        <v>349</v>
      </c>
      <c r="I234" s="188">
        <v>42.83</v>
      </c>
      <c r="J234" s="87"/>
      <c r="K234" s="91"/>
      <c r="L234" s="66"/>
      <c r="M234" s="66"/>
      <c r="N234" s="66"/>
      <c r="O234" s="66"/>
      <c r="Q234" s="72" t="s">
        <v>353</v>
      </c>
      <c r="R234" s="72"/>
    </row>
    <row r="235" spans="1:18" ht="18.75" customHeight="1" x14ac:dyDescent="0.2">
      <c r="A235" s="79"/>
      <c r="B235" s="79"/>
      <c r="C235" s="183"/>
      <c r="D235" s="66"/>
      <c r="E235" s="66"/>
      <c r="F235" s="66"/>
      <c r="G235" s="66"/>
      <c r="H235" s="73"/>
      <c r="I235" s="87"/>
      <c r="J235" s="87"/>
      <c r="K235" s="91"/>
      <c r="L235" s="66"/>
      <c r="M235" s="66"/>
      <c r="N235" s="66"/>
      <c r="O235" s="66"/>
      <c r="Q235" s="72" t="s">
        <v>353</v>
      </c>
      <c r="R235" s="72"/>
    </row>
    <row r="236" spans="1:18" s="72" customFormat="1" ht="18.75" customHeight="1" x14ac:dyDescent="0.2">
      <c r="A236" s="70">
        <v>38452</v>
      </c>
      <c r="B236" s="70">
        <v>38466</v>
      </c>
      <c r="C236" s="182">
        <v>23100502</v>
      </c>
      <c r="D236" s="72" t="s">
        <v>2199</v>
      </c>
      <c r="E236" s="185" t="s">
        <v>2200</v>
      </c>
      <c r="F236" s="185" t="s">
        <v>2200</v>
      </c>
      <c r="G236" s="185" t="s">
        <v>2201</v>
      </c>
      <c r="H236" s="73" t="s">
        <v>349</v>
      </c>
      <c r="I236" s="186">
        <v>88.56</v>
      </c>
      <c r="J236" s="184"/>
      <c r="K236" s="76">
        <v>34.200000000000003</v>
      </c>
      <c r="L236" s="76"/>
      <c r="M236" s="70">
        <v>38687</v>
      </c>
      <c r="N236" s="89">
        <v>40786</v>
      </c>
      <c r="O236" s="73" t="s">
        <v>2200</v>
      </c>
      <c r="P236" s="73" t="s">
        <v>2200</v>
      </c>
      <c r="Q236" s="72" t="s">
        <v>2201</v>
      </c>
      <c r="R236" s="72" t="str">
        <f>VLOOKUP($Q236,[1]Tabelle1!$A$1:$B$3884,2,FALSE)</f>
        <v>m</v>
      </c>
    </row>
    <row r="237" spans="1:18" ht="18.75" customHeight="1" x14ac:dyDescent="0.2">
      <c r="A237" s="79"/>
      <c r="B237" s="79"/>
      <c r="C237" s="183"/>
      <c r="D237" s="66"/>
      <c r="E237" s="66"/>
      <c r="F237" s="66"/>
      <c r="G237" s="66"/>
      <c r="H237" s="73"/>
      <c r="I237" s="87"/>
      <c r="J237" s="87"/>
      <c r="K237" s="91"/>
      <c r="L237" s="66"/>
      <c r="M237" s="66"/>
      <c r="N237" s="66"/>
      <c r="O237" s="66"/>
      <c r="Q237" s="72" t="s">
        <v>353</v>
      </c>
      <c r="R237" s="72"/>
    </row>
    <row r="238" spans="1:18" s="72" customFormat="1" ht="18.75" customHeight="1" x14ac:dyDescent="0.2">
      <c r="A238" s="70">
        <v>38480</v>
      </c>
      <c r="B238" s="70">
        <v>38494</v>
      </c>
      <c r="C238" s="182">
        <v>14100075</v>
      </c>
      <c r="D238" s="72" t="s">
        <v>2210</v>
      </c>
      <c r="E238" s="185" t="s">
        <v>19</v>
      </c>
      <c r="F238" s="185" t="s">
        <v>497</v>
      </c>
      <c r="G238" s="185" t="s">
        <v>389</v>
      </c>
      <c r="H238" s="73" t="s">
        <v>349</v>
      </c>
      <c r="I238" s="186">
        <v>73.69</v>
      </c>
      <c r="J238" s="184"/>
      <c r="K238" s="76">
        <v>44.3</v>
      </c>
      <c r="L238" s="76"/>
      <c r="M238" s="70">
        <v>38733</v>
      </c>
      <c r="N238" s="89">
        <v>41654</v>
      </c>
      <c r="O238" s="73" t="s">
        <v>19</v>
      </c>
      <c r="P238" s="73" t="s">
        <v>497</v>
      </c>
      <c r="Q238" s="72" t="s">
        <v>389</v>
      </c>
      <c r="R238" s="72" t="str">
        <f>VLOOKUP($Q238,[1]Tabelle1!$A$1:$B$3884,2,FALSE)</f>
        <v>m</v>
      </c>
    </row>
    <row r="239" spans="1:18" ht="18.75" customHeight="1" x14ac:dyDescent="0.2">
      <c r="A239" s="79"/>
      <c r="B239" s="79"/>
      <c r="C239" s="183"/>
      <c r="D239" s="66"/>
      <c r="E239" s="187" t="s">
        <v>21</v>
      </c>
      <c r="F239" s="187" t="s">
        <v>2318</v>
      </c>
      <c r="G239" s="187" t="s">
        <v>1600</v>
      </c>
      <c r="H239" s="73" t="s">
        <v>419</v>
      </c>
      <c r="I239" s="188">
        <v>26.31</v>
      </c>
      <c r="J239" s="87"/>
      <c r="K239" s="91"/>
      <c r="L239" s="66"/>
      <c r="M239" s="66"/>
      <c r="N239" s="66"/>
      <c r="O239" s="66"/>
      <c r="Q239" s="72" t="s">
        <v>353</v>
      </c>
      <c r="R239" s="72"/>
    </row>
    <row r="240" spans="1:18" ht="18.75" customHeight="1" x14ac:dyDescent="0.2">
      <c r="A240" s="79"/>
      <c r="B240" s="79"/>
      <c r="C240" s="183"/>
      <c r="D240" s="66"/>
      <c r="E240" s="66"/>
      <c r="F240" s="66"/>
      <c r="G240" s="66"/>
      <c r="H240" s="73"/>
      <c r="I240" s="87"/>
      <c r="J240" s="87"/>
      <c r="K240" s="91"/>
      <c r="L240" s="66"/>
      <c r="M240" s="66"/>
      <c r="N240" s="66"/>
      <c r="O240" s="66"/>
      <c r="Q240" s="72" t="s">
        <v>353</v>
      </c>
      <c r="R240" s="72"/>
    </row>
    <row r="241" spans="1:18" s="72" customFormat="1" ht="18.75" customHeight="1" x14ac:dyDescent="0.2">
      <c r="A241" s="70">
        <v>38522</v>
      </c>
      <c r="B241" s="70">
        <v>38543</v>
      </c>
      <c r="C241" s="182">
        <v>33800004</v>
      </c>
      <c r="D241" s="72" t="s">
        <v>2205</v>
      </c>
      <c r="E241" s="185" t="s">
        <v>19</v>
      </c>
      <c r="F241" s="185" t="s">
        <v>1774</v>
      </c>
      <c r="G241" s="185" t="s">
        <v>360</v>
      </c>
      <c r="H241" s="73" t="s">
        <v>349</v>
      </c>
      <c r="I241" s="186">
        <v>81.03</v>
      </c>
      <c r="J241" s="184"/>
      <c r="K241" s="76">
        <v>61.5</v>
      </c>
      <c r="L241" s="76"/>
      <c r="M241" s="70">
        <v>38718</v>
      </c>
      <c r="N241" s="89">
        <v>41639</v>
      </c>
      <c r="O241" s="73" t="s">
        <v>19</v>
      </c>
      <c r="P241" s="73" t="s">
        <v>1774</v>
      </c>
      <c r="Q241" s="72" t="s">
        <v>360</v>
      </c>
      <c r="R241" s="72" t="str">
        <f>VLOOKUP($Q241,[1]Tabelle1!$A$1:$B$3884,2,FALSE)</f>
        <v>m</v>
      </c>
    </row>
    <row r="242" spans="1:18" ht="18.75" customHeight="1" x14ac:dyDescent="0.2">
      <c r="A242" s="79"/>
      <c r="B242" s="79"/>
      <c r="C242" s="183"/>
      <c r="D242" s="66"/>
      <c r="E242" s="187" t="s">
        <v>2319</v>
      </c>
      <c r="F242" s="187" t="s">
        <v>2320</v>
      </c>
      <c r="G242" s="187" t="s">
        <v>392</v>
      </c>
      <c r="H242" s="73" t="s">
        <v>349</v>
      </c>
      <c r="I242" s="188">
        <v>18.97</v>
      </c>
      <c r="J242" s="87"/>
      <c r="K242" s="91"/>
      <c r="L242" s="66"/>
      <c r="M242" s="66"/>
      <c r="N242" s="66"/>
      <c r="O242" s="66"/>
      <c r="Q242" s="72" t="s">
        <v>353</v>
      </c>
      <c r="R242" s="72"/>
    </row>
    <row r="243" spans="1:18" ht="18.75" customHeight="1" x14ac:dyDescent="0.2">
      <c r="A243" s="79"/>
      <c r="B243" s="79"/>
      <c r="C243" s="183"/>
      <c r="D243" s="66"/>
      <c r="E243" s="66"/>
      <c r="F243" s="66"/>
      <c r="G243" s="66"/>
      <c r="H243" s="73"/>
      <c r="I243" s="87"/>
      <c r="J243" s="87"/>
      <c r="K243" s="91"/>
      <c r="L243" s="66"/>
      <c r="M243" s="66"/>
      <c r="N243" s="66"/>
      <c r="O243" s="66"/>
      <c r="Q243" s="72" t="s">
        <v>353</v>
      </c>
      <c r="R243" s="72"/>
    </row>
    <row r="244" spans="1:18" s="72" customFormat="1" ht="18.75" customHeight="1" x14ac:dyDescent="0.2">
      <c r="A244" s="70">
        <v>38690</v>
      </c>
      <c r="B244" s="70">
        <v>38704</v>
      </c>
      <c r="C244" s="182">
        <v>33900009</v>
      </c>
      <c r="D244" s="72" t="s">
        <v>2212</v>
      </c>
      <c r="E244" s="185" t="s">
        <v>19</v>
      </c>
      <c r="F244" s="185" t="s">
        <v>533</v>
      </c>
      <c r="G244" s="185" t="s">
        <v>570</v>
      </c>
      <c r="H244" s="73" t="s">
        <v>349</v>
      </c>
      <c r="I244" s="186">
        <v>76.81</v>
      </c>
      <c r="J244" s="184"/>
      <c r="K244" s="76">
        <v>50.8</v>
      </c>
      <c r="L244" s="76"/>
      <c r="M244" s="70">
        <v>38961</v>
      </c>
      <c r="N244" s="89">
        <v>41882</v>
      </c>
      <c r="O244" s="185" t="s">
        <v>19</v>
      </c>
      <c r="P244" s="185" t="s">
        <v>533</v>
      </c>
      <c r="Q244" s="72" t="s">
        <v>570</v>
      </c>
      <c r="R244" s="72" t="str">
        <f>VLOOKUP($Q244,[1]Tabelle1!$A$1:$B$3884,2,FALSE)</f>
        <v>m</v>
      </c>
    </row>
    <row r="245" spans="1:18" ht="18.75" customHeight="1" x14ac:dyDescent="0.2">
      <c r="A245" s="79"/>
      <c r="B245" s="79"/>
      <c r="C245" s="183"/>
      <c r="D245" s="66"/>
      <c r="E245" s="187" t="s">
        <v>1397</v>
      </c>
      <c r="F245" s="187" t="s">
        <v>2321</v>
      </c>
      <c r="G245" s="187" t="s">
        <v>2322</v>
      </c>
      <c r="H245" s="73" t="s">
        <v>419</v>
      </c>
      <c r="I245" s="188">
        <v>23.19</v>
      </c>
      <c r="J245" s="87"/>
      <c r="K245" s="91"/>
      <c r="L245" s="66"/>
      <c r="M245" s="66"/>
      <c r="N245" s="66"/>
      <c r="O245" s="66"/>
      <c r="Q245" s="72" t="s">
        <v>353</v>
      </c>
      <c r="R245" s="72"/>
    </row>
    <row r="246" spans="1:18" ht="18.75" customHeight="1" x14ac:dyDescent="0.2">
      <c r="A246" s="79"/>
      <c r="B246" s="79"/>
      <c r="C246" s="183"/>
      <c r="D246" s="66"/>
      <c r="E246" s="66"/>
      <c r="F246" s="66"/>
      <c r="G246" s="66"/>
      <c r="H246" s="73"/>
      <c r="I246" s="87"/>
      <c r="J246" s="87"/>
      <c r="K246" s="91"/>
      <c r="L246" s="66"/>
      <c r="M246" s="66"/>
      <c r="N246" s="66"/>
      <c r="O246" s="66"/>
      <c r="Q246" s="72" t="s">
        <v>353</v>
      </c>
      <c r="R246" s="72"/>
    </row>
    <row r="247" spans="1:18" s="72" customFormat="1" ht="18.75" customHeight="1" x14ac:dyDescent="0.2">
      <c r="A247" s="70">
        <v>38802</v>
      </c>
      <c r="B247" s="70">
        <v>38816</v>
      </c>
      <c r="C247" s="182">
        <v>33100003</v>
      </c>
      <c r="D247" s="72" t="s">
        <v>2238</v>
      </c>
      <c r="E247" s="185" t="s">
        <v>19</v>
      </c>
      <c r="F247" s="185" t="s">
        <v>848</v>
      </c>
      <c r="G247" s="185" t="s">
        <v>899</v>
      </c>
      <c r="H247" s="73" t="s">
        <v>349</v>
      </c>
      <c r="I247" s="186">
        <v>47.81</v>
      </c>
      <c r="J247" s="186">
        <v>70.72</v>
      </c>
      <c r="K247" s="76">
        <v>58.32</v>
      </c>
      <c r="L247" s="76">
        <v>51.9</v>
      </c>
      <c r="M247" s="70">
        <v>38961</v>
      </c>
      <c r="N247" s="89">
        <v>41882</v>
      </c>
      <c r="O247" s="185" t="s">
        <v>21</v>
      </c>
      <c r="P247" s="185" t="s">
        <v>2239</v>
      </c>
      <c r="Q247" s="72" t="s">
        <v>2143</v>
      </c>
      <c r="R247" s="72" t="str">
        <f>VLOOKUP($Q247,[1]Tabelle1!$A$1:$B$3884,2,FALSE)</f>
        <v>m</v>
      </c>
    </row>
    <row r="248" spans="1:18" ht="18.75" customHeight="1" x14ac:dyDescent="0.2">
      <c r="A248" s="79"/>
      <c r="B248" s="79"/>
      <c r="C248" s="183"/>
      <c r="D248" s="66"/>
      <c r="E248" s="187" t="s">
        <v>21</v>
      </c>
      <c r="F248" s="187" t="s">
        <v>2323</v>
      </c>
      <c r="G248" s="187" t="s">
        <v>673</v>
      </c>
      <c r="H248" s="73" t="s">
        <v>419</v>
      </c>
      <c r="I248" s="188">
        <v>35.97</v>
      </c>
      <c r="J248" s="188">
        <v>29.28</v>
      </c>
      <c r="K248" s="91"/>
      <c r="L248" s="66"/>
      <c r="M248" s="66"/>
      <c r="N248" s="66"/>
      <c r="O248" s="66"/>
      <c r="Q248" s="72" t="s">
        <v>353</v>
      </c>
      <c r="R248" s="72"/>
    </row>
    <row r="249" spans="1:18" ht="18.75" customHeight="1" x14ac:dyDescent="0.2">
      <c r="A249" s="79"/>
      <c r="B249" s="79"/>
      <c r="C249" s="183"/>
      <c r="D249" s="66"/>
      <c r="E249" s="187" t="s">
        <v>55</v>
      </c>
      <c r="F249" s="187" t="s">
        <v>509</v>
      </c>
      <c r="G249" s="187" t="s">
        <v>998</v>
      </c>
      <c r="H249" s="73" t="s">
        <v>349</v>
      </c>
      <c r="I249" s="188">
        <v>8.09</v>
      </c>
      <c r="J249" s="87"/>
      <c r="K249" s="91"/>
      <c r="L249" s="66"/>
      <c r="M249" s="66"/>
      <c r="N249" s="66"/>
      <c r="O249" s="66"/>
      <c r="Q249" s="72" t="s">
        <v>353</v>
      </c>
      <c r="R249" s="72"/>
    </row>
    <row r="250" spans="1:18" ht="18.75" customHeight="1" x14ac:dyDescent="0.2">
      <c r="A250" s="79"/>
      <c r="B250" s="79"/>
      <c r="C250" s="183"/>
      <c r="D250" s="66"/>
      <c r="E250" s="187" t="s">
        <v>34</v>
      </c>
      <c r="F250" s="187" t="s">
        <v>1427</v>
      </c>
      <c r="G250" s="187" t="s">
        <v>2324</v>
      </c>
      <c r="H250" s="73" t="s">
        <v>349</v>
      </c>
      <c r="I250" s="188">
        <v>4.88</v>
      </c>
      <c r="J250" s="87"/>
      <c r="K250" s="91"/>
      <c r="L250" s="66"/>
      <c r="M250" s="66"/>
      <c r="N250" s="66"/>
      <c r="O250" s="66"/>
      <c r="Q250" s="72" t="s">
        <v>353</v>
      </c>
      <c r="R250" s="72"/>
    </row>
    <row r="251" spans="1:18" ht="18.75" customHeight="1" x14ac:dyDescent="0.2">
      <c r="A251" s="79"/>
      <c r="B251" s="79"/>
      <c r="C251" s="183"/>
      <c r="D251" s="66"/>
      <c r="E251" s="187" t="s">
        <v>38</v>
      </c>
      <c r="F251" s="187" t="s">
        <v>2325</v>
      </c>
      <c r="G251" s="187" t="s">
        <v>611</v>
      </c>
      <c r="H251" s="73" t="s">
        <v>349</v>
      </c>
      <c r="I251" s="188">
        <v>3.25</v>
      </c>
      <c r="J251" s="87"/>
      <c r="K251" s="91"/>
      <c r="L251" s="66"/>
      <c r="M251" s="66"/>
      <c r="N251" s="66"/>
      <c r="O251" s="66"/>
      <c r="Q251" s="72" t="s">
        <v>353</v>
      </c>
      <c r="R251" s="72"/>
    </row>
    <row r="252" spans="1:18" ht="18.75" customHeight="1" x14ac:dyDescent="0.2">
      <c r="A252" s="79"/>
      <c r="B252" s="79"/>
      <c r="C252" s="183"/>
      <c r="D252" s="66"/>
      <c r="E252" s="66"/>
      <c r="F252" s="66"/>
      <c r="G252" s="66"/>
      <c r="H252" s="73"/>
      <c r="I252" s="87"/>
      <c r="J252" s="87"/>
      <c r="K252" s="91"/>
      <c r="L252" s="66"/>
      <c r="M252" s="66"/>
      <c r="N252" s="66"/>
      <c r="O252" s="66"/>
      <c r="Q252" s="72" t="s">
        <v>353</v>
      </c>
      <c r="R252" s="72"/>
    </row>
    <row r="253" spans="1:18" s="72" customFormat="1" ht="18.75" customHeight="1" x14ac:dyDescent="0.2">
      <c r="A253" s="70">
        <v>38970</v>
      </c>
      <c r="B253" s="70">
        <v>38984</v>
      </c>
      <c r="C253" s="182">
        <v>13700203</v>
      </c>
      <c r="D253" s="72" t="s">
        <v>2154</v>
      </c>
      <c r="E253" s="185" t="s">
        <v>19</v>
      </c>
      <c r="F253" s="195" t="s">
        <v>2326</v>
      </c>
      <c r="G253" s="195" t="s">
        <v>383</v>
      </c>
      <c r="H253" s="73" t="s">
        <v>349</v>
      </c>
      <c r="I253" s="186">
        <v>53.39</v>
      </c>
      <c r="J253" s="184"/>
      <c r="K253" s="76">
        <v>47.8</v>
      </c>
      <c r="L253" s="76"/>
      <c r="M253" s="70">
        <v>39083</v>
      </c>
      <c r="N253" s="89">
        <v>42004</v>
      </c>
      <c r="O253" s="185" t="s">
        <v>19</v>
      </c>
      <c r="P253" s="185" t="s">
        <v>2155</v>
      </c>
      <c r="Q253" s="72" t="s">
        <v>2289</v>
      </c>
      <c r="R253" s="72" t="s">
        <v>349</v>
      </c>
    </row>
    <row r="254" spans="1:18" ht="18.75" customHeight="1" x14ac:dyDescent="0.2">
      <c r="A254" s="79"/>
      <c r="B254" s="79"/>
      <c r="C254" s="183"/>
      <c r="D254" s="66"/>
      <c r="E254" s="66"/>
      <c r="F254" s="66"/>
      <c r="G254" s="66"/>
      <c r="H254" s="73"/>
      <c r="I254" s="87"/>
      <c r="J254" s="87"/>
      <c r="K254" s="91"/>
      <c r="L254" s="66"/>
      <c r="M254" s="66"/>
      <c r="N254" s="66"/>
      <c r="O254" s="66"/>
      <c r="Q254" s="72" t="s">
        <v>353</v>
      </c>
      <c r="R254" s="72"/>
    </row>
    <row r="255" spans="1:18" s="72" customFormat="1" ht="18.75" customHeight="1" x14ac:dyDescent="0.2">
      <c r="A255" s="70">
        <v>38970</v>
      </c>
      <c r="B255" s="70">
        <v>38984</v>
      </c>
      <c r="C255" s="182">
        <v>33800005</v>
      </c>
      <c r="D255" s="72" t="s">
        <v>2223</v>
      </c>
      <c r="E255" s="185" t="s">
        <v>19</v>
      </c>
      <c r="F255" s="185" t="s">
        <v>1203</v>
      </c>
      <c r="G255" s="185" t="s">
        <v>389</v>
      </c>
      <c r="H255" s="73" t="s">
        <v>349</v>
      </c>
      <c r="I255" s="186">
        <v>44.94</v>
      </c>
      <c r="J255" s="186">
        <v>56.01</v>
      </c>
      <c r="K255" s="76">
        <v>58</v>
      </c>
      <c r="L255" s="76">
        <v>52.47</v>
      </c>
      <c r="M255" s="70">
        <v>39142</v>
      </c>
      <c r="N255" s="89">
        <v>42063</v>
      </c>
      <c r="O255" s="185" t="s">
        <v>21</v>
      </c>
      <c r="P255" s="185" t="s">
        <v>1096</v>
      </c>
      <c r="Q255" s="72" t="s">
        <v>433</v>
      </c>
      <c r="R255" s="72" t="str">
        <f>VLOOKUP($Q255,[1]Tabelle1!$A$1:$B$3884,2,FALSE)</f>
        <v>m</v>
      </c>
    </row>
    <row r="256" spans="1:18" ht="18.75" customHeight="1" x14ac:dyDescent="0.2">
      <c r="A256" s="79"/>
      <c r="B256" s="79"/>
      <c r="C256" s="183"/>
      <c r="D256" s="66"/>
      <c r="E256" s="187" t="s">
        <v>21</v>
      </c>
      <c r="F256" s="187" t="s">
        <v>2327</v>
      </c>
      <c r="G256" s="187" t="s">
        <v>1068</v>
      </c>
      <c r="H256" s="73" t="s">
        <v>349</v>
      </c>
      <c r="I256" s="188">
        <v>33.56</v>
      </c>
      <c r="J256" s="188">
        <v>43.99</v>
      </c>
      <c r="K256" s="91"/>
      <c r="L256" s="66"/>
      <c r="M256" s="66"/>
      <c r="N256" s="66"/>
      <c r="O256" s="66"/>
      <c r="Q256" s="72" t="s">
        <v>353</v>
      </c>
      <c r="R256" s="72"/>
    </row>
    <row r="257" spans="1:18" ht="18.75" customHeight="1" x14ac:dyDescent="0.2">
      <c r="A257" s="79"/>
      <c r="B257" s="79"/>
      <c r="C257" s="183"/>
      <c r="D257" s="66"/>
      <c r="E257" s="187" t="s">
        <v>124</v>
      </c>
      <c r="F257" s="187" t="s">
        <v>872</v>
      </c>
      <c r="G257" s="187" t="s">
        <v>477</v>
      </c>
      <c r="H257" s="73" t="s">
        <v>349</v>
      </c>
      <c r="I257" s="188">
        <v>8.85</v>
      </c>
      <c r="J257" s="87"/>
      <c r="K257" s="91"/>
      <c r="L257" s="66"/>
      <c r="M257" s="66"/>
      <c r="N257" s="66"/>
      <c r="O257" s="66"/>
      <c r="Q257" s="72" t="s">
        <v>353</v>
      </c>
      <c r="R257" s="72"/>
    </row>
    <row r="258" spans="1:18" ht="18.75" customHeight="1" x14ac:dyDescent="0.2">
      <c r="A258" s="79"/>
      <c r="B258" s="79"/>
      <c r="C258" s="183"/>
      <c r="D258" s="66"/>
      <c r="E258" s="187" t="s">
        <v>55</v>
      </c>
      <c r="F258" s="187" t="s">
        <v>2164</v>
      </c>
      <c r="G258" s="187" t="s">
        <v>444</v>
      </c>
      <c r="H258" s="73" t="s">
        <v>349</v>
      </c>
      <c r="I258" s="188">
        <v>8.3699999999999992</v>
      </c>
      <c r="J258" s="87"/>
      <c r="K258" s="91"/>
      <c r="L258" s="66"/>
      <c r="M258" s="66"/>
      <c r="N258" s="66"/>
      <c r="O258" s="66"/>
      <c r="Q258" s="72" t="s">
        <v>353</v>
      </c>
      <c r="R258" s="72"/>
    </row>
    <row r="259" spans="1:18" ht="18.75" customHeight="1" x14ac:dyDescent="0.2">
      <c r="A259" s="79"/>
      <c r="B259" s="79"/>
      <c r="C259" s="183"/>
      <c r="D259" s="66"/>
      <c r="E259" s="187" t="s">
        <v>38</v>
      </c>
      <c r="F259" s="187" t="s">
        <v>2328</v>
      </c>
      <c r="G259" s="187" t="s">
        <v>392</v>
      </c>
      <c r="H259" s="73" t="s">
        <v>349</v>
      </c>
      <c r="I259" s="188">
        <v>4.28</v>
      </c>
      <c r="J259" s="87"/>
      <c r="K259" s="91"/>
      <c r="L259" s="66"/>
      <c r="M259" s="66"/>
      <c r="N259" s="66"/>
      <c r="O259" s="66"/>
      <c r="Q259" s="72" t="s">
        <v>353</v>
      </c>
      <c r="R259" s="72"/>
    </row>
    <row r="260" spans="1:18" ht="18.75" customHeight="1" x14ac:dyDescent="0.2">
      <c r="A260" s="79"/>
      <c r="B260" s="79"/>
      <c r="C260" s="183"/>
      <c r="D260" s="66"/>
      <c r="E260" s="66"/>
      <c r="F260" s="66"/>
      <c r="G260" s="66"/>
      <c r="H260" s="73"/>
      <c r="I260" s="87"/>
      <c r="J260" s="87"/>
      <c r="K260" s="91"/>
      <c r="L260" s="66"/>
      <c r="M260" s="66"/>
      <c r="N260" s="66"/>
      <c r="O260" s="66"/>
      <c r="Q260" s="72" t="s">
        <v>353</v>
      </c>
      <c r="R260" s="72"/>
    </row>
    <row r="261" spans="1:18" s="72" customFormat="1" ht="18.75" customHeight="1" x14ac:dyDescent="0.2">
      <c r="A261" s="70">
        <v>39026</v>
      </c>
      <c r="B261" s="70">
        <v>39040</v>
      </c>
      <c r="C261" s="182">
        <v>13400045</v>
      </c>
      <c r="D261" s="72" t="s">
        <v>2247</v>
      </c>
      <c r="E261" s="196" t="s">
        <v>21</v>
      </c>
      <c r="F261" s="196" t="s">
        <v>646</v>
      </c>
      <c r="G261" s="196" t="s">
        <v>854</v>
      </c>
      <c r="H261" s="73" t="s">
        <v>349</v>
      </c>
      <c r="I261" s="186">
        <v>50.87</v>
      </c>
      <c r="J261" s="184"/>
      <c r="K261" s="76">
        <v>37.590000000000003</v>
      </c>
      <c r="L261" s="76"/>
      <c r="M261" s="70">
        <v>39142</v>
      </c>
      <c r="N261" s="89">
        <v>42063</v>
      </c>
      <c r="O261" s="185" t="s">
        <v>19</v>
      </c>
      <c r="P261" s="185" t="s">
        <v>2248</v>
      </c>
      <c r="Q261" s="72" t="s">
        <v>2249</v>
      </c>
      <c r="R261" s="72" t="s">
        <v>349</v>
      </c>
    </row>
    <row r="262" spans="1:18" ht="18.75" customHeight="1" x14ac:dyDescent="0.2">
      <c r="A262" s="79"/>
      <c r="B262" s="79"/>
      <c r="C262" s="183"/>
      <c r="D262" s="66"/>
      <c r="E262" s="197" t="s">
        <v>19</v>
      </c>
      <c r="F262" s="197" t="s">
        <v>2329</v>
      </c>
      <c r="G262" s="197" t="s">
        <v>1987</v>
      </c>
      <c r="H262" s="73" t="s">
        <v>349</v>
      </c>
      <c r="I262" s="188">
        <v>42.43</v>
      </c>
      <c r="J262" s="87"/>
      <c r="K262" s="91"/>
      <c r="L262" s="66"/>
      <c r="M262" s="66"/>
      <c r="N262" s="66"/>
      <c r="O262" s="66"/>
      <c r="Q262" s="72" t="s">
        <v>353</v>
      </c>
      <c r="R262" s="72"/>
    </row>
    <row r="263" spans="1:18" ht="18.75" customHeight="1" x14ac:dyDescent="0.2">
      <c r="A263" s="79"/>
      <c r="B263" s="79"/>
      <c r="C263" s="183"/>
      <c r="D263" s="66"/>
      <c r="E263" s="197" t="s">
        <v>2330</v>
      </c>
      <c r="F263" s="197" t="s">
        <v>2330</v>
      </c>
      <c r="G263" s="197" t="s">
        <v>2331</v>
      </c>
      <c r="H263" s="73" t="s">
        <v>419</v>
      </c>
      <c r="I263" s="188">
        <v>6.7</v>
      </c>
      <c r="J263" s="87"/>
      <c r="K263" s="91"/>
      <c r="L263" s="66"/>
      <c r="M263" s="66"/>
      <c r="N263" s="66"/>
      <c r="O263" s="66"/>
      <c r="Q263" s="72" t="s">
        <v>353</v>
      </c>
      <c r="R263" s="72"/>
    </row>
    <row r="264" spans="1:18" ht="18.75" customHeight="1" x14ac:dyDescent="0.2">
      <c r="A264" s="79"/>
      <c r="B264" s="79"/>
      <c r="C264" s="183"/>
      <c r="D264" s="66"/>
      <c r="E264" s="66"/>
      <c r="F264" s="66"/>
      <c r="G264" s="66"/>
      <c r="H264" s="73"/>
      <c r="I264" s="87"/>
      <c r="J264" s="87"/>
      <c r="K264" s="91"/>
      <c r="L264" s="66"/>
      <c r="M264" s="66"/>
      <c r="N264" s="66"/>
      <c r="O264" s="66"/>
      <c r="Q264" s="72" t="s">
        <v>353</v>
      </c>
      <c r="R264" s="72"/>
    </row>
    <row r="265" spans="1:18" s="72" customFormat="1" ht="18.75" customHeight="1" x14ac:dyDescent="0.2">
      <c r="A265" s="70">
        <v>39145</v>
      </c>
      <c r="B265" s="70">
        <v>39159</v>
      </c>
      <c r="C265" s="182">
        <v>33800019</v>
      </c>
      <c r="D265" s="72" t="s">
        <v>2264</v>
      </c>
      <c r="E265" s="72" t="s">
        <v>21</v>
      </c>
      <c r="F265" s="72" t="s">
        <v>347</v>
      </c>
      <c r="G265" s="72" t="s">
        <v>741</v>
      </c>
      <c r="H265" s="73" t="s">
        <v>349</v>
      </c>
      <c r="I265" s="107">
        <v>69.69</v>
      </c>
      <c r="J265" s="184"/>
      <c r="K265" s="76">
        <v>58.68</v>
      </c>
      <c r="L265" s="76"/>
      <c r="M265" s="70">
        <v>39264</v>
      </c>
      <c r="N265" s="89">
        <v>42185</v>
      </c>
      <c r="O265" s="185" t="s">
        <v>2265</v>
      </c>
      <c r="P265" s="185" t="s">
        <v>2265</v>
      </c>
      <c r="Q265" s="72" t="s">
        <v>485</v>
      </c>
      <c r="R265" s="72" t="str">
        <f>VLOOKUP($Q265,[1]Tabelle1!$A$1:$B$3884,2,FALSE)</f>
        <v>m</v>
      </c>
    </row>
    <row r="266" spans="1:18" ht="18.75" customHeight="1" x14ac:dyDescent="0.2">
      <c r="A266" s="79"/>
      <c r="B266" s="79"/>
      <c r="C266" s="183"/>
      <c r="D266" s="66"/>
      <c r="E266" s="66" t="s">
        <v>2332</v>
      </c>
      <c r="F266" s="66" t="s">
        <v>2332</v>
      </c>
      <c r="G266" s="66" t="s">
        <v>695</v>
      </c>
      <c r="H266" s="73" t="s">
        <v>349</v>
      </c>
      <c r="I266" s="115">
        <v>10.58</v>
      </c>
      <c r="J266" s="87"/>
      <c r="K266" s="91"/>
      <c r="L266" s="66"/>
      <c r="M266" s="66"/>
      <c r="N266" s="66"/>
      <c r="O266" s="66"/>
      <c r="Q266" s="72" t="s">
        <v>353</v>
      </c>
      <c r="R266" s="72"/>
    </row>
    <row r="267" spans="1:18" ht="18.75" customHeight="1" x14ac:dyDescent="0.2">
      <c r="A267" s="79"/>
      <c r="B267" s="79"/>
      <c r="C267" s="183"/>
      <c r="D267" s="66"/>
      <c r="E267" s="66" t="s">
        <v>2333</v>
      </c>
      <c r="F267" s="66" t="s">
        <v>533</v>
      </c>
      <c r="G267" s="66" t="s">
        <v>1989</v>
      </c>
      <c r="H267" s="73" t="s">
        <v>349</v>
      </c>
      <c r="I267" s="115">
        <v>19.72</v>
      </c>
      <c r="J267" s="87"/>
      <c r="K267" s="91"/>
      <c r="L267" s="66"/>
      <c r="M267" s="66"/>
      <c r="N267" s="66"/>
      <c r="O267" s="66"/>
      <c r="Q267" s="72" t="s">
        <v>353</v>
      </c>
      <c r="R267" s="72"/>
    </row>
    <row r="268" spans="1:18" ht="18.75" customHeight="1" x14ac:dyDescent="0.2">
      <c r="A268" s="79"/>
      <c r="B268" s="79"/>
      <c r="C268" s="183"/>
      <c r="D268" s="66"/>
      <c r="E268" s="66"/>
      <c r="F268" s="66"/>
      <c r="G268" s="66"/>
      <c r="H268" s="73"/>
      <c r="I268" s="87"/>
      <c r="J268" s="87"/>
      <c r="K268" s="91"/>
      <c r="L268" s="66"/>
      <c r="M268" s="66"/>
      <c r="N268" s="66"/>
      <c r="O268" s="66"/>
      <c r="Q268" s="72" t="s">
        <v>353</v>
      </c>
      <c r="R268" s="72"/>
    </row>
    <row r="269" spans="1:18" s="72" customFormat="1" ht="18.75" customHeight="1" x14ac:dyDescent="0.2">
      <c r="A269" s="70">
        <v>39152</v>
      </c>
      <c r="B269" s="70">
        <v>39166</v>
      </c>
      <c r="C269" s="182">
        <v>33800023</v>
      </c>
      <c r="D269" s="72" t="s">
        <v>2224</v>
      </c>
      <c r="E269" s="72" t="s">
        <v>19</v>
      </c>
      <c r="F269" s="72" t="s">
        <v>1534</v>
      </c>
      <c r="G269" s="72" t="s">
        <v>360</v>
      </c>
      <c r="H269" s="73" t="s">
        <v>349</v>
      </c>
      <c r="I269" s="107">
        <v>86.02</v>
      </c>
      <c r="J269" s="184"/>
      <c r="K269" s="76">
        <v>52.18</v>
      </c>
      <c r="L269" s="76"/>
      <c r="M269" s="70">
        <v>39295</v>
      </c>
      <c r="N269" s="89">
        <v>42216</v>
      </c>
      <c r="O269" s="185" t="s">
        <v>19</v>
      </c>
      <c r="P269" s="185" t="s">
        <v>1534</v>
      </c>
      <c r="Q269" s="72" t="s">
        <v>360</v>
      </c>
      <c r="R269" s="72" t="str">
        <f>VLOOKUP($Q269,[1]Tabelle1!$A$1:$B$3884,2,FALSE)</f>
        <v>m</v>
      </c>
    </row>
    <row r="270" spans="1:18" ht="18.75" customHeight="1" x14ac:dyDescent="0.2">
      <c r="A270" s="79"/>
      <c r="B270" s="79"/>
      <c r="C270" s="183"/>
      <c r="D270" s="66"/>
      <c r="E270" s="66" t="s">
        <v>21</v>
      </c>
      <c r="F270" s="66" t="s">
        <v>686</v>
      </c>
      <c r="G270" s="66" t="s">
        <v>695</v>
      </c>
      <c r="H270" s="73" t="s">
        <v>349</v>
      </c>
      <c r="I270" s="115">
        <v>13.98</v>
      </c>
      <c r="J270" s="87"/>
      <c r="K270" s="91"/>
      <c r="L270" s="66"/>
      <c r="M270" s="66"/>
      <c r="N270" s="66"/>
      <c r="O270" s="66"/>
      <c r="Q270" s="72" t="s">
        <v>353</v>
      </c>
      <c r="R270" s="72"/>
    </row>
    <row r="271" spans="1:18" ht="18.75" customHeight="1" x14ac:dyDescent="0.2">
      <c r="A271" s="79"/>
      <c r="B271" s="79"/>
      <c r="C271" s="183"/>
      <c r="D271" s="66"/>
      <c r="E271" s="66"/>
      <c r="F271" s="66"/>
      <c r="G271" s="66"/>
      <c r="H271" s="73"/>
      <c r="I271" s="87"/>
      <c r="J271" s="87"/>
      <c r="K271" s="91"/>
      <c r="L271" s="66"/>
      <c r="M271" s="66"/>
      <c r="N271" s="66"/>
      <c r="O271" s="66"/>
      <c r="Q271" s="72" t="s">
        <v>353</v>
      </c>
      <c r="R271" s="72"/>
    </row>
    <row r="272" spans="1:18" s="72" customFormat="1" ht="18.75" customHeight="1" x14ac:dyDescent="0.2">
      <c r="A272" s="70">
        <v>39208</v>
      </c>
      <c r="B272" s="70">
        <v>39222</v>
      </c>
      <c r="C272" s="182">
        <v>33200002</v>
      </c>
      <c r="D272" s="72" t="s">
        <v>2228</v>
      </c>
      <c r="E272" s="72" t="s">
        <v>19</v>
      </c>
      <c r="F272" s="72" t="s">
        <v>1333</v>
      </c>
      <c r="G272" s="72" t="s">
        <v>348</v>
      </c>
      <c r="H272" s="73" t="s">
        <v>349</v>
      </c>
      <c r="I272" s="107">
        <v>75.349999999999994</v>
      </c>
      <c r="J272" s="184"/>
      <c r="K272" s="76">
        <v>51.5</v>
      </c>
      <c r="L272" s="76"/>
      <c r="M272" s="70">
        <v>39448</v>
      </c>
      <c r="N272" s="89">
        <v>42369</v>
      </c>
      <c r="O272" s="185" t="s">
        <v>19</v>
      </c>
      <c r="P272" s="185" t="s">
        <v>1333</v>
      </c>
      <c r="Q272" s="72" t="s">
        <v>348</v>
      </c>
      <c r="R272" s="72" t="str">
        <f>VLOOKUP($Q272,[1]Tabelle1!$A$1:$B$3884,2,FALSE)</f>
        <v>m</v>
      </c>
    </row>
    <row r="273" spans="1:18" ht="18.75" customHeight="1" x14ac:dyDescent="0.2">
      <c r="A273" s="79"/>
      <c r="B273" s="79"/>
      <c r="C273" s="183"/>
      <c r="D273" s="66"/>
      <c r="E273" s="66" t="s">
        <v>2334</v>
      </c>
      <c r="F273" s="66" t="s">
        <v>2334</v>
      </c>
      <c r="G273" s="66" t="s">
        <v>1146</v>
      </c>
      <c r="H273" s="73" t="s">
        <v>349</v>
      </c>
      <c r="I273" s="115">
        <v>20.45</v>
      </c>
      <c r="J273" s="87"/>
      <c r="K273" s="91"/>
      <c r="L273" s="66"/>
      <c r="M273" s="66"/>
      <c r="N273" s="66"/>
      <c r="O273" s="66"/>
      <c r="Q273" s="72" t="s">
        <v>353</v>
      </c>
      <c r="R273" s="72"/>
    </row>
    <row r="274" spans="1:18" ht="18.75" customHeight="1" x14ac:dyDescent="0.2">
      <c r="A274" s="79"/>
      <c r="B274" s="79"/>
      <c r="C274" s="183"/>
      <c r="D274" s="66"/>
      <c r="E274" s="66" t="s">
        <v>2275</v>
      </c>
      <c r="F274" s="66" t="s">
        <v>861</v>
      </c>
      <c r="G274" s="66" t="s">
        <v>374</v>
      </c>
      <c r="H274" s="73" t="s">
        <v>349</v>
      </c>
      <c r="I274" s="115">
        <v>4.2</v>
      </c>
      <c r="J274" s="87"/>
      <c r="K274" s="91"/>
      <c r="L274" s="66"/>
      <c r="M274" s="66"/>
      <c r="N274" s="66"/>
      <c r="O274" s="66"/>
      <c r="Q274" s="72" t="s">
        <v>353</v>
      </c>
      <c r="R274" s="72"/>
    </row>
    <row r="275" spans="1:18" ht="18.75" customHeight="1" x14ac:dyDescent="0.2">
      <c r="A275" s="79"/>
      <c r="B275" s="79"/>
      <c r="C275" s="183"/>
      <c r="D275" s="66"/>
      <c r="E275" s="66"/>
      <c r="F275" s="66"/>
      <c r="G275" s="66"/>
      <c r="H275" s="73"/>
      <c r="I275" s="87"/>
      <c r="J275" s="87"/>
      <c r="K275" s="91"/>
      <c r="L275" s="66"/>
      <c r="M275" s="66"/>
      <c r="N275" s="66"/>
      <c r="O275" s="66"/>
      <c r="Q275" s="72" t="s">
        <v>353</v>
      </c>
      <c r="R275" s="72"/>
    </row>
    <row r="276" spans="1:18" s="72" customFormat="1" ht="18.75" customHeight="1" x14ac:dyDescent="0.2">
      <c r="A276" s="70">
        <v>39348</v>
      </c>
      <c r="B276" s="70">
        <v>39362</v>
      </c>
      <c r="C276" s="182">
        <v>13800045</v>
      </c>
      <c r="D276" s="72" t="s">
        <v>2232</v>
      </c>
      <c r="E276" s="72" t="s">
        <v>21</v>
      </c>
      <c r="F276" s="72" t="s">
        <v>1919</v>
      </c>
      <c r="G276" s="72" t="s">
        <v>1068</v>
      </c>
      <c r="H276" s="73" t="s">
        <v>349</v>
      </c>
      <c r="I276" s="107">
        <v>62.48</v>
      </c>
      <c r="J276" s="184"/>
      <c r="K276" s="76">
        <v>34.28</v>
      </c>
      <c r="L276" s="76"/>
      <c r="M276" s="70">
        <v>39621</v>
      </c>
      <c r="N276" s="89">
        <v>42542</v>
      </c>
      <c r="O276" s="185" t="s">
        <v>21</v>
      </c>
      <c r="P276" s="185" t="s">
        <v>1919</v>
      </c>
      <c r="Q276" s="72" t="s">
        <v>1068</v>
      </c>
      <c r="R276" s="72" t="str">
        <f>VLOOKUP($Q276,[1]Tabelle1!$A$1:$B$3884,2,FALSE)</f>
        <v>m</v>
      </c>
    </row>
    <row r="277" spans="1:18" ht="18.75" customHeight="1" x14ac:dyDescent="0.2">
      <c r="A277" s="79"/>
      <c r="B277" s="79"/>
      <c r="C277" s="183"/>
      <c r="D277" s="66"/>
      <c r="E277" s="66" t="s">
        <v>19</v>
      </c>
      <c r="F277" s="66" t="s">
        <v>2335</v>
      </c>
      <c r="G277" s="66" t="s">
        <v>440</v>
      </c>
      <c r="H277" s="73" t="s">
        <v>349</v>
      </c>
      <c r="I277" s="115">
        <v>32.35</v>
      </c>
      <c r="J277" s="87"/>
      <c r="K277" s="91"/>
      <c r="L277" s="66"/>
      <c r="M277" s="66"/>
      <c r="N277" s="66"/>
      <c r="O277" s="66"/>
      <c r="Q277" s="72" t="s">
        <v>353</v>
      </c>
      <c r="R277" s="72"/>
    </row>
    <row r="278" spans="1:18" ht="18.75" customHeight="1" x14ac:dyDescent="0.2">
      <c r="A278" s="79"/>
      <c r="B278" s="79"/>
      <c r="C278" s="183"/>
      <c r="D278" s="66"/>
      <c r="E278" s="66" t="s">
        <v>2336</v>
      </c>
      <c r="F278" s="66" t="s">
        <v>2336</v>
      </c>
      <c r="G278" s="66" t="s">
        <v>2337</v>
      </c>
      <c r="H278" s="73" t="s">
        <v>349</v>
      </c>
      <c r="I278" s="115">
        <v>5.17</v>
      </c>
      <c r="J278" s="87"/>
      <c r="K278" s="91"/>
      <c r="L278" s="66"/>
      <c r="M278" s="66"/>
      <c r="N278" s="66"/>
      <c r="O278" s="66"/>
      <c r="Q278" s="72" t="s">
        <v>353</v>
      </c>
      <c r="R278" s="72"/>
    </row>
    <row r="279" spans="1:18" ht="18.75" customHeight="1" x14ac:dyDescent="0.2">
      <c r="A279" s="79"/>
      <c r="B279" s="79"/>
      <c r="C279" s="183"/>
      <c r="D279" s="66"/>
      <c r="E279" s="66"/>
      <c r="F279" s="66"/>
      <c r="G279" s="66"/>
      <c r="H279" s="73"/>
      <c r="I279" s="87"/>
      <c r="J279" s="87"/>
      <c r="K279" s="91"/>
      <c r="L279" s="66"/>
      <c r="M279" s="66"/>
      <c r="N279" s="66"/>
      <c r="O279" s="66"/>
      <c r="Q279" s="72" t="s">
        <v>353</v>
      </c>
      <c r="R279" s="72"/>
    </row>
    <row r="280" spans="1:18" s="72" customFormat="1" ht="18.75" customHeight="1" x14ac:dyDescent="0.2">
      <c r="A280" s="70">
        <v>39362</v>
      </c>
      <c r="B280" s="70">
        <v>39376</v>
      </c>
      <c r="C280" s="182">
        <v>33400501</v>
      </c>
      <c r="D280" s="72" t="s">
        <v>2230</v>
      </c>
      <c r="E280" s="72" t="s">
        <v>19</v>
      </c>
      <c r="F280" s="72" t="s">
        <v>2231</v>
      </c>
      <c r="G280" s="72" t="s">
        <v>591</v>
      </c>
      <c r="H280" s="73" t="s">
        <v>349</v>
      </c>
      <c r="I280" s="107">
        <v>89.5</v>
      </c>
      <c r="J280" s="184"/>
      <c r="K280" s="76">
        <v>25.38</v>
      </c>
      <c r="L280" s="76"/>
      <c r="M280" s="70">
        <v>39630</v>
      </c>
      <c r="N280" s="89">
        <v>42551</v>
      </c>
      <c r="O280" s="185" t="s">
        <v>19</v>
      </c>
      <c r="P280" s="185" t="s">
        <v>2231</v>
      </c>
      <c r="Q280" s="72" t="s">
        <v>591</v>
      </c>
      <c r="R280" s="72" t="str">
        <f>VLOOKUP($Q280,[1]Tabelle1!$A$1:$B$3884,2,FALSE)</f>
        <v>m</v>
      </c>
    </row>
    <row r="281" spans="1:18" ht="18.75" customHeight="1" x14ac:dyDescent="0.2">
      <c r="A281" s="79"/>
      <c r="B281" s="79"/>
      <c r="C281" s="183"/>
      <c r="D281" s="66"/>
      <c r="E281" s="66"/>
      <c r="F281" s="66"/>
      <c r="G281" s="66"/>
      <c r="H281" s="73"/>
      <c r="I281" s="87"/>
      <c r="J281" s="87"/>
      <c r="K281" s="91"/>
      <c r="L281" s="66"/>
      <c r="M281" s="66"/>
      <c r="N281" s="66"/>
      <c r="O281" s="66"/>
      <c r="Q281" s="72" t="s">
        <v>353</v>
      </c>
      <c r="R281" s="72"/>
    </row>
    <row r="282" spans="1:18" s="72" customFormat="1" ht="18.75" customHeight="1" x14ac:dyDescent="0.2">
      <c r="A282" s="70">
        <v>39600</v>
      </c>
      <c r="B282" s="70">
        <v>39614</v>
      </c>
      <c r="C282" s="182">
        <v>13700068</v>
      </c>
      <c r="D282" s="72" t="s">
        <v>2338</v>
      </c>
      <c r="E282" s="72" t="s">
        <v>19</v>
      </c>
      <c r="F282" s="72" t="s">
        <v>830</v>
      </c>
      <c r="G282" s="72" t="s">
        <v>2339</v>
      </c>
      <c r="H282" s="73" t="s">
        <v>419</v>
      </c>
      <c r="I282" s="107">
        <v>55.9</v>
      </c>
      <c r="J282" s="184"/>
      <c r="K282" s="76">
        <v>52</v>
      </c>
      <c r="L282" s="76"/>
      <c r="M282" s="70">
        <v>39775</v>
      </c>
      <c r="N282" s="68">
        <v>41217</v>
      </c>
      <c r="O282" s="185" t="s">
        <v>21</v>
      </c>
      <c r="P282" s="185" t="s">
        <v>1493</v>
      </c>
      <c r="Q282" s="72" t="s">
        <v>355</v>
      </c>
      <c r="R282" s="72" t="str">
        <f>VLOOKUP($Q282,[1]Tabelle1!$A$1:$B$3884,2,FALSE)</f>
        <v>m</v>
      </c>
    </row>
    <row r="283" spans="1:18" ht="18.75" customHeight="1" x14ac:dyDescent="0.2">
      <c r="A283" s="79"/>
      <c r="B283" s="79"/>
      <c r="C283" s="183"/>
      <c r="D283" s="66"/>
      <c r="E283" s="66" t="s">
        <v>21</v>
      </c>
      <c r="F283" s="66" t="s">
        <v>1493</v>
      </c>
      <c r="G283" s="66" t="s">
        <v>355</v>
      </c>
      <c r="H283" s="73" t="s">
        <v>349</v>
      </c>
      <c r="I283" s="115">
        <v>23.81</v>
      </c>
      <c r="J283" s="87"/>
      <c r="K283" s="91"/>
      <c r="L283" s="66"/>
      <c r="M283" s="66"/>
      <c r="N283" s="66"/>
      <c r="O283" s="66"/>
      <c r="Q283" s="72" t="s">
        <v>353</v>
      </c>
      <c r="R283" s="72"/>
    </row>
    <row r="284" spans="1:18" ht="18.75" customHeight="1" x14ac:dyDescent="0.2">
      <c r="A284" s="79"/>
      <c r="B284" s="79"/>
      <c r="C284" s="183"/>
      <c r="D284" s="66"/>
      <c r="E284" s="66" t="s">
        <v>124</v>
      </c>
      <c r="F284" s="66" t="s">
        <v>2340</v>
      </c>
      <c r="G284" s="66" t="s">
        <v>476</v>
      </c>
      <c r="H284" s="73" t="s">
        <v>349</v>
      </c>
      <c r="I284" s="115">
        <v>20.29</v>
      </c>
      <c r="J284" s="87"/>
      <c r="K284" s="91"/>
      <c r="L284" s="66"/>
      <c r="M284" s="66"/>
      <c r="N284" s="66"/>
      <c r="O284" s="66"/>
      <c r="Q284" s="72" t="s">
        <v>353</v>
      </c>
      <c r="R284" s="72"/>
    </row>
    <row r="285" spans="1:18" ht="18.75" customHeight="1" x14ac:dyDescent="0.2">
      <c r="A285" s="79"/>
      <c r="B285" s="79"/>
      <c r="C285" s="183"/>
      <c r="D285" s="66"/>
      <c r="E285" s="66"/>
      <c r="F285" s="66"/>
      <c r="G285" s="66"/>
      <c r="H285" s="73"/>
      <c r="I285" s="87"/>
      <c r="J285" s="87"/>
      <c r="K285" s="91"/>
      <c r="L285" s="66"/>
      <c r="M285" s="66"/>
      <c r="N285" s="66"/>
      <c r="O285" s="66"/>
      <c r="Q285" s="72" t="s">
        <v>353</v>
      </c>
      <c r="R285" s="72"/>
    </row>
    <row r="286" spans="1:18" s="72" customFormat="1" ht="18.75" customHeight="1" x14ac:dyDescent="0.2">
      <c r="A286" s="70">
        <v>39824</v>
      </c>
      <c r="B286" s="70">
        <v>39838</v>
      </c>
      <c r="C286" s="182">
        <v>33800020</v>
      </c>
      <c r="D286" s="72" t="s">
        <v>2253</v>
      </c>
      <c r="E286" s="72" t="s">
        <v>38</v>
      </c>
      <c r="F286" s="72" t="s">
        <v>693</v>
      </c>
      <c r="G286" s="72" t="s">
        <v>423</v>
      </c>
      <c r="H286" s="73" t="s">
        <v>349</v>
      </c>
      <c r="I286" s="107">
        <v>48.19</v>
      </c>
      <c r="J286" s="107">
        <v>57.41</v>
      </c>
      <c r="K286" s="76">
        <v>63.3</v>
      </c>
      <c r="L286" s="76">
        <v>60.48</v>
      </c>
      <c r="M286" s="70">
        <v>39965</v>
      </c>
      <c r="N286" s="89">
        <v>42886</v>
      </c>
      <c r="O286" s="185" t="s">
        <v>693</v>
      </c>
      <c r="P286" s="185" t="s">
        <v>693</v>
      </c>
      <c r="Q286" s="72" t="s">
        <v>423</v>
      </c>
      <c r="R286" s="72" t="str">
        <f>VLOOKUP($Q286,[1]Tabelle1!$A$1:$B$3884,2,FALSE)</f>
        <v>m</v>
      </c>
    </row>
    <row r="287" spans="1:18" ht="18.75" customHeight="1" x14ac:dyDescent="0.2">
      <c r="A287" s="79"/>
      <c r="B287" s="79"/>
      <c r="C287" s="183"/>
      <c r="D287" s="66"/>
      <c r="E287" s="66" t="s">
        <v>21</v>
      </c>
      <c r="F287" s="66" t="s">
        <v>716</v>
      </c>
      <c r="G287" s="66" t="s">
        <v>481</v>
      </c>
      <c r="H287" s="73" t="s">
        <v>349</v>
      </c>
      <c r="I287" s="115">
        <v>28.58</v>
      </c>
      <c r="J287" s="115">
        <v>42.59</v>
      </c>
      <c r="K287" s="91"/>
      <c r="L287" s="66"/>
      <c r="M287" s="66"/>
      <c r="N287" s="66"/>
      <c r="O287" s="66"/>
      <c r="Q287" s="72" t="s">
        <v>353</v>
      </c>
      <c r="R287" s="72"/>
    </row>
    <row r="288" spans="1:18" ht="18.75" customHeight="1" x14ac:dyDescent="0.2">
      <c r="A288" s="79"/>
      <c r="B288" s="79"/>
      <c r="C288" s="183"/>
      <c r="D288" s="66"/>
      <c r="E288" s="66" t="s">
        <v>2341</v>
      </c>
      <c r="F288" s="66" t="s">
        <v>2341</v>
      </c>
      <c r="G288" s="66" t="s">
        <v>776</v>
      </c>
      <c r="H288" s="73" t="s">
        <v>349</v>
      </c>
      <c r="I288" s="115">
        <v>23.23</v>
      </c>
      <c r="J288" s="87"/>
      <c r="K288" s="91"/>
      <c r="L288" s="66"/>
      <c r="M288" s="66"/>
      <c r="N288" s="66"/>
      <c r="O288" s="66"/>
      <c r="Q288" s="72" t="s">
        <v>353</v>
      </c>
      <c r="R288" s="72"/>
    </row>
    <row r="289" spans="1:18" ht="18.75" customHeight="1" x14ac:dyDescent="0.2">
      <c r="A289" s="79"/>
      <c r="B289" s="79"/>
      <c r="C289" s="183"/>
      <c r="D289" s="66"/>
      <c r="E289" s="66"/>
      <c r="F289" s="66"/>
      <c r="G289" s="66"/>
      <c r="H289" s="73"/>
      <c r="I289" s="87"/>
      <c r="J289" s="87"/>
      <c r="K289" s="91"/>
      <c r="L289" s="66"/>
      <c r="M289" s="66"/>
      <c r="N289" s="66"/>
      <c r="O289" s="66"/>
      <c r="Q289" s="72" t="s">
        <v>353</v>
      </c>
      <c r="R289" s="72"/>
    </row>
    <row r="290" spans="1:18" s="72" customFormat="1" ht="18.75" customHeight="1" x14ac:dyDescent="0.2">
      <c r="A290" s="70">
        <v>39971</v>
      </c>
      <c r="B290" s="70">
        <v>39985</v>
      </c>
      <c r="C290" s="182">
        <v>13100077</v>
      </c>
      <c r="D290" s="72" t="s">
        <v>2267</v>
      </c>
      <c r="E290" s="198" t="s">
        <v>19</v>
      </c>
      <c r="F290" s="198" t="s">
        <v>2268</v>
      </c>
      <c r="G290" s="198" t="s">
        <v>348</v>
      </c>
      <c r="H290" s="73" t="s">
        <v>349</v>
      </c>
      <c r="I290" s="199">
        <v>63.9</v>
      </c>
      <c r="J290" s="184"/>
      <c r="K290" s="76">
        <v>56.87</v>
      </c>
      <c r="L290" s="76"/>
      <c r="M290" s="70">
        <v>40179</v>
      </c>
      <c r="N290" s="89">
        <v>43100</v>
      </c>
      <c r="O290" s="185" t="s">
        <v>19</v>
      </c>
      <c r="P290" s="185" t="s">
        <v>2268</v>
      </c>
      <c r="Q290" s="72" t="s">
        <v>348</v>
      </c>
      <c r="R290" s="72" t="str">
        <f>VLOOKUP($Q290,[1]Tabelle1!$A$1:$B$3884,2,FALSE)</f>
        <v>m</v>
      </c>
    </row>
    <row r="291" spans="1:18" ht="18.75" customHeight="1" x14ac:dyDescent="0.2">
      <c r="A291" s="79"/>
      <c r="B291" s="79"/>
      <c r="C291" s="183"/>
      <c r="D291" s="66"/>
      <c r="E291" s="200" t="s">
        <v>2342</v>
      </c>
      <c r="F291" s="200" t="s">
        <v>2343</v>
      </c>
      <c r="G291" s="200" t="s">
        <v>2344</v>
      </c>
      <c r="H291" s="73" t="s">
        <v>349</v>
      </c>
      <c r="I291" s="201">
        <v>36.1</v>
      </c>
      <c r="J291" s="87"/>
      <c r="K291" s="91"/>
      <c r="L291" s="66"/>
      <c r="M291" s="66"/>
      <c r="N291" s="66"/>
      <c r="O291" s="66"/>
      <c r="Q291" s="72" t="s">
        <v>353</v>
      </c>
      <c r="R291" s="72"/>
    </row>
    <row r="292" spans="1:18" ht="18.75" customHeight="1" x14ac:dyDescent="0.2">
      <c r="A292" s="79"/>
      <c r="B292" s="79"/>
      <c r="C292" s="183"/>
      <c r="D292" s="66"/>
      <c r="E292" s="66"/>
      <c r="F292" s="66"/>
      <c r="G292" s="66"/>
      <c r="H292" s="73"/>
      <c r="I292" s="87"/>
      <c r="J292" s="87"/>
      <c r="K292" s="91"/>
      <c r="L292" s="66"/>
      <c r="M292" s="66"/>
      <c r="N292" s="66"/>
      <c r="O292" s="66"/>
      <c r="Q292" s="72" t="s">
        <v>353</v>
      </c>
      <c r="R292" s="72"/>
    </row>
    <row r="293" spans="1:18" s="72" customFormat="1" ht="18.75" customHeight="1" x14ac:dyDescent="0.2">
      <c r="A293" s="70">
        <v>39971</v>
      </c>
      <c r="B293" s="70">
        <v>39985</v>
      </c>
      <c r="C293" s="182">
        <v>13300052</v>
      </c>
      <c r="D293" s="72" t="s">
        <v>2271</v>
      </c>
      <c r="E293" s="198" t="s">
        <v>21</v>
      </c>
      <c r="F293" s="198" t="s">
        <v>109</v>
      </c>
      <c r="G293" s="198" t="s">
        <v>708</v>
      </c>
      <c r="H293" s="73" t="s">
        <v>349</v>
      </c>
      <c r="I293" s="199">
        <v>56.57</v>
      </c>
      <c r="J293" s="184"/>
      <c r="K293" s="76">
        <v>48.35</v>
      </c>
      <c r="L293" s="76"/>
      <c r="M293" s="70">
        <v>40179</v>
      </c>
      <c r="N293" s="194">
        <v>41820</v>
      </c>
      <c r="O293" s="185" t="s">
        <v>21</v>
      </c>
      <c r="P293" s="185" t="s">
        <v>109</v>
      </c>
      <c r="Q293" s="72" t="s">
        <v>708</v>
      </c>
      <c r="R293" s="72" t="str">
        <f>VLOOKUP($Q293,[1]Tabelle1!$A$1:$B$3884,2,FALSE)</f>
        <v>m</v>
      </c>
    </row>
    <row r="294" spans="1:18" ht="18.75" customHeight="1" x14ac:dyDescent="0.2">
      <c r="A294" s="79"/>
      <c r="B294" s="79"/>
      <c r="C294" s="183"/>
      <c r="D294" s="66"/>
      <c r="E294" s="200" t="s">
        <v>38</v>
      </c>
      <c r="F294" s="200" t="s">
        <v>2345</v>
      </c>
      <c r="G294" s="200" t="s">
        <v>776</v>
      </c>
      <c r="H294" s="73" t="s">
        <v>349</v>
      </c>
      <c r="I294" s="201">
        <v>43.43</v>
      </c>
      <c r="J294" s="87"/>
      <c r="K294" s="91"/>
      <c r="L294" s="66"/>
      <c r="M294" s="66"/>
      <c r="N294" s="66"/>
      <c r="O294" s="66"/>
      <c r="Q294" s="72" t="s">
        <v>353</v>
      </c>
      <c r="R294" s="72"/>
    </row>
    <row r="295" spans="1:18" ht="18.75" customHeight="1" x14ac:dyDescent="0.2">
      <c r="A295" s="79"/>
      <c r="B295" s="79"/>
      <c r="C295" s="183"/>
      <c r="D295" s="66"/>
      <c r="E295" s="66"/>
      <c r="F295" s="66"/>
      <c r="G295" s="66"/>
      <c r="H295" s="73"/>
      <c r="I295" s="87"/>
      <c r="J295" s="87"/>
      <c r="K295" s="91"/>
      <c r="L295" s="66"/>
      <c r="M295" s="66"/>
      <c r="N295" s="66"/>
      <c r="O295" s="66"/>
      <c r="Q295" s="72" t="s">
        <v>353</v>
      </c>
      <c r="R295" s="72"/>
    </row>
    <row r="296" spans="1:18" s="72" customFormat="1" ht="18.75" customHeight="1" x14ac:dyDescent="0.2">
      <c r="A296" s="70">
        <v>39971</v>
      </c>
      <c r="B296" s="70">
        <v>39985</v>
      </c>
      <c r="C296" s="182">
        <v>23100134</v>
      </c>
      <c r="D296" s="72" t="s">
        <v>2255</v>
      </c>
      <c r="E296" s="198" t="s">
        <v>19</v>
      </c>
      <c r="F296" s="198" t="s">
        <v>2346</v>
      </c>
      <c r="G296" s="198" t="s">
        <v>1005</v>
      </c>
      <c r="H296" s="73" t="s">
        <v>349</v>
      </c>
      <c r="I296" s="199">
        <v>59.36</v>
      </c>
      <c r="J296" s="184"/>
      <c r="K296" s="76">
        <v>50.46</v>
      </c>
      <c r="L296" s="76"/>
      <c r="M296" s="70">
        <v>40179</v>
      </c>
      <c r="N296" s="89">
        <v>43100</v>
      </c>
      <c r="O296" s="185" t="s">
        <v>2256</v>
      </c>
      <c r="P296" s="185" t="s">
        <v>2257</v>
      </c>
      <c r="Q296" s="72" t="s">
        <v>547</v>
      </c>
      <c r="R296" s="72" t="str">
        <f>VLOOKUP($Q296,[1]Tabelle1!$A$1:$B$3884,2,FALSE)</f>
        <v>m</v>
      </c>
    </row>
    <row r="297" spans="1:18" ht="18.75" customHeight="1" x14ac:dyDescent="0.2">
      <c r="A297" s="79"/>
      <c r="B297" s="79"/>
      <c r="C297" s="183"/>
      <c r="D297" s="66"/>
      <c r="E297" s="200" t="s">
        <v>2347</v>
      </c>
      <c r="F297" s="200" t="s">
        <v>2347</v>
      </c>
      <c r="G297" s="200" t="s">
        <v>383</v>
      </c>
      <c r="H297" s="73" t="s">
        <v>349</v>
      </c>
      <c r="I297" s="201">
        <v>16.45</v>
      </c>
      <c r="J297" s="87"/>
      <c r="K297" s="91"/>
      <c r="L297" s="66"/>
      <c r="M297" s="66"/>
      <c r="N297" s="66"/>
      <c r="O297" s="66"/>
      <c r="Q297" s="72" t="s">
        <v>353</v>
      </c>
      <c r="R297" s="72"/>
    </row>
    <row r="298" spans="1:18" ht="18.75" customHeight="1" x14ac:dyDescent="0.2">
      <c r="A298" s="79"/>
      <c r="B298" s="79"/>
      <c r="C298" s="183"/>
      <c r="D298" s="66"/>
      <c r="E298" s="200" t="s">
        <v>2342</v>
      </c>
      <c r="F298" s="200" t="s">
        <v>2348</v>
      </c>
      <c r="G298" s="200" t="s">
        <v>464</v>
      </c>
      <c r="H298" s="73" t="s">
        <v>349</v>
      </c>
      <c r="I298" s="201">
        <v>12.9</v>
      </c>
      <c r="J298" s="87"/>
      <c r="K298" s="91"/>
      <c r="L298" s="66"/>
      <c r="M298" s="66"/>
      <c r="N298" s="66"/>
      <c r="O298" s="66"/>
      <c r="Q298" s="72" t="s">
        <v>353</v>
      </c>
      <c r="R298" s="72"/>
    </row>
    <row r="299" spans="1:18" ht="18.75" customHeight="1" x14ac:dyDescent="0.2">
      <c r="A299" s="79"/>
      <c r="B299" s="79"/>
      <c r="C299" s="183"/>
      <c r="D299" s="66"/>
      <c r="E299" s="200" t="s">
        <v>2349</v>
      </c>
      <c r="F299" s="200" t="s">
        <v>2349</v>
      </c>
      <c r="G299" s="200" t="s">
        <v>423</v>
      </c>
      <c r="H299" s="73" t="s">
        <v>349</v>
      </c>
      <c r="I299" s="201">
        <v>4.6500000000000004</v>
      </c>
      <c r="J299" s="87"/>
      <c r="K299" s="91"/>
      <c r="L299" s="66"/>
      <c r="M299" s="66"/>
      <c r="N299" s="66"/>
      <c r="O299" s="66"/>
      <c r="Q299" s="72" t="s">
        <v>353</v>
      </c>
      <c r="R299" s="72"/>
    </row>
    <row r="300" spans="1:18" ht="18.75" customHeight="1" x14ac:dyDescent="0.2">
      <c r="A300" s="79"/>
      <c r="B300" s="79"/>
      <c r="C300" s="183"/>
      <c r="D300" s="66"/>
      <c r="E300" s="200" t="s">
        <v>716</v>
      </c>
      <c r="F300" s="200" t="s">
        <v>716</v>
      </c>
      <c r="G300" s="200" t="s">
        <v>476</v>
      </c>
      <c r="H300" s="73" t="s">
        <v>349</v>
      </c>
      <c r="I300" s="201">
        <v>4.32</v>
      </c>
      <c r="J300" s="87"/>
      <c r="K300" s="91"/>
      <c r="L300" s="66"/>
      <c r="M300" s="66"/>
      <c r="N300" s="66"/>
      <c r="O300" s="66"/>
      <c r="Q300" s="72" t="s">
        <v>353</v>
      </c>
      <c r="R300" s="72"/>
    </row>
    <row r="301" spans="1:18" ht="18.75" customHeight="1" x14ac:dyDescent="0.2">
      <c r="A301" s="79"/>
      <c r="B301" s="79"/>
      <c r="C301" s="183"/>
      <c r="D301" s="66"/>
      <c r="E301" s="200" t="s">
        <v>180</v>
      </c>
      <c r="F301" s="200" t="s">
        <v>180</v>
      </c>
      <c r="G301" s="200" t="s">
        <v>1498</v>
      </c>
      <c r="H301" s="73" t="s">
        <v>349</v>
      </c>
      <c r="I301" s="201">
        <v>2.33</v>
      </c>
      <c r="J301" s="87"/>
      <c r="K301" s="91"/>
      <c r="L301" s="66"/>
      <c r="M301" s="66"/>
      <c r="N301" s="66"/>
      <c r="O301" s="66"/>
      <c r="Q301" s="72" t="s">
        <v>353</v>
      </c>
      <c r="R301" s="72"/>
    </row>
    <row r="302" spans="1:18" ht="18.75" customHeight="1" x14ac:dyDescent="0.2">
      <c r="A302" s="79"/>
      <c r="B302" s="79"/>
      <c r="C302" s="183"/>
      <c r="D302" s="66"/>
      <c r="E302" s="66"/>
      <c r="F302" s="66"/>
      <c r="G302" s="66"/>
      <c r="H302" s="73"/>
      <c r="I302" s="87"/>
      <c r="J302" s="87"/>
      <c r="K302" s="91"/>
      <c r="L302" s="66"/>
      <c r="M302" s="66"/>
      <c r="N302" s="66"/>
      <c r="O302" s="66"/>
      <c r="Q302" s="72" t="s">
        <v>353</v>
      </c>
      <c r="R302" s="72"/>
    </row>
    <row r="303" spans="1:18" s="72" customFormat="1" ht="18.75" customHeight="1" x14ac:dyDescent="0.2">
      <c r="A303" s="70">
        <v>39971</v>
      </c>
      <c r="B303" s="70">
        <v>39985</v>
      </c>
      <c r="C303" s="182">
        <v>33200024</v>
      </c>
      <c r="D303" s="72" t="s">
        <v>2350</v>
      </c>
      <c r="E303" s="72" t="s">
        <v>19</v>
      </c>
      <c r="F303" s="72" t="s">
        <v>109</v>
      </c>
      <c r="G303" s="72" t="s">
        <v>358</v>
      </c>
      <c r="H303" s="73" t="s">
        <v>349</v>
      </c>
      <c r="I303" s="107">
        <v>42.77</v>
      </c>
      <c r="J303" s="107">
        <v>52.24</v>
      </c>
      <c r="K303" s="76">
        <v>60.48</v>
      </c>
      <c r="L303" s="76">
        <v>49.83</v>
      </c>
      <c r="M303" s="70">
        <v>40179</v>
      </c>
      <c r="N303" s="89">
        <v>43100</v>
      </c>
      <c r="O303" s="185" t="s">
        <v>21</v>
      </c>
      <c r="P303" s="185" t="s">
        <v>2261</v>
      </c>
      <c r="Q303" s="72" t="s">
        <v>381</v>
      </c>
      <c r="R303" s="72" t="str">
        <f>VLOOKUP($Q303,[1]Tabelle1!$A$1:$B$3884,2,FALSE)</f>
        <v>m</v>
      </c>
    </row>
    <row r="304" spans="1:18" ht="18.75" customHeight="1" x14ac:dyDescent="0.2">
      <c r="A304" s="79"/>
      <c r="B304" s="79"/>
      <c r="C304" s="183"/>
      <c r="D304" s="66"/>
      <c r="E304" s="66" t="s">
        <v>55</v>
      </c>
      <c r="F304" s="66" t="s">
        <v>2351</v>
      </c>
      <c r="G304" s="66" t="s">
        <v>383</v>
      </c>
      <c r="H304" s="73" t="s">
        <v>349</v>
      </c>
      <c r="I304" s="115">
        <v>29.88</v>
      </c>
      <c r="J304" s="115">
        <v>47.76</v>
      </c>
      <c r="K304" s="91"/>
      <c r="L304" s="66"/>
      <c r="M304" s="66"/>
      <c r="N304" s="66"/>
      <c r="O304" s="66"/>
      <c r="Q304" s="72" t="s">
        <v>353</v>
      </c>
      <c r="R304" s="72"/>
    </row>
    <row r="305" spans="1:18" ht="18.75" customHeight="1" x14ac:dyDescent="0.2">
      <c r="A305" s="79"/>
      <c r="B305" s="79"/>
      <c r="C305" s="183"/>
      <c r="D305" s="66"/>
      <c r="E305" s="66" t="s">
        <v>21</v>
      </c>
      <c r="F305" s="66" t="s">
        <v>1181</v>
      </c>
      <c r="G305" s="66" t="s">
        <v>1989</v>
      </c>
      <c r="H305" s="73" t="s">
        <v>349</v>
      </c>
      <c r="I305" s="115">
        <v>22.43</v>
      </c>
      <c r="J305" s="87"/>
      <c r="K305" s="91"/>
      <c r="L305" s="66"/>
      <c r="M305" s="66"/>
      <c r="N305" s="66"/>
      <c r="O305" s="66"/>
      <c r="Q305" s="72" t="s">
        <v>353</v>
      </c>
      <c r="R305" s="72"/>
    </row>
    <row r="306" spans="1:18" ht="18.75" customHeight="1" x14ac:dyDescent="0.2">
      <c r="A306" s="79"/>
      <c r="B306" s="79"/>
      <c r="C306" s="183"/>
      <c r="D306" s="66"/>
      <c r="E306" s="66" t="s">
        <v>34</v>
      </c>
      <c r="F306" s="66" t="s">
        <v>2352</v>
      </c>
      <c r="G306" s="66" t="s">
        <v>2353</v>
      </c>
      <c r="H306" s="73" t="s">
        <v>349</v>
      </c>
      <c r="I306" s="115">
        <v>4.91</v>
      </c>
      <c r="J306" s="87"/>
      <c r="K306" s="91"/>
      <c r="L306" s="66"/>
      <c r="M306" s="66"/>
      <c r="N306" s="66"/>
      <c r="O306" s="66"/>
      <c r="Q306" s="72" t="s">
        <v>353</v>
      </c>
      <c r="R306" s="72"/>
    </row>
    <row r="307" spans="1:18" ht="18.75" customHeight="1" x14ac:dyDescent="0.2">
      <c r="A307" s="79"/>
      <c r="B307" s="79"/>
      <c r="C307" s="183"/>
      <c r="D307" s="66"/>
      <c r="E307" s="66"/>
      <c r="F307" s="66"/>
      <c r="G307" s="66"/>
      <c r="H307" s="73"/>
      <c r="I307" s="120"/>
      <c r="J307" s="87"/>
      <c r="K307" s="91"/>
      <c r="L307" s="66"/>
      <c r="M307" s="66"/>
      <c r="N307" s="66"/>
      <c r="O307" s="66"/>
      <c r="Q307" s="72" t="s">
        <v>353</v>
      </c>
      <c r="R307" s="72"/>
    </row>
    <row r="308" spans="1:18" s="72" customFormat="1" ht="18.75" customHeight="1" x14ac:dyDescent="0.2">
      <c r="A308" s="70">
        <v>39971</v>
      </c>
      <c r="B308" s="70">
        <v>39985</v>
      </c>
      <c r="C308" s="182">
        <v>33400007</v>
      </c>
      <c r="D308" s="72" t="s">
        <v>2272</v>
      </c>
      <c r="E308" s="198" t="s">
        <v>19</v>
      </c>
      <c r="F308" s="198" t="s">
        <v>2354</v>
      </c>
      <c r="G308" s="198" t="s">
        <v>1208</v>
      </c>
      <c r="H308" s="73" t="s">
        <v>349</v>
      </c>
      <c r="I308" s="199">
        <v>78.88</v>
      </c>
      <c r="J308" s="184"/>
      <c r="K308" s="76">
        <v>44.37</v>
      </c>
      <c r="L308" s="76"/>
      <c r="M308" s="70">
        <v>40179</v>
      </c>
      <c r="N308" s="89">
        <v>43100</v>
      </c>
      <c r="O308" s="185" t="s">
        <v>19</v>
      </c>
      <c r="P308" s="185" t="s">
        <v>2273</v>
      </c>
      <c r="Q308" s="72" t="s">
        <v>516</v>
      </c>
      <c r="R308" s="72" t="str">
        <f>VLOOKUP($Q308,[1]Tabelle1!$A$1:$B$3884,2,FALSE)</f>
        <v>m</v>
      </c>
    </row>
    <row r="309" spans="1:18" ht="18.75" customHeight="1" x14ac:dyDescent="0.2">
      <c r="A309" s="79"/>
      <c r="B309" s="79"/>
      <c r="C309" s="183"/>
      <c r="D309" s="66"/>
      <c r="E309" s="200" t="s">
        <v>2355</v>
      </c>
      <c r="F309" s="200" t="s">
        <v>2355</v>
      </c>
      <c r="G309" s="200" t="s">
        <v>2356</v>
      </c>
      <c r="H309" s="73" t="s">
        <v>349</v>
      </c>
      <c r="I309" s="201">
        <v>11.54</v>
      </c>
      <c r="J309" s="87"/>
      <c r="K309" s="91"/>
      <c r="L309" s="66"/>
      <c r="M309" s="66"/>
      <c r="N309" s="66"/>
      <c r="O309" s="66"/>
      <c r="Q309" s="72" t="s">
        <v>353</v>
      </c>
      <c r="R309" s="72"/>
    </row>
    <row r="310" spans="1:18" ht="18.75" customHeight="1" x14ac:dyDescent="0.2">
      <c r="A310" s="79"/>
      <c r="B310" s="79"/>
      <c r="C310" s="183"/>
      <c r="D310" s="66"/>
      <c r="E310" s="200" t="s">
        <v>2275</v>
      </c>
      <c r="F310" s="200" t="s">
        <v>393</v>
      </c>
      <c r="G310" s="200" t="s">
        <v>361</v>
      </c>
      <c r="H310" s="73" t="s">
        <v>349</v>
      </c>
      <c r="I310" s="201">
        <v>9.58</v>
      </c>
      <c r="J310" s="87"/>
      <c r="K310" s="91"/>
      <c r="L310" s="66"/>
      <c r="M310" s="66"/>
      <c r="N310" s="66"/>
      <c r="O310" s="66"/>
      <c r="Q310" s="72" t="s">
        <v>353</v>
      </c>
      <c r="R310" s="72"/>
    </row>
    <row r="311" spans="1:18" ht="18.75" customHeight="1" x14ac:dyDescent="0.2">
      <c r="A311" s="79"/>
      <c r="B311" s="79"/>
      <c r="C311" s="183"/>
      <c r="D311" s="66"/>
      <c r="E311" s="66"/>
      <c r="F311" s="66"/>
      <c r="G311" s="66"/>
      <c r="H311" s="73"/>
      <c r="I311" s="87"/>
      <c r="J311" s="87"/>
      <c r="K311" s="91"/>
      <c r="L311" s="66"/>
      <c r="M311" s="66"/>
      <c r="N311" s="66"/>
      <c r="O311" s="66"/>
      <c r="Q311" s="72" t="s">
        <v>353</v>
      </c>
      <c r="R311" s="72"/>
    </row>
    <row r="312" spans="1:18" s="72" customFormat="1" ht="18.75" customHeight="1" x14ac:dyDescent="0.2">
      <c r="A312" s="70">
        <v>40083</v>
      </c>
      <c r="B312" s="70">
        <v>40097</v>
      </c>
      <c r="C312" s="182">
        <v>23200018</v>
      </c>
      <c r="D312" s="72" t="s">
        <v>2357</v>
      </c>
      <c r="E312" s="157" t="s">
        <v>19</v>
      </c>
      <c r="F312" s="157" t="s">
        <v>1004</v>
      </c>
      <c r="G312" s="157" t="s">
        <v>1005</v>
      </c>
      <c r="H312" s="73" t="s">
        <v>349</v>
      </c>
      <c r="I312" s="158">
        <v>33.58</v>
      </c>
      <c r="J312" s="158">
        <v>60.08</v>
      </c>
      <c r="K312" s="76">
        <v>65.040000000000006</v>
      </c>
      <c r="L312" s="76">
        <v>49.24</v>
      </c>
      <c r="M312" s="70">
        <v>40163</v>
      </c>
      <c r="N312" s="89">
        <v>43084</v>
      </c>
      <c r="O312" s="185" t="s">
        <v>2313</v>
      </c>
      <c r="P312" s="185" t="s">
        <v>2314</v>
      </c>
      <c r="Q312" s="72" t="s">
        <v>1005</v>
      </c>
      <c r="R312" s="72" t="str">
        <f>VLOOKUP($Q312,[1]Tabelle1!$A$1:$B$3884,2,FALSE)</f>
        <v>m</v>
      </c>
    </row>
    <row r="313" spans="1:18" ht="18.75" customHeight="1" x14ac:dyDescent="0.2">
      <c r="A313" s="79"/>
      <c r="B313" s="79"/>
      <c r="C313" s="183"/>
      <c r="D313" s="66"/>
      <c r="E313" s="160" t="s">
        <v>2358</v>
      </c>
      <c r="F313" s="160" t="s">
        <v>2358</v>
      </c>
      <c r="G313" s="160" t="s">
        <v>958</v>
      </c>
      <c r="H313" s="73" t="s">
        <v>349</v>
      </c>
      <c r="I313" s="161">
        <v>24.38</v>
      </c>
      <c r="J313" s="161">
        <v>39.92</v>
      </c>
      <c r="K313" s="91"/>
      <c r="L313" s="66"/>
      <c r="M313" s="66"/>
      <c r="N313" s="66"/>
      <c r="O313" s="66"/>
      <c r="Q313" s="72" t="s">
        <v>353</v>
      </c>
      <c r="R313" s="72"/>
    </row>
    <row r="314" spans="1:18" ht="18.75" customHeight="1" x14ac:dyDescent="0.2">
      <c r="A314" s="79"/>
      <c r="B314" s="79"/>
      <c r="C314" s="183"/>
      <c r="D314" s="66"/>
      <c r="E314" s="160" t="s">
        <v>2131</v>
      </c>
      <c r="F314" s="160" t="s">
        <v>2359</v>
      </c>
      <c r="G314" s="160" t="s">
        <v>776</v>
      </c>
      <c r="H314" s="73" t="s">
        <v>349</v>
      </c>
      <c r="I314" s="161">
        <v>21.29</v>
      </c>
      <c r="J314" s="87"/>
      <c r="K314" s="91"/>
      <c r="L314" s="66"/>
      <c r="M314" s="66"/>
      <c r="N314" s="66"/>
      <c r="O314" s="66"/>
      <c r="Q314" s="72" t="s">
        <v>353</v>
      </c>
      <c r="R314" s="72"/>
    </row>
    <row r="315" spans="1:18" ht="18.75" customHeight="1" x14ac:dyDescent="0.2">
      <c r="A315" s="79"/>
      <c r="B315" s="79"/>
      <c r="C315" s="183"/>
      <c r="D315" s="66"/>
      <c r="E315" s="160" t="s">
        <v>34</v>
      </c>
      <c r="F315" s="160" t="s">
        <v>1209</v>
      </c>
      <c r="G315" s="160" t="s">
        <v>389</v>
      </c>
      <c r="H315" s="73" t="s">
        <v>349</v>
      </c>
      <c r="I315" s="161">
        <v>12.2</v>
      </c>
      <c r="J315" s="87"/>
      <c r="K315" s="91"/>
      <c r="L315" s="66"/>
      <c r="M315" s="66"/>
      <c r="N315" s="66"/>
      <c r="O315" s="66"/>
      <c r="Q315" s="72" t="s">
        <v>353</v>
      </c>
      <c r="R315" s="72"/>
    </row>
    <row r="316" spans="1:18" ht="18.75" customHeight="1" x14ac:dyDescent="0.2">
      <c r="A316" s="79"/>
      <c r="B316" s="79"/>
      <c r="C316" s="183"/>
      <c r="D316" s="66"/>
      <c r="E316" s="160" t="s">
        <v>21</v>
      </c>
      <c r="F316" s="160" t="s">
        <v>2360</v>
      </c>
      <c r="G316" s="160" t="s">
        <v>861</v>
      </c>
      <c r="H316" s="73" t="s">
        <v>349</v>
      </c>
      <c r="I316" s="161">
        <v>8.5500000000000007</v>
      </c>
      <c r="J316" s="87"/>
      <c r="K316" s="91"/>
      <c r="L316" s="66"/>
      <c r="M316" s="66"/>
      <c r="N316" s="66"/>
      <c r="O316" s="66"/>
      <c r="Q316" s="72" t="s">
        <v>353</v>
      </c>
      <c r="R316" s="72"/>
    </row>
    <row r="317" spans="1:18" ht="18.75" customHeight="1" x14ac:dyDescent="0.2">
      <c r="A317" s="79"/>
      <c r="B317" s="79"/>
      <c r="C317" s="183"/>
      <c r="D317" s="66"/>
      <c r="E317" s="66"/>
      <c r="F317" s="66"/>
      <c r="G317" s="66"/>
      <c r="H317" s="73"/>
      <c r="I317" s="87"/>
      <c r="J317" s="87"/>
      <c r="K317" s="91"/>
      <c r="L317" s="66"/>
      <c r="M317" s="66"/>
      <c r="N317" s="66"/>
      <c r="O317" s="66"/>
      <c r="Q317" s="72" t="s">
        <v>353</v>
      </c>
      <c r="R317" s="72"/>
    </row>
    <row r="318" spans="1:18" s="72" customFormat="1" ht="18.75" customHeight="1" x14ac:dyDescent="0.2">
      <c r="A318" s="70">
        <v>40139</v>
      </c>
      <c r="B318" s="70"/>
      <c r="C318" s="182">
        <v>13700003</v>
      </c>
      <c r="D318" s="72" t="s">
        <v>2361</v>
      </c>
      <c r="E318" s="72" t="s">
        <v>21</v>
      </c>
      <c r="F318" s="72" t="s">
        <v>2136</v>
      </c>
      <c r="G318" s="72" t="s">
        <v>464</v>
      </c>
      <c r="H318" s="73" t="s">
        <v>349</v>
      </c>
      <c r="I318" s="107">
        <v>90.83</v>
      </c>
      <c r="J318" s="184"/>
      <c r="K318" s="76">
        <v>27.28</v>
      </c>
      <c r="L318" s="76"/>
      <c r="M318" s="70">
        <v>40408</v>
      </c>
      <c r="N318" s="89">
        <v>43329</v>
      </c>
      <c r="O318" s="73" t="s">
        <v>21</v>
      </c>
      <c r="P318" s="73" t="s">
        <v>2136</v>
      </c>
      <c r="Q318" s="72" t="s">
        <v>464</v>
      </c>
      <c r="R318" s="72" t="str">
        <f>VLOOKUP($Q318,[1]Tabelle1!$A$1:$B$3884,2,FALSE)</f>
        <v>m</v>
      </c>
    </row>
    <row r="319" spans="1:18" ht="18.75" customHeight="1" x14ac:dyDescent="0.2">
      <c r="A319" s="79"/>
      <c r="B319" s="79"/>
      <c r="C319" s="183"/>
      <c r="D319" s="66"/>
      <c r="E319" s="66"/>
      <c r="F319" s="66"/>
      <c r="G319" s="66"/>
      <c r="H319" s="73"/>
      <c r="I319" s="87"/>
      <c r="J319" s="87"/>
      <c r="K319" s="91"/>
      <c r="L319" s="66"/>
      <c r="M319" s="66"/>
      <c r="N319" s="66"/>
      <c r="O319" s="66"/>
      <c r="Q319" s="72" t="s">
        <v>353</v>
      </c>
      <c r="R319" s="72"/>
    </row>
    <row r="320" spans="1:18" s="72" customFormat="1" ht="18.75" customHeight="1" x14ac:dyDescent="0.2">
      <c r="A320" s="70">
        <v>40244</v>
      </c>
      <c r="B320" s="70">
        <v>40258</v>
      </c>
      <c r="C320" s="182">
        <v>13100070</v>
      </c>
      <c r="D320" s="72" t="s">
        <v>2129</v>
      </c>
      <c r="E320" s="72" t="s">
        <v>19</v>
      </c>
      <c r="F320" s="72" t="s">
        <v>2282</v>
      </c>
      <c r="G320" s="72" t="s">
        <v>556</v>
      </c>
      <c r="H320" s="73" t="s">
        <v>349</v>
      </c>
      <c r="I320" s="107">
        <v>60.03</v>
      </c>
      <c r="J320" s="184"/>
      <c r="K320" s="76">
        <v>43.05</v>
      </c>
      <c r="L320" s="76"/>
      <c r="M320" s="70">
        <v>40400</v>
      </c>
      <c r="N320" s="89">
        <v>43321</v>
      </c>
      <c r="O320" s="185" t="s">
        <v>19</v>
      </c>
      <c r="P320" s="185" t="s">
        <v>2282</v>
      </c>
      <c r="Q320" s="72" t="s">
        <v>556</v>
      </c>
      <c r="R320" s="72" t="str">
        <f>VLOOKUP($Q320,[1]Tabelle1!$A$1:$B$3884,2,FALSE)</f>
        <v>m</v>
      </c>
    </row>
    <row r="321" spans="1:18" ht="18.75" customHeight="1" x14ac:dyDescent="0.2">
      <c r="A321" s="79"/>
      <c r="B321" s="79"/>
      <c r="C321" s="183"/>
      <c r="D321" s="66"/>
      <c r="E321" s="66" t="s">
        <v>2362</v>
      </c>
      <c r="F321" s="66" t="s">
        <v>2362</v>
      </c>
      <c r="G321" s="66" t="s">
        <v>2324</v>
      </c>
      <c r="H321" s="73" t="s">
        <v>349</v>
      </c>
      <c r="I321" s="115">
        <v>29.33</v>
      </c>
      <c r="J321" s="87"/>
      <c r="K321" s="91"/>
      <c r="L321" s="66"/>
      <c r="M321" s="66"/>
      <c r="N321" s="66"/>
      <c r="O321" s="66"/>
      <c r="Q321" s="72" t="s">
        <v>353</v>
      </c>
      <c r="R321" s="72"/>
    </row>
    <row r="322" spans="1:18" ht="18.75" customHeight="1" x14ac:dyDescent="0.2">
      <c r="A322" s="79"/>
      <c r="B322" s="79"/>
      <c r="C322" s="183"/>
      <c r="D322" s="66"/>
      <c r="E322" s="66" t="s">
        <v>2363</v>
      </c>
      <c r="F322" s="66" t="s">
        <v>2363</v>
      </c>
      <c r="G322" s="66" t="s">
        <v>2364</v>
      </c>
      <c r="H322" s="73" t="s">
        <v>419</v>
      </c>
      <c r="I322" s="115">
        <v>10.64</v>
      </c>
      <c r="J322" s="87"/>
      <c r="K322" s="91"/>
      <c r="L322" s="66"/>
      <c r="M322" s="66"/>
      <c r="N322" s="66"/>
      <c r="O322" s="66"/>
      <c r="Q322" s="72" t="s">
        <v>353</v>
      </c>
      <c r="R322" s="72"/>
    </row>
    <row r="323" spans="1:18" ht="18.75" customHeight="1" x14ac:dyDescent="0.2">
      <c r="A323" s="79"/>
      <c r="B323" s="79"/>
      <c r="C323" s="183"/>
      <c r="D323" s="66"/>
      <c r="E323" s="66" t="s">
        <v>353</v>
      </c>
      <c r="F323" s="66"/>
      <c r="G323" s="66"/>
      <c r="H323" s="73"/>
      <c r="I323" s="120" t="s">
        <v>353</v>
      </c>
      <c r="J323" s="87"/>
      <c r="K323" s="91"/>
      <c r="L323" s="66"/>
      <c r="M323" s="66"/>
      <c r="N323" s="66"/>
      <c r="O323" s="66"/>
      <c r="Q323" s="72" t="s">
        <v>353</v>
      </c>
      <c r="R323" s="72"/>
    </row>
    <row r="324" spans="1:18" s="72" customFormat="1" ht="18.75" customHeight="1" x14ac:dyDescent="0.2">
      <c r="A324" s="70">
        <v>40244</v>
      </c>
      <c r="B324" s="70">
        <v>40258</v>
      </c>
      <c r="C324" s="182">
        <v>33800017</v>
      </c>
      <c r="D324" s="72" t="s">
        <v>2144</v>
      </c>
      <c r="E324" s="72" t="s">
        <v>21</v>
      </c>
      <c r="F324" s="72" t="s">
        <v>2284</v>
      </c>
      <c r="G324" s="72" t="s">
        <v>389</v>
      </c>
      <c r="H324" s="73" t="s">
        <v>349</v>
      </c>
      <c r="I324" s="107">
        <v>64.34</v>
      </c>
      <c r="J324" s="184"/>
      <c r="K324" s="76">
        <v>51.75</v>
      </c>
      <c r="L324" s="76"/>
      <c r="M324" s="70">
        <v>40412</v>
      </c>
      <c r="N324" s="89">
        <v>43333</v>
      </c>
      <c r="O324" s="185" t="s">
        <v>21</v>
      </c>
      <c r="P324" s="185" t="s">
        <v>2284</v>
      </c>
      <c r="Q324" s="72" t="s">
        <v>389</v>
      </c>
      <c r="R324" s="72" t="str">
        <f>VLOOKUP($Q324,[1]Tabelle1!$A$1:$B$3884,2,FALSE)</f>
        <v>m</v>
      </c>
    </row>
    <row r="325" spans="1:18" ht="18.75" customHeight="1" x14ac:dyDescent="0.2">
      <c r="A325" s="79"/>
      <c r="B325" s="79"/>
      <c r="C325" s="183"/>
      <c r="D325" s="66"/>
      <c r="E325" s="66" t="s">
        <v>19</v>
      </c>
      <c r="F325" s="66" t="s">
        <v>2365</v>
      </c>
      <c r="G325" s="66" t="s">
        <v>2366</v>
      </c>
      <c r="H325" s="73" t="s">
        <v>419</v>
      </c>
      <c r="I325" s="115">
        <v>31.76</v>
      </c>
      <c r="J325" s="87"/>
      <c r="K325" s="91"/>
      <c r="L325" s="66"/>
      <c r="M325" s="66"/>
      <c r="N325" s="66"/>
      <c r="O325" s="66"/>
      <c r="Q325" s="72" t="s">
        <v>353</v>
      </c>
      <c r="R325" s="72"/>
    </row>
    <row r="326" spans="1:18" ht="18.75" customHeight="1" x14ac:dyDescent="0.2">
      <c r="A326" s="79"/>
      <c r="B326" s="79"/>
      <c r="C326" s="183"/>
      <c r="D326" s="66"/>
      <c r="E326" s="66" t="s">
        <v>98</v>
      </c>
      <c r="F326" s="66" t="s">
        <v>1235</v>
      </c>
      <c r="G326" s="66" t="s">
        <v>379</v>
      </c>
      <c r="H326" s="73" t="s">
        <v>349</v>
      </c>
      <c r="I326" s="115">
        <v>3.9</v>
      </c>
      <c r="J326" s="87"/>
      <c r="K326" s="91"/>
      <c r="L326" s="66"/>
      <c r="M326" s="66"/>
      <c r="N326" s="66"/>
      <c r="O326" s="66"/>
      <c r="Q326" s="72" t="s">
        <v>353</v>
      </c>
      <c r="R326" s="72"/>
    </row>
    <row r="327" spans="1:18" ht="18.75" customHeight="1" x14ac:dyDescent="0.2">
      <c r="A327" s="79"/>
      <c r="B327" s="79"/>
      <c r="C327" s="183"/>
      <c r="D327" s="66"/>
      <c r="E327" s="66"/>
      <c r="F327" s="66"/>
      <c r="G327" s="66"/>
      <c r="H327" s="73"/>
      <c r="I327" s="87"/>
      <c r="J327" s="87"/>
      <c r="K327" s="84"/>
      <c r="L327" s="84"/>
      <c r="M327" s="79"/>
      <c r="N327" s="91"/>
      <c r="O327" s="66"/>
      <c r="Q327" s="72" t="s">
        <v>353</v>
      </c>
      <c r="R327" s="72"/>
    </row>
    <row r="328" spans="1:18" s="72" customFormat="1" ht="18.75" customHeight="1" x14ac:dyDescent="0.2">
      <c r="A328" s="70">
        <v>40293</v>
      </c>
      <c r="B328" s="70">
        <v>40307</v>
      </c>
      <c r="C328" s="182">
        <v>13100007</v>
      </c>
      <c r="D328" s="72" t="s">
        <v>2367</v>
      </c>
      <c r="E328" s="72" t="s">
        <v>19</v>
      </c>
      <c r="F328" s="72" t="s">
        <v>2368</v>
      </c>
      <c r="G328" s="72" t="s">
        <v>1129</v>
      </c>
      <c r="H328" s="73" t="s">
        <v>349</v>
      </c>
      <c r="I328" s="107">
        <v>57.79</v>
      </c>
      <c r="J328" s="184"/>
      <c r="K328" s="76">
        <v>46.3</v>
      </c>
      <c r="L328" s="76"/>
      <c r="M328" s="70">
        <v>40391</v>
      </c>
      <c r="N328" s="89">
        <v>43312</v>
      </c>
      <c r="O328" s="185" t="s">
        <v>19</v>
      </c>
      <c r="P328" s="185" t="s">
        <v>2279</v>
      </c>
      <c r="Q328" s="72" t="s">
        <v>2280</v>
      </c>
      <c r="R328" s="72" t="s">
        <v>349</v>
      </c>
    </row>
    <row r="329" spans="1:18" ht="18.75" customHeight="1" x14ac:dyDescent="0.2">
      <c r="A329" s="79"/>
      <c r="B329" s="79"/>
      <c r="C329" s="183"/>
      <c r="D329" s="66"/>
      <c r="E329" s="66" t="s">
        <v>2369</v>
      </c>
      <c r="F329" s="66" t="s">
        <v>2369</v>
      </c>
      <c r="G329" s="66" t="s">
        <v>570</v>
      </c>
      <c r="H329" s="73" t="s">
        <v>349</v>
      </c>
      <c r="I329" s="115">
        <v>11.22</v>
      </c>
      <c r="J329" s="202"/>
      <c r="K329" s="66"/>
      <c r="L329" s="66"/>
      <c r="M329" s="66"/>
      <c r="N329" s="66"/>
      <c r="O329" s="66"/>
      <c r="Q329" s="72" t="s">
        <v>353</v>
      </c>
      <c r="R329" s="72"/>
    </row>
    <row r="330" spans="1:18" ht="18.75" customHeight="1" x14ac:dyDescent="0.2">
      <c r="A330" s="79"/>
      <c r="B330" s="79"/>
      <c r="C330" s="183"/>
      <c r="D330" s="66"/>
      <c r="E330" s="66" t="s">
        <v>55</v>
      </c>
      <c r="F330" s="66" t="s">
        <v>2370</v>
      </c>
      <c r="G330" s="66" t="s">
        <v>383</v>
      </c>
      <c r="H330" s="73" t="s">
        <v>349</v>
      </c>
      <c r="I330" s="115">
        <v>10.42</v>
      </c>
      <c r="J330" s="202"/>
      <c r="K330" s="66"/>
      <c r="L330" s="66"/>
      <c r="M330" s="66"/>
      <c r="N330" s="66"/>
      <c r="O330" s="66"/>
      <c r="Q330" s="72" t="s">
        <v>353</v>
      </c>
      <c r="R330" s="72"/>
    </row>
    <row r="331" spans="1:18" ht="18.75" customHeight="1" x14ac:dyDescent="0.2">
      <c r="A331" s="79"/>
      <c r="B331" s="79"/>
      <c r="C331" s="183"/>
      <c r="D331" s="66"/>
      <c r="E331" s="66" t="s">
        <v>2371</v>
      </c>
      <c r="F331" s="66" t="s">
        <v>2371</v>
      </c>
      <c r="G331" s="66" t="s">
        <v>889</v>
      </c>
      <c r="H331" s="73" t="s">
        <v>349</v>
      </c>
      <c r="I331" s="115">
        <v>9.9700000000000006</v>
      </c>
      <c r="J331" s="202"/>
      <c r="K331" s="66"/>
      <c r="L331" s="66"/>
      <c r="M331" s="66"/>
      <c r="N331" s="66"/>
      <c r="O331" s="66"/>
      <c r="Q331" s="72" t="s">
        <v>353</v>
      </c>
      <c r="R331" s="72"/>
    </row>
    <row r="332" spans="1:18" ht="18.75" customHeight="1" x14ac:dyDescent="0.2">
      <c r="A332" s="79"/>
      <c r="B332" s="79"/>
      <c r="C332" s="183"/>
      <c r="D332" s="66"/>
      <c r="E332" s="66" t="s">
        <v>2372</v>
      </c>
      <c r="F332" s="66" t="s">
        <v>2372</v>
      </c>
      <c r="G332" s="66" t="s">
        <v>629</v>
      </c>
      <c r="H332" s="73" t="s">
        <v>349</v>
      </c>
      <c r="I332" s="115">
        <v>8.69</v>
      </c>
      <c r="J332" s="202"/>
      <c r="K332" s="66"/>
      <c r="L332" s="66"/>
      <c r="M332" s="66"/>
      <c r="N332" s="66"/>
      <c r="O332" s="66"/>
      <c r="Q332" s="72" t="s">
        <v>353</v>
      </c>
      <c r="R332" s="72"/>
    </row>
    <row r="333" spans="1:18" ht="18.75" customHeight="1" x14ac:dyDescent="0.2">
      <c r="A333" s="79"/>
      <c r="B333" s="79"/>
      <c r="C333" s="183"/>
      <c r="D333" s="66"/>
      <c r="E333" s="66" t="s">
        <v>98</v>
      </c>
      <c r="F333" s="66" t="s">
        <v>2373</v>
      </c>
      <c r="G333" s="66" t="s">
        <v>348</v>
      </c>
      <c r="H333" s="73" t="s">
        <v>349</v>
      </c>
      <c r="I333" s="115">
        <v>1.91</v>
      </c>
      <c r="J333" s="202"/>
      <c r="K333" s="66"/>
      <c r="L333" s="66"/>
      <c r="M333" s="66"/>
      <c r="N333" s="66"/>
      <c r="O333" s="66"/>
      <c r="Q333" s="72" t="s">
        <v>353</v>
      </c>
      <c r="R333" s="72"/>
    </row>
    <row r="334" spans="1:18" ht="18.75" customHeight="1" x14ac:dyDescent="0.2">
      <c r="A334" s="79"/>
      <c r="B334" s="79"/>
      <c r="C334" s="183"/>
      <c r="D334" s="66"/>
      <c r="E334" s="66"/>
      <c r="F334" s="66"/>
      <c r="G334" s="66"/>
      <c r="H334" s="73"/>
      <c r="I334" s="87"/>
      <c r="J334" s="87"/>
      <c r="K334" s="84"/>
      <c r="L334" s="84"/>
      <c r="M334" s="79"/>
      <c r="N334" s="91"/>
      <c r="O334" s="66"/>
      <c r="Q334" s="72" t="s">
        <v>353</v>
      </c>
      <c r="R334" s="72"/>
    </row>
    <row r="335" spans="1:18" s="72" customFormat="1" ht="18.75" customHeight="1" x14ac:dyDescent="0.2">
      <c r="A335" s="70">
        <v>40314</v>
      </c>
      <c r="B335" s="70">
        <v>40328</v>
      </c>
      <c r="C335" s="182">
        <v>33800016</v>
      </c>
      <c r="D335" s="72" t="s">
        <v>2139</v>
      </c>
      <c r="E335" s="72" t="s">
        <v>19</v>
      </c>
      <c r="F335" s="72" t="s">
        <v>1531</v>
      </c>
      <c r="G335" s="72" t="s">
        <v>556</v>
      </c>
      <c r="H335" s="73" t="s">
        <v>349</v>
      </c>
      <c r="I335" s="107">
        <v>44.97</v>
      </c>
      <c r="J335" s="107">
        <v>53.34</v>
      </c>
      <c r="K335" s="76">
        <v>59.6</v>
      </c>
      <c r="L335" s="76">
        <v>56.38</v>
      </c>
      <c r="M335" s="70">
        <v>40430</v>
      </c>
      <c r="N335" s="89">
        <v>43351</v>
      </c>
      <c r="O335" s="185" t="s">
        <v>19</v>
      </c>
      <c r="P335" s="185" t="s">
        <v>2141</v>
      </c>
      <c r="Q335" s="72" t="s">
        <v>457</v>
      </c>
      <c r="R335" s="72" t="str">
        <f>VLOOKUP($Q335,[1]Tabelle1!$A$1:$B$3884,2,FALSE)</f>
        <v>m</v>
      </c>
    </row>
    <row r="336" spans="1:18" ht="18.75" customHeight="1" x14ac:dyDescent="0.2">
      <c r="A336" s="79"/>
      <c r="B336" s="79"/>
      <c r="C336" s="183"/>
      <c r="D336" s="66"/>
      <c r="E336" s="66" t="s">
        <v>21</v>
      </c>
      <c r="F336" s="66" t="s">
        <v>2283</v>
      </c>
      <c r="G336" s="66" t="s">
        <v>1188</v>
      </c>
      <c r="H336" s="73" t="s">
        <v>349</v>
      </c>
      <c r="I336" s="115">
        <v>35.97</v>
      </c>
      <c r="J336" s="115">
        <v>46.66</v>
      </c>
      <c r="K336" s="91"/>
      <c r="L336" s="66"/>
      <c r="M336" s="66"/>
      <c r="N336" s="66"/>
      <c r="O336" s="66"/>
      <c r="Q336" s="72" t="s">
        <v>353</v>
      </c>
      <c r="R336" s="72"/>
    </row>
    <row r="337" spans="1:18" ht="18.75" customHeight="1" x14ac:dyDescent="0.2">
      <c r="A337" s="79"/>
      <c r="B337" s="79"/>
      <c r="C337" s="102"/>
      <c r="D337" s="66"/>
      <c r="E337" s="66" t="s">
        <v>34</v>
      </c>
      <c r="F337" s="66" t="s">
        <v>2374</v>
      </c>
      <c r="G337" s="66" t="s">
        <v>1644</v>
      </c>
      <c r="H337" s="73" t="s">
        <v>349</v>
      </c>
      <c r="I337" s="115">
        <v>19.059999999999999</v>
      </c>
      <c r="J337" s="120"/>
      <c r="K337" s="66"/>
      <c r="L337" s="66"/>
      <c r="M337" s="66"/>
      <c r="N337" s="66"/>
      <c r="O337" s="66"/>
      <c r="Q337" s="72" t="s">
        <v>353</v>
      </c>
      <c r="R337" s="72"/>
    </row>
    <row r="338" spans="1:18" ht="18.75" customHeight="1" x14ac:dyDescent="0.2">
      <c r="A338" s="79"/>
      <c r="B338" s="79"/>
      <c r="C338" s="102"/>
      <c r="D338" s="66"/>
      <c r="E338" s="66"/>
      <c r="F338" s="66"/>
      <c r="G338" s="66"/>
      <c r="H338" s="73"/>
      <c r="I338" s="102"/>
      <c r="J338" s="66"/>
      <c r="K338" s="66"/>
      <c r="L338" s="66"/>
      <c r="M338" s="66"/>
      <c r="N338" s="66"/>
      <c r="O338" s="66"/>
      <c r="Q338" s="72" t="s">
        <v>353</v>
      </c>
      <c r="R338" s="72"/>
    </row>
    <row r="339" spans="1:18" s="72" customFormat="1" ht="18.75" customHeight="1" x14ac:dyDescent="0.2">
      <c r="A339" s="70">
        <v>40629</v>
      </c>
      <c r="B339" s="70">
        <v>40643</v>
      </c>
      <c r="C339" s="182">
        <v>13200050</v>
      </c>
      <c r="D339" s="72" t="s">
        <v>2375</v>
      </c>
      <c r="E339" s="72" t="s">
        <v>2174</v>
      </c>
      <c r="F339" s="72" t="s">
        <v>2174</v>
      </c>
      <c r="G339" s="72" t="s">
        <v>789</v>
      </c>
      <c r="H339" s="73" t="s">
        <v>349</v>
      </c>
      <c r="I339" s="107">
        <v>60</v>
      </c>
      <c r="J339" s="77"/>
      <c r="K339" s="76">
        <v>61.62</v>
      </c>
      <c r="L339" s="76"/>
      <c r="M339" s="70">
        <v>40878</v>
      </c>
      <c r="N339" s="89">
        <v>43799</v>
      </c>
      <c r="O339" s="185" t="s">
        <v>2174</v>
      </c>
      <c r="P339" s="185" t="s">
        <v>2174</v>
      </c>
      <c r="Q339" s="72" t="s">
        <v>789</v>
      </c>
      <c r="R339" s="72" t="str">
        <f>VLOOKUP($Q339,[1]Tabelle1!$A$1:$B$3884,2,FALSE)</f>
        <v>m</v>
      </c>
    </row>
    <row r="340" spans="1:18" ht="18.75" customHeight="1" x14ac:dyDescent="0.2">
      <c r="A340" s="79"/>
      <c r="B340" s="79"/>
      <c r="C340" s="183"/>
      <c r="D340" s="66"/>
      <c r="E340" s="66" t="s">
        <v>19</v>
      </c>
      <c r="F340" s="66" t="s">
        <v>2376</v>
      </c>
      <c r="G340" s="66" t="s">
        <v>889</v>
      </c>
      <c r="H340" s="73" t="s">
        <v>349</v>
      </c>
      <c r="I340" s="115">
        <v>40</v>
      </c>
      <c r="J340" s="79"/>
      <c r="K340" s="91"/>
      <c r="L340" s="66"/>
      <c r="M340" s="66"/>
      <c r="N340" s="66"/>
      <c r="O340" s="66"/>
      <c r="Q340" s="72" t="s">
        <v>353</v>
      </c>
      <c r="R340" s="72"/>
    </row>
    <row r="341" spans="1:18" ht="18.75" customHeight="1" x14ac:dyDescent="0.2">
      <c r="A341" s="79"/>
      <c r="B341" s="79"/>
      <c r="C341" s="183"/>
      <c r="D341" s="66"/>
      <c r="E341" s="66"/>
      <c r="F341" s="66"/>
      <c r="G341" s="66"/>
      <c r="H341" s="73"/>
      <c r="I341" s="84"/>
      <c r="J341" s="79"/>
      <c r="K341" s="91"/>
      <c r="L341" s="66"/>
      <c r="M341" s="66"/>
      <c r="N341" s="66"/>
      <c r="O341" s="66"/>
      <c r="Q341" s="72" t="s">
        <v>353</v>
      </c>
      <c r="R341" s="72"/>
    </row>
    <row r="342" spans="1:18" s="72" customFormat="1" ht="18.75" customHeight="1" x14ac:dyDescent="0.2">
      <c r="A342" s="70">
        <v>40629</v>
      </c>
      <c r="B342" s="70">
        <v>40643</v>
      </c>
      <c r="C342" s="182">
        <v>13300006</v>
      </c>
      <c r="D342" s="72" t="s">
        <v>2377</v>
      </c>
      <c r="E342" s="72" t="s">
        <v>21</v>
      </c>
      <c r="F342" s="72" t="s">
        <v>2378</v>
      </c>
      <c r="G342" s="72" t="s">
        <v>1120</v>
      </c>
      <c r="H342" s="73" t="s">
        <v>419</v>
      </c>
      <c r="I342" s="107">
        <v>41.9</v>
      </c>
      <c r="J342" s="107">
        <v>56.07</v>
      </c>
      <c r="K342" s="76">
        <v>52.9</v>
      </c>
      <c r="L342" s="76">
        <v>42.42</v>
      </c>
      <c r="M342" s="70">
        <v>40727</v>
      </c>
      <c r="N342" s="194">
        <v>41820</v>
      </c>
      <c r="O342" s="185" t="s">
        <v>19</v>
      </c>
      <c r="P342" s="185" t="s">
        <v>669</v>
      </c>
      <c r="Q342" s="72" t="s">
        <v>1188</v>
      </c>
      <c r="R342" s="72" t="str">
        <f>VLOOKUP($Q342,[1]Tabelle1!$A$1:$B$3884,2,FALSE)</f>
        <v>m</v>
      </c>
    </row>
    <row r="343" spans="1:18" ht="18.75" customHeight="1" x14ac:dyDescent="0.2">
      <c r="A343" s="79"/>
      <c r="B343" s="79"/>
      <c r="C343" s="183"/>
      <c r="D343" s="66"/>
      <c r="E343" s="66" t="s">
        <v>19</v>
      </c>
      <c r="F343" s="66" t="s">
        <v>669</v>
      </c>
      <c r="G343" s="66" t="s">
        <v>1188</v>
      </c>
      <c r="H343" s="73" t="s">
        <v>349</v>
      </c>
      <c r="I343" s="115">
        <v>42.1</v>
      </c>
      <c r="J343" s="115">
        <v>43.93</v>
      </c>
      <c r="K343" s="91"/>
      <c r="L343" s="66"/>
      <c r="M343" s="66"/>
      <c r="N343" s="66"/>
      <c r="O343" s="66"/>
      <c r="Q343" s="72" t="s">
        <v>353</v>
      </c>
      <c r="R343" s="72"/>
    </row>
    <row r="344" spans="1:18" ht="18.75" customHeight="1" x14ac:dyDescent="0.2">
      <c r="A344" s="79"/>
      <c r="B344" s="79"/>
      <c r="C344" s="183"/>
      <c r="D344" s="66"/>
      <c r="E344" s="66" t="s">
        <v>2379</v>
      </c>
      <c r="F344" s="66" t="s">
        <v>2379</v>
      </c>
      <c r="G344" s="66" t="s">
        <v>570</v>
      </c>
      <c r="H344" s="73" t="s">
        <v>349</v>
      </c>
      <c r="I344" s="115">
        <v>11.76</v>
      </c>
      <c r="J344" s="79"/>
      <c r="K344" s="91"/>
      <c r="L344" s="66"/>
      <c r="M344" s="66"/>
      <c r="N344" s="66"/>
      <c r="O344" s="66"/>
      <c r="Q344" s="72" t="s">
        <v>353</v>
      </c>
      <c r="R344" s="72"/>
    </row>
    <row r="345" spans="1:18" ht="18.75" customHeight="1" x14ac:dyDescent="0.2">
      <c r="A345" s="79"/>
      <c r="B345" s="79"/>
      <c r="C345" s="183"/>
      <c r="D345" s="66"/>
      <c r="E345" s="66" t="s">
        <v>55</v>
      </c>
      <c r="F345" s="66" t="s">
        <v>2295</v>
      </c>
      <c r="G345" s="66" t="s">
        <v>416</v>
      </c>
      <c r="H345" s="73" t="s">
        <v>349</v>
      </c>
      <c r="I345" s="115">
        <v>4.25</v>
      </c>
      <c r="J345" s="79"/>
      <c r="K345" s="91"/>
      <c r="L345" s="66"/>
      <c r="M345" s="66"/>
      <c r="N345" s="66"/>
      <c r="O345" s="66"/>
      <c r="Q345" s="72" t="s">
        <v>353</v>
      </c>
      <c r="R345" s="72"/>
    </row>
    <row r="346" spans="1:18" ht="18.75" customHeight="1" x14ac:dyDescent="0.2">
      <c r="A346" s="79"/>
      <c r="B346" s="79"/>
      <c r="C346" s="183"/>
      <c r="D346" s="66"/>
      <c r="E346" s="66"/>
      <c r="F346" s="66"/>
      <c r="G346" s="66"/>
      <c r="H346" s="73"/>
      <c r="I346" s="84"/>
      <c r="J346" s="79"/>
      <c r="K346" s="91"/>
      <c r="L346" s="66"/>
      <c r="M346" s="66"/>
      <c r="N346" s="66"/>
      <c r="O346" s="66"/>
      <c r="Q346" s="72" t="s">
        <v>353</v>
      </c>
      <c r="R346" s="72"/>
    </row>
    <row r="347" spans="1:18" s="72" customFormat="1" ht="18.75" customHeight="1" x14ac:dyDescent="0.2">
      <c r="A347" s="70">
        <v>40629</v>
      </c>
      <c r="B347" s="70">
        <v>40643</v>
      </c>
      <c r="C347" s="182">
        <v>33800025</v>
      </c>
      <c r="D347" s="72" t="s">
        <v>2163</v>
      </c>
      <c r="E347" s="72" t="s">
        <v>34</v>
      </c>
      <c r="F347" s="72" t="s">
        <v>2380</v>
      </c>
      <c r="G347" s="72" t="s">
        <v>2381</v>
      </c>
      <c r="H347" s="73" t="s">
        <v>419</v>
      </c>
      <c r="I347" s="107">
        <v>37.92</v>
      </c>
      <c r="J347" s="107">
        <v>63.43</v>
      </c>
      <c r="K347" s="76">
        <v>63.66</v>
      </c>
      <c r="L347" s="76">
        <v>52.29</v>
      </c>
      <c r="M347" s="70">
        <v>40867</v>
      </c>
      <c r="N347" s="89">
        <v>43788</v>
      </c>
      <c r="O347" s="185" t="s">
        <v>55</v>
      </c>
      <c r="P347" s="185" t="s">
        <v>2297</v>
      </c>
      <c r="Q347" s="72" t="s">
        <v>358</v>
      </c>
      <c r="R347" s="72" t="str">
        <f>VLOOKUP($Q347,[1]Tabelle1!$A$1:$B$3884,2,FALSE)</f>
        <v>m</v>
      </c>
    </row>
    <row r="348" spans="1:18" ht="18.75" customHeight="1" x14ac:dyDescent="0.2">
      <c r="A348" s="79"/>
      <c r="B348" s="79"/>
      <c r="C348" s="183"/>
      <c r="D348" s="66"/>
      <c r="E348" s="66" t="s">
        <v>19</v>
      </c>
      <c r="F348" s="66" t="s">
        <v>2298</v>
      </c>
      <c r="G348" s="66" t="s">
        <v>854</v>
      </c>
      <c r="H348" s="73" t="s">
        <v>349</v>
      </c>
      <c r="I348" s="115">
        <v>29.91</v>
      </c>
      <c r="J348" s="115">
        <v>36.57</v>
      </c>
      <c r="K348" s="91"/>
      <c r="L348" s="66"/>
      <c r="M348" s="66"/>
      <c r="N348" s="66"/>
      <c r="O348" s="66"/>
      <c r="Q348" s="72" t="s">
        <v>353</v>
      </c>
      <c r="R348" s="72"/>
    </row>
    <row r="349" spans="1:18" ht="18.75" customHeight="1" x14ac:dyDescent="0.2">
      <c r="A349" s="79"/>
      <c r="B349" s="79"/>
      <c r="C349" s="183"/>
      <c r="D349" s="66"/>
      <c r="E349" s="66" t="s">
        <v>368</v>
      </c>
      <c r="F349" s="66" t="s">
        <v>368</v>
      </c>
      <c r="G349" s="66" t="s">
        <v>629</v>
      </c>
      <c r="H349" s="73" t="s">
        <v>349</v>
      </c>
      <c r="I349" s="115">
        <v>16.63</v>
      </c>
      <c r="J349" s="79"/>
      <c r="K349" s="91"/>
      <c r="L349" s="66"/>
      <c r="M349" s="66"/>
      <c r="N349" s="66"/>
      <c r="O349" s="66"/>
      <c r="Q349" s="72" t="s">
        <v>353</v>
      </c>
      <c r="R349" s="72"/>
    </row>
    <row r="350" spans="1:18" ht="18.75" customHeight="1" x14ac:dyDescent="0.2">
      <c r="A350" s="79"/>
      <c r="B350" s="79"/>
      <c r="C350" s="183"/>
      <c r="D350" s="66"/>
      <c r="E350" s="66" t="s">
        <v>21</v>
      </c>
      <c r="F350" s="66" t="s">
        <v>1957</v>
      </c>
      <c r="G350" s="66" t="s">
        <v>476</v>
      </c>
      <c r="H350" s="73" t="s">
        <v>349</v>
      </c>
      <c r="I350" s="115">
        <v>15.53</v>
      </c>
      <c r="J350" s="102"/>
      <c r="K350" s="91"/>
      <c r="L350" s="66"/>
      <c r="M350" s="66"/>
      <c r="N350" s="66"/>
      <c r="O350" s="66"/>
      <c r="Q350" s="72" t="s">
        <v>353</v>
      </c>
      <c r="R350" s="72"/>
    </row>
    <row r="351" spans="1:18" ht="18.75" customHeight="1" x14ac:dyDescent="0.2">
      <c r="A351" s="79"/>
      <c r="B351" s="79"/>
      <c r="C351" s="183"/>
      <c r="D351" s="66"/>
      <c r="E351" s="66"/>
      <c r="F351" s="66"/>
      <c r="G351" s="66"/>
      <c r="H351" s="73"/>
      <c r="I351" s="84"/>
      <c r="J351" s="79"/>
      <c r="K351" s="91"/>
      <c r="L351" s="66"/>
      <c r="M351" s="66"/>
      <c r="N351" s="66"/>
      <c r="O351" s="66"/>
      <c r="Q351" s="72" t="s">
        <v>353</v>
      </c>
      <c r="R351" s="72"/>
    </row>
    <row r="352" spans="1:18" s="72" customFormat="1" ht="18.75" customHeight="1" x14ac:dyDescent="0.2">
      <c r="A352" s="70">
        <v>40762</v>
      </c>
      <c r="B352" s="70">
        <v>40776</v>
      </c>
      <c r="C352" s="182">
        <v>23100502</v>
      </c>
      <c r="D352" s="72" t="s">
        <v>2199</v>
      </c>
      <c r="E352" s="72" t="s">
        <v>19</v>
      </c>
      <c r="F352" s="72" t="s">
        <v>2382</v>
      </c>
      <c r="G352" s="72" t="s">
        <v>1188</v>
      </c>
      <c r="H352" s="73" t="s">
        <v>349</v>
      </c>
      <c r="I352" s="107">
        <v>77.62</v>
      </c>
      <c r="J352" s="77"/>
      <c r="K352" s="76">
        <v>48.6</v>
      </c>
      <c r="L352" s="76"/>
      <c r="M352" s="70">
        <v>40787</v>
      </c>
      <c r="N352" s="89">
        <v>43708</v>
      </c>
      <c r="O352" s="185" t="s">
        <v>2200</v>
      </c>
      <c r="P352" s="185" t="s">
        <v>2200</v>
      </c>
      <c r="Q352" s="72" t="s">
        <v>2201</v>
      </c>
      <c r="R352" s="72" t="str">
        <f>VLOOKUP($Q352,[1]Tabelle1!$A$1:$B$3884,2,FALSE)</f>
        <v>m</v>
      </c>
    </row>
    <row r="353" spans="1:18" ht="18.75" customHeight="1" x14ac:dyDescent="0.2">
      <c r="A353" s="79"/>
      <c r="B353" s="79"/>
      <c r="C353" s="183"/>
      <c r="D353" s="66"/>
      <c r="E353" s="66" t="s">
        <v>2383</v>
      </c>
      <c r="F353" s="66" t="s">
        <v>2383</v>
      </c>
      <c r="G353" s="66" t="s">
        <v>2384</v>
      </c>
      <c r="H353" s="73" t="s">
        <v>349</v>
      </c>
      <c r="I353" s="115">
        <v>22.38</v>
      </c>
      <c r="J353" s="79"/>
      <c r="K353" s="91"/>
      <c r="L353" s="66"/>
      <c r="M353" s="66"/>
      <c r="N353" s="66"/>
      <c r="O353" s="66"/>
      <c r="Q353" s="72" t="s">
        <v>353</v>
      </c>
      <c r="R353" s="72"/>
    </row>
    <row r="354" spans="1:18" ht="18.75" customHeight="1" x14ac:dyDescent="0.2">
      <c r="A354" s="79"/>
      <c r="B354" s="79"/>
      <c r="C354" s="183"/>
      <c r="D354" s="66"/>
      <c r="E354" s="66"/>
      <c r="F354" s="66"/>
      <c r="G354" s="66"/>
      <c r="H354" s="73"/>
      <c r="I354" s="84"/>
      <c r="J354" s="79"/>
      <c r="K354" s="91"/>
      <c r="L354" s="66"/>
      <c r="M354" s="66"/>
      <c r="N354" s="66"/>
      <c r="O354" s="66"/>
      <c r="Q354" s="72" t="s">
        <v>353</v>
      </c>
      <c r="R354" s="72"/>
    </row>
    <row r="355" spans="1:18" s="72" customFormat="1" ht="18.75" customHeight="1" x14ac:dyDescent="0.2">
      <c r="A355" s="70">
        <v>40783</v>
      </c>
      <c r="B355" s="70">
        <v>40797</v>
      </c>
      <c r="C355" s="182">
        <v>33900030</v>
      </c>
      <c r="D355" s="72" t="s">
        <v>2167</v>
      </c>
      <c r="E355" s="72" t="s">
        <v>21</v>
      </c>
      <c r="F355" s="72" t="s">
        <v>2153</v>
      </c>
      <c r="G355" s="72" t="s">
        <v>547</v>
      </c>
      <c r="H355" s="73" t="s">
        <v>349</v>
      </c>
      <c r="I355" s="107">
        <v>52.44</v>
      </c>
      <c r="J355" s="77"/>
      <c r="K355" s="76">
        <v>54.89</v>
      </c>
      <c r="L355" s="76"/>
      <c r="M355" s="70">
        <v>40924</v>
      </c>
      <c r="N355" s="89">
        <v>43845</v>
      </c>
      <c r="O355" s="185" t="s">
        <v>19</v>
      </c>
      <c r="P355" s="185" t="s">
        <v>2168</v>
      </c>
      <c r="Q355" s="72" t="s">
        <v>1005</v>
      </c>
      <c r="R355" s="72" t="str">
        <f>VLOOKUP($Q355,[1]Tabelle1!$A$1:$B$3884,2,FALSE)</f>
        <v>m</v>
      </c>
    </row>
    <row r="356" spans="1:18" ht="18.75" customHeight="1" x14ac:dyDescent="0.2">
      <c r="A356" s="79"/>
      <c r="B356" s="79"/>
      <c r="C356" s="183"/>
      <c r="D356" s="66"/>
      <c r="E356" s="66" t="s">
        <v>19</v>
      </c>
      <c r="F356" s="66" t="s">
        <v>2385</v>
      </c>
      <c r="G356" s="66" t="s">
        <v>1102</v>
      </c>
      <c r="H356" s="73" t="s">
        <v>419</v>
      </c>
      <c r="I356" s="115">
        <v>39.25</v>
      </c>
      <c r="J356" s="79"/>
      <c r="K356" s="91"/>
      <c r="L356" s="66"/>
      <c r="M356" s="66"/>
      <c r="N356" s="66"/>
      <c r="O356" s="66"/>
      <c r="Q356" s="72" t="s">
        <v>353</v>
      </c>
      <c r="R356" s="72"/>
    </row>
    <row r="357" spans="1:18" ht="18.75" customHeight="1" x14ac:dyDescent="0.2">
      <c r="A357" s="79"/>
      <c r="B357" s="79"/>
      <c r="C357" s="183"/>
      <c r="D357" s="66"/>
      <c r="E357" s="66" t="s">
        <v>2386</v>
      </c>
      <c r="F357" s="66" t="s">
        <v>2386</v>
      </c>
      <c r="G357" s="66" t="s">
        <v>2249</v>
      </c>
      <c r="H357" s="73" t="s">
        <v>349</v>
      </c>
      <c r="I357" s="115">
        <v>7.15</v>
      </c>
      <c r="J357" s="79"/>
      <c r="K357" s="91"/>
      <c r="L357" s="66"/>
      <c r="M357" s="66"/>
      <c r="N357" s="66"/>
      <c r="O357" s="66"/>
      <c r="Q357" s="72" t="s">
        <v>353</v>
      </c>
      <c r="R357" s="72"/>
    </row>
    <row r="358" spans="1:18" ht="18.75" customHeight="1" x14ac:dyDescent="0.2">
      <c r="A358" s="79"/>
      <c r="B358" s="79"/>
      <c r="C358" s="183"/>
      <c r="D358" s="66"/>
      <c r="E358" s="66" t="s">
        <v>2387</v>
      </c>
      <c r="F358" s="66" t="s">
        <v>2387</v>
      </c>
      <c r="G358" s="66" t="s">
        <v>360</v>
      </c>
      <c r="H358" s="73" t="s">
        <v>349</v>
      </c>
      <c r="I358" s="115">
        <v>1.1599999999999999</v>
      </c>
      <c r="J358" s="79"/>
      <c r="K358" s="91"/>
      <c r="L358" s="66"/>
      <c r="M358" s="66"/>
      <c r="N358" s="66"/>
      <c r="O358" s="66"/>
      <c r="Q358" s="72" t="s">
        <v>353</v>
      </c>
      <c r="R358" s="72"/>
    </row>
    <row r="359" spans="1:18" ht="18.75" customHeight="1" x14ac:dyDescent="0.2">
      <c r="A359" s="79"/>
      <c r="B359" s="79"/>
      <c r="C359" s="183"/>
      <c r="D359" s="66"/>
      <c r="E359" s="66"/>
      <c r="F359" s="66"/>
      <c r="G359" s="66"/>
      <c r="H359" s="73"/>
      <c r="I359" s="84"/>
      <c r="J359" s="79"/>
      <c r="K359" s="91"/>
      <c r="L359" s="66"/>
      <c r="M359" s="66"/>
      <c r="N359" s="66"/>
      <c r="O359" s="66"/>
      <c r="Q359" s="72" t="s">
        <v>353</v>
      </c>
      <c r="R359" s="72"/>
    </row>
    <row r="360" spans="1:18" s="72" customFormat="1" ht="18.75" customHeight="1" x14ac:dyDescent="0.2">
      <c r="A360" s="70">
        <v>40930</v>
      </c>
      <c r="B360" s="70">
        <v>40944</v>
      </c>
      <c r="C360" s="182">
        <v>33200025</v>
      </c>
      <c r="D360" s="72" t="s">
        <v>2182</v>
      </c>
      <c r="E360" s="72" t="s">
        <v>19</v>
      </c>
      <c r="F360" s="72" t="s">
        <v>2302</v>
      </c>
      <c r="G360" s="72" t="s">
        <v>2280</v>
      </c>
      <c r="H360" s="73" t="s">
        <v>349</v>
      </c>
      <c r="I360" s="107">
        <v>71.69</v>
      </c>
      <c r="J360" s="77"/>
      <c r="K360" s="76">
        <v>45.96</v>
      </c>
      <c r="L360" s="76"/>
      <c r="M360" s="70">
        <v>41122</v>
      </c>
      <c r="N360" s="68">
        <v>41450</v>
      </c>
      <c r="O360" s="185" t="s">
        <v>19</v>
      </c>
      <c r="P360" s="185" t="s">
        <v>2302</v>
      </c>
      <c r="Q360" s="72" t="s">
        <v>2280</v>
      </c>
      <c r="R360" s="72" t="s">
        <v>349</v>
      </c>
    </row>
    <row r="361" spans="1:18" ht="18.75" customHeight="1" x14ac:dyDescent="0.2">
      <c r="A361" s="79"/>
      <c r="B361" s="79"/>
      <c r="C361" s="183"/>
      <c r="D361" s="66"/>
      <c r="E361" s="66" t="s">
        <v>21</v>
      </c>
      <c r="F361" s="66" t="s">
        <v>1590</v>
      </c>
      <c r="G361" s="66" t="s">
        <v>352</v>
      </c>
      <c r="H361" s="73" t="s">
        <v>349</v>
      </c>
      <c r="I361" s="115">
        <v>28.31</v>
      </c>
      <c r="J361" s="79"/>
      <c r="K361" s="91"/>
      <c r="L361" s="66"/>
      <c r="M361" s="66"/>
      <c r="N361" s="66"/>
      <c r="O361" s="66"/>
      <c r="Q361" s="72" t="s">
        <v>353</v>
      </c>
      <c r="R361" s="72"/>
    </row>
    <row r="362" spans="1:18" ht="18.75" customHeight="1" x14ac:dyDescent="0.2">
      <c r="A362" s="79"/>
      <c r="B362" s="79"/>
      <c r="C362" s="183"/>
      <c r="D362" s="66"/>
      <c r="E362" s="66"/>
      <c r="F362" s="66"/>
      <c r="G362" s="66"/>
      <c r="H362" s="73"/>
      <c r="I362" s="84"/>
      <c r="J362" s="79"/>
      <c r="K362" s="91"/>
      <c r="L362" s="66"/>
      <c r="M362" s="66"/>
      <c r="N362" s="66"/>
      <c r="O362" s="66"/>
      <c r="Q362" s="72" t="s">
        <v>353</v>
      </c>
      <c r="R362" s="72"/>
    </row>
    <row r="363" spans="1:18" s="72" customFormat="1" ht="18.75" customHeight="1" x14ac:dyDescent="0.2">
      <c r="A363" s="70">
        <v>40972</v>
      </c>
      <c r="B363" s="70">
        <v>40986</v>
      </c>
      <c r="C363" s="182">
        <v>33800001</v>
      </c>
      <c r="D363" s="72" t="s">
        <v>2219</v>
      </c>
      <c r="E363" s="72" t="s">
        <v>1028</v>
      </c>
      <c r="F363" s="72" t="s">
        <v>1028</v>
      </c>
      <c r="G363" s="72" t="s">
        <v>477</v>
      </c>
      <c r="H363" s="73" t="s">
        <v>349</v>
      </c>
      <c r="I363" s="107">
        <v>91.67</v>
      </c>
      <c r="J363" s="77"/>
      <c r="K363" s="76">
        <v>38.22</v>
      </c>
      <c r="L363" s="76"/>
      <c r="M363" s="70">
        <v>41091</v>
      </c>
      <c r="N363" s="194">
        <v>42185</v>
      </c>
      <c r="O363" s="185" t="s">
        <v>55</v>
      </c>
      <c r="P363" s="185" t="s">
        <v>1028</v>
      </c>
      <c r="Q363" s="72" t="s">
        <v>477</v>
      </c>
      <c r="R363" s="72" t="str">
        <f>VLOOKUP($Q363,[1]Tabelle1!$A$1:$B$3884,2,FALSE)</f>
        <v>m</v>
      </c>
    </row>
    <row r="364" spans="1:18" ht="18.75" customHeight="1" x14ac:dyDescent="0.2">
      <c r="A364" s="79"/>
      <c r="B364" s="79"/>
      <c r="C364" s="183"/>
      <c r="D364" s="66"/>
      <c r="E364" s="66"/>
      <c r="F364" s="66"/>
      <c r="G364" s="66"/>
      <c r="H364" s="73"/>
      <c r="I364" s="84"/>
      <c r="J364" s="79"/>
      <c r="K364" s="91"/>
      <c r="L364" s="66"/>
      <c r="M364" s="66"/>
      <c r="N364" s="66"/>
      <c r="O364" s="66"/>
      <c r="Q364" s="72" t="s">
        <v>353</v>
      </c>
      <c r="R364" s="72"/>
    </row>
    <row r="365" spans="1:18" s="72" customFormat="1" ht="18.75" customHeight="1" x14ac:dyDescent="0.2">
      <c r="A365" s="70">
        <v>41021</v>
      </c>
      <c r="B365" s="70">
        <v>41035</v>
      </c>
      <c r="C365" s="182">
        <v>33900005</v>
      </c>
      <c r="D365" s="72" t="s">
        <v>2388</v>
      </c>
      <c r="E365" s="72" t="s">
        <v>19</v>
      </c>
      <c r="F365" s="72" t="s">
        <v>437</v>
      </c>
      <c r="G365" s="72" t="s">
        <v>476</v>
      </c>
      <c r="H365" s="73" t="s">
        <v>349</v>
      </c>
      <c r="I365" s="107">
        <v>51.78</v>
      </c>
      <c r="J365" s="77"/>
      <c r="K365" s="76">
        <v>50.33</v>
      </c>
      <c r="L365" s="76"/>
      <c r="M365" s="70">
        <v>41061</v>
      </c>
      <c r="N365" s="89">
        <v>43982</v>
      </c>
      <c r="O365" s="185" t="s">
        <v>19</v>
      </c>
      <c r="P365" s="185" t="s">
        <v>2178</v>
      </c>
      <c r="Q365" s="72" t="s">
        <v>1567</v>
      </c>
      <c r="R365" s="72" t="str">
        <f>VLOOKUP($Q365,[1]Tabelle1!$A$1:$B$3884,2,FALSE)</f>
        <v>w</v>
      </c>
    </row>
    <row r="366" spans="1:18" ht="18.75" customHeight="1" x14ac:dyDescent="0.2">
      <c r="A366" s="79"/>
      <c r="B366" s="79"/>
      <c r="C366" s="183"/>
      <c r="D366" s="66"/>
      <c r="E366" s="66" t="s">
        <v>21</v>
      </c>
      <c r="F366" s="66" t="s">
        <v>2389</v>
      </c>
      <c r="G366" s="66" t="s">
        <v>383</v>
      </c>
      <c r="H366" s="73" t="s">
        <v>349</v>
      </c>
      <c r="I366" s="115">
        <v>44.45</v>
      </c>
      <c r="J366" s="79"/>
      <c r="K366" s="91"/>
      <c r="L366" s="66"/>
      <c r="M366" s="66"/>
      <c r="N366" s="66"/>
      <c r="O366" s="66"/>
      <c r="Q366" s="72" t="s">
        <v>353</v>
      </c>
      <c r="R366" s="72"/>
    </row>
    <row r="367" spans="1:18" ht="18.75" customHeight="1" x14ac:dyDescent="0.2">
      <c r="A367" s="79"/>
      <c r="B367" s="79"/>
      <c r="C367" s="183"/>
      <c r="D367" s="66"/>
      <c r="E367" s="66" t="s">
        <v>2390</v>
      </c>
      <c r="F367" s="66" t="s">
        <v>2390</v>
      </c>
      <c r="G367" s="66" t="s">
        <v>392</v>
      </c>
      <c r="H367" s="73" t="s">
        <v>349</v>
      </c>
      <c r="I367" s="115">
        <v>3.77</v>
      </c>
      <c r="J367" s="79"/>
      <c r="K367" s="91"/>
      <c r="L367" s="66"/>
      <c r="M367" s="66"/>
      <c r="N367" s="66"/>
      <c r="O367" s="66"/>
      <c r="Q367" s="72" t="s">
        <v>353</v>
      </c>
      <c r="R367" s="72"/>
    </row>
    <row r="368" spans="1:18" ht="18.75" customHeight="1" x14ac:dyDescent="0.2">
      <c r="A368" s="79"/>
      <c r="B368" s="79"/>
      <c r="C368" s="183"/>
      <c r="D368" s="66"/>
      <c r="E368" s="66"/>
      <c r="F368" s="66"/>
      <c r="G368" s="66"/>
      <c r="H368" s="73"/>
      <c r="I368" s="84"/>
      <c r="J368" s="79"/>
      <c r="K368" s="91"/>
      <c r="L368" s="66"/>
      <c r="M368" s="66"/>
      <c r="N368" s="66"/>
      <c r="O368" s="66"/>
      <c r="Q368" s="72" t="s">
        <v>353</v>
      </c>
      <c r="R368" s="72"/>
    </row>
    <row r="369" spans="1:19" s="72" customFormat="1" ht="18.75" customHeight="1" x14ac:dyDescent="0.2">
      <c r="A369" s="70">
        <v>41035</v>
      </c>
      <c r="B369" s="70">
        <v>41049</v>
      </c>
      <c r="C369" s="182">
        <v>13100090</v>
      </c>
      <c r="D369" s="72" t="s">
        <v>2187</v>
      </c>
      <c r="E369" s="72" t="s">
        <v>19</v>
      </c>
      <c r="F369" s="72" t="s">
        <v>2311</v>
      </c>
      <c r="G369" s="72" t="s">
        <v>464</v>
      </c>
      <c r="H369" s="73" t="s">
        <v>349</v>
      </c>
      <c r="I369" s="107">
        <v>91.63</v>
      </c>
      <c r="J369" s="77"/>
      <c r="K369" s="76">
        <v>30.66</v>
      </c>
      <c r="L369" s="76"/>
      <c r="M369" s="70">
        <v>41306</v>
      </c>
      <c r="N369" s="89">
        <v>44227</v>
      </c>
      <c r="O369" s="185" t="s">
        <v>19</v>
      </c>
      <c r="P369" s="185" t="s">
        <v>2311</v>
      </c>
      <c r="Q369" s="72" t="s">
        <v>464</v>
      </c>
      <c r="R369" s="72" t="str">
        <f>VLOOKUP($Q369,[1]Tabelle1!$A$1:$B$3884,2,FALSE)</f>
        <v>m</v>
      </c>
    </row>
    <row r="370" spans="1:19" ht="18.75" customHeight="1" x14ac:dyDescent="0.2">
      <c r="A370" s="79"/>
      <c r="B370" s="79"/>
      <c r="C370" s="183"/>
      <c r="D370" s="66"/>
      <c r="E370" s="66"/>
      <c r="F370" s="66"/>
      <c r="G370" s="66"/>
      <c r="H370" s="73"/>
      <c r="I370" s="84"/>
      <c r="J370" s="79"/>
      <c r="K370" s="91"/>
      <c r="L370" s="66"/>
      <c r="M370" s="66"/>
      <c r="N370" s="66"/>
      <c r="O370" s="66"/>
      <c r="Q370" s="72" t="s">
        <v>353</v>
      </c>
      <c r="R370" s="72"/>
    </row>
    <row r="371" spans="1:19" s="72" customFormat="1" ht="18.75" customHeight="1" x14ac:dyDescent="0.2">
      <c r="A371" s="70">
        <v>41147</v>
      </c>
      <c r="B371" s="70">
        <v>41161</v>
      </c>
      <c r="C371" s="182">
        <v>13700068</v>
      </c>
      <c r="D371" s="72" t="s">
        <v>2245</v>
      </c>
      <c r="E371" s="72" t="s">
        <v>34</v>
      </c>
      <c r="F371" s="72" t="s">
        <v>2391</v>
      </c>
      <c r="G371" s="72" t="s">
        <v>348</v>
      </c>
      <c r="H371" s="73" t="s">
        <v>349</v>
      </c>
      <c r="I371" s="107">
        <v>26.18</v>
      </c>
      <c r="J371" s="107">
        <v>56.3</v>
      </c>
      <c r="K371" s="76">
        <v>50.79</v>
      </c>
      <c r="L371" s="76">
        <v>45.47</v>
      </c>
      <c r="M371" s="70">
        <v>41218</v>
      </c>
      <c r="N371" s="89">
        <v>44139</v>
      </c>
      <c r="O371" s="72" t="s">
        <v>19</v>
      </c>
      <c r="P371" s="72" t="s">
        <v>830</v>
      </c>
      <c r="Q371" s="72" t="s">
        <v>2339</v>
      </c>
      <c r="R371" s="72" t="str">
        <f>VLOOKUP($Q371,[1]Tabelle1!$A$1:$B$3884,2,FALSE)</f>
        <v>w</v>
      </c>
    </row>
    <row r="372" spans="1:19" ht="18.75" customHeight="1" x14ac:dyDescent="0.2">
      <c r="A372" s="79"/>
      <c r="B372" s="79"/>
      <c r="C372" s="183"/>
      <c r="D372" s="66"/>
      <c r="E372" s="66" t="s">
        <v>19</v>
      </c>
      <c r="F372" s="66" t="s">
        <v>1986</v>
      </c>
      <c r="G372" s="66" t="s">
        <v>562</v>
      </c>
      <c r="H372" s="73" t="s">
        <v>349</v>
      </c>
      <c r="I372" s="115">
        <v>43.5</v>
      </c>
      <c r="J372" s="115">
        <v>43.7</v>
      </c>
      <c r="K372" s="91"/>
      <c r="L372" s="66"/>
      <c r="M372" s="66"/>
      <c r="N372" s="66"/>
      <c r="O372" s="66"/>
      <c r="Q372" s="72" t="s">
        <v>353</v>
      </c>
      <c r="R372" s="72"/>
    </row>
    <row r="373" spans="1:19" ht="18.75" customHeight="1" x14ac:dyDescent="0.2">
      <c r="A373" s="79"/>
      <c r="B373" s="79"/>
      <c r="C373" s="183"/>
      <c r="D373" s="66"/>
      <c r="E373" s="66" t="s">
        <v>21</v>
      </c>
      <c r="F373" s="66" t="s">
        <v>428</v>
      </c>
      <c r="G373" s="66" t="s">
        <v>562</v>
      </c>
      <c r="H373" s="73" t="s">
        <v>349</v>
      </c>
      <c r="I373" s="115">
        <v>21.64</v>
      </c>
      <c r="J373" s="102"/>
      <c r="K373" s="91"/>
      <c r="L373" s="66"/>
      <c r="M373" s="66"/>
      <c r="N373" s="66"/>
      <c r="O373" s="66"/>
      <c r="Q373" s="72" t="s">
        <v>353</v>
      </c>
      <c r="R373" s="72"/>
    </row>
    <row r="374" spans="1:19" ht="18.75" customHeight="1" x14ac:dyDescent="0.2">
      <c r="A374" s="79"/>
      <c r="B374" s="79"/>
      <c r="C374" s="183"/>
      <c r="D374" s="66"/>
      <c r="E374" s="66" t="s">
        <v>2392</v>
      </c>
      <c r="F374" s="66" t="s">
        <v>2393</v>
      </c>
      <c r="G374" s="66" t="s">
        <v>892</v>
      </c>
      <c r="H374" s="73" t="s">
        <v>349</v>
      </c>
      <c r="I374" s="115">
        <v>8.68</v>
      </c>
      <c r="J374" s="79"/>
      <c r="K374" s="91"/>
      <c r="L374" s="66"/>
      <c r="M374" s="66"/>
      <c r="N374" s="66"/>
      <c r="O374" s="66"/>
      <c r="Q374" s="72" t="s">
        <v>353</v>
      </c>
      <c r="R374" s="72"/>
    </row>
    <row r="375" spans="1:19" ht="18.75" customHeight="1" x14ac:dyDescent="0.2">
      <c r="A375" s="79"/>
      <c r="B375" s="79"/>
      <c r="C375" s="183"/>
      <c r="D375" s="66"/>
      <c r="E375" s="66"/>
      <c r="F375" s="66"/>
      <c r="G375" s="66"/>
      <c r="H375" s="73"/>
      <c r="I375" s="84"/>
      <c r="J375" s="79"/>
      <c r="K375" s="91"/>
      <c r="L375" s="66"/>
      <c r="M375" s="66"/>
      <c r="N375" s="66"/>
      <c r="O375" s="66"/>
      <c r="Q375" s="72" t="s">
        <v>353</v>
      </c>
      <c r="R375" s="72"/>
    </row>
    <row r="376" spans="1:19" s="72" customFormat="1" ht="18.75" customHeight="1" x14ac:dyDescent="0.2">
      <c r="A376" s="70">
        <v>41217</v>
      </c>
      <c r="B376" s="70">
        <v>41231</v>
      </c>
      <c r="C376" s="182">
        <v>14000501</v>
      </c>
      <c r="D376" s="72" t="s">
        <v>2394</v>
      </c>
      <c r="E376" s="72" t="s">
        <v>21</v>
      </c>
      <c r="F376" s="72" t="s">
        <v>2195</v>
      </c>
      <c r="G376" s="72" t="s">
        <v>550</v>
      </c>
      <c r="H376" s="73" t="s">
        <v>349</v>
      </c>
      <c r="I376" s="107">
        <v>54.29</v>
      </c>
      <c r="J376" s="77"/>
      <c r="K376" s="76">
        <v>60.48</v>
      </c>
      <c r="L376" s="76"/>
      <c r="M376" s="70">
        <v>41487</v>
      </c>
      <c r="N376" s="89">
        <v>41561</v>
      </c>
      <c r="O376" s="73" t="s">
        <v>21</v>
      </c>
      <c r="P376" s="73" t="s">
        <v>2195</v>
      </c>
      <c r="Q376" s="72" t="s">
        <v>550</v>
      </c>
      <c r="R376" s="72" t="str">
        <f>VLOOKUP($Q376,[1]Tabelle1!$A$1:$B$3884,2,FALSE)</f>
        <v>m</v>
      </c>
    </row>
    <row r="377" spans="1:19" ht="18.75" customHeight="1" x14ac:dyDescent="0.2">
      <c r="A377" s="79"/>
      <c r="B377" s="79"/>
      <c r="C377" s="183"/>
      <c r="D377" s="66"/>
      <c r="E377" s="66" t="s">
        <v>19</v>
      </c>
      <c r="F377" s="66" t="s">
        <v>2395</v>
      </c>
      <c r="G377" s="66" t="s">
        <v>348</v>
      </c>
      <c r="H377" s="73" t="s">
        <v>349</v>
      </c>
      <c r="I377" s="115">
        <v>45.71</v>
      </c>
      <c r="J377" s="79"/>
      <c r="K377" s="91"/>
      <c r="L377" s="66"/>
      <c r="M377" s="66"/>
      <c r="N377" s="66"/>
      <c r="O377" s="66"/>
      <c r="Q377" s="72" t="s">
        <v>353</v>
      </c>
      <c r="R377" s="72"/>
    </row>
    <row r="378" spans="1:19" ht="18.75" customHeight="1" x14ac:dyDescent="0.2">
      <c r="A378" s="79"/>
      <c r="B378" s="79"/>
      <c r="C378" s="183"/>
      <c r="D378" s="66"/>
      <c r="E378" s="66"/>
      <c r="F378" s="66"/>
      <c r="G378" s="66"/>
      <c r="H378" s="73"/>
      <c r="I378" s="84"/>
      <c r="J378" s="79"/>
      <c r="K378" s="91"/>
      <c r="L378" s="66"/>
      <c r="M378" s="66"/>
      <c r="N378" s="66"/>
      <c r="O378" s="66"/>
      <c r="Q378" s="72" t="s">
        <v>353</v>
      </c>
      <c r="R378" s="72"/>
    </row>
    <row r="379" spans="1:19" s="72" customFormat="1" ht="18.75" customHeight="1" x14ac:dyDescent="0.2">
      <c r="A379" s="70">
        <v>41378</v>
      </c>
      <c r="B379" s="70">
        <v>41392</v>
      </c>
      <c r="C379" s="182">
        <v>33100055</v>
      </c>
      <c r="D379" s="72" t="s">
        <v>2396</v>
      </c>
      <c r="E379" s="169" t="s">
        <v>21</v>
      </c>
      <c r="F379" s="169" t="s">
        <v>2397</v>
      </c>
      <c r="G379" s="169" t="s">
        <v>348</v>
      </c>
      <c r="H379" s="73" t="s">
        <v>349</v>
      </c>
      <c r="I379" s="170">
        <v>56.4</v>
      </c>
      <c r="J379" s="77"/>
      <c r="K379" s="76">
        <v>44.29</v>
      </c>
      <c r="L379" s="76"/>
      <c r="M379" s="70" t="s">
        <v>2398</v>
      </c>
      <c r="N379" s="89">
        <v>41820</v>
      </c>
      <c r="O379" s="185" t="s">
        <v>21</v>
      </c>
      <c r="P379" s="185" t="s">
        <v>716</v>
      </c>
      <c r="Q379" s="72" t="s">
        <v>444</v>
      </c>
      <c r="R379" s="72" t="str">
        <f>VLOOKUP($Q379,[1]Tabelle1!$A$1:$B$3884,2,FALSE)</f>
        <v>m</v>
      </c>
      <c r="S379" s="171" t="s">
        <v>2399</v>
      </c>
    </row>
    <row r="380" spans="1:19" ht="18.75" customHeight="1" x14ac:dyDescent="0.2">
      <c r="A380" s="79"/>
      <c r="B380" s="79"/>
      <c r="C380" s="183"/>
      <c r="D380" s="66"/>
      <c r="E380" s="171" t="s">
        <v>428</v>
      </c>
      <c r="F380" s="171" t="s">
        <v>428</v>
      </c>
      <c r="G380" s="171" t="s">
        <v>444</v>
      </c>
      <c r="H380" s="73" t="s">
        <v>349</v>
      </c>
      <c r="I380" s="172">
        <v>25.58</v>
      </c>
      <c r="J380" s="79"/>
      <c r="K380" s="91"/>
      <c r="L380" s="66"/>
      <c r="M380" s="66"/>
      <c r="N380" s="203"/>
      <c r="O380" s="203"/>
      <c r="Q380" s="72" t="s">
        <v>353</v>
      </c>
      <c r="R380" s="72"/>
      <c r="S380" s="171" t="s">
        <v>2400</v>
      </c>
    </row>
    <row r="381" spans="1:19" ht="18.75" customHeight="1" x14ac:dyDescent="0.2">
      <c r="A381" s="79"/>
      <c r="B381" s="79"/>
      <c r="C381" s="183"/>
      <c r="D381" s="66"/>
      <c r="E381" s="171" t="s">
        <v>19</v>
      </c>
      <c r="F381" s="171" t="s">
        <v>2401</v>
      </c>
      <c r="G381" s="171" t="s">
        <v>1715</v>
      </c>
      <c r="H381" s="73" t="s">
        <v>349</v>
      </c>
      <c r="I381" s="172">
        <v>13.34</v>
      </c>
      <c r="J381" s="79"/>
      <c r="K381" s="91"/>
      <c r="L381" s="66"/>
      <c r="M381" s="66"/>
      <c r="N381" s="203"/>
      <c r="O381" s="203"/>
      <c r="Q381" s="72" t="s">
        <v>353</v>
      </c>
      <c r="R381" s="72"/>
      <c r="S381" s="171" t="s">
        <v>2402</v>
      </c>
    </row>
    <row r="382" spans="1:19" ht="18.75" customHeight="1" x14ac:dyDescent="0.2">
      <c r="A382" s="79"/>
      <c r="B382" s="79"/>
      <c r="C382" s="183"/>
      <c r="D382" s="66"/>
      <c r="E382" s="171" t="s">
        <v>1495</v>
      </c>
      <c r="F382" s="171" t="s">
        <v>2403</v>
      </c>
      <c r="G382" s="171" t="s">
        <v>1989</v>
      </c>
      <c r="H382" s="73" t="s">
        <v>349</v>
      </c>
      <c r="I382" s="172">
        <v>4.67</v>
      </c>
      <c r="J382" s="79"/>
      <c r="K382" s="91"/>
      <c r="L382" s="66"/>
      <c r="M382" s="66"/>
      <c r="N382" s="66"/>
      <c r="O382" s="66"/>
      <c r="Q382" s="72" t="s">
        <v>353</v>
      </c>
      <c r="R382" s="72"/>
    </row>
    <row r="383" spans="1:19" ht="18.75" customHeight="1" x14ac:dyDescent="0.2">
      <c r="A383" s="79"/>
      <c r="B383" s="79"/>
      <c r="C383" s="183"/>
      <c r="D383" s="66"/>
      <c r="E383" s="66"/>
      <c r="F383" s="66"/>
      <c r="G383" s="66"/>
      <c r="H383" s="73"/>
      <c r="I383" s="84"/>
      <c r="J383" s="79"/>
      <c r="K383" s="91"/>
      <c r="L383" s="66"/>
      <c r="M383" s="66"/>
      <c r="N383" s="66"/>
      <c r="O383" s="66"/>
      <c r="Q383" s="72" t="s">
        <v>353</v>
      </c>
      <c r="R383" s="72"/>
    </row>
    <row r="384" spans="1:19" s="72" customFormat="1" ht="18.75" customHeight="1" x14ac:dyDescent="0.2">
      <c r="A384" s="70">
        <v>41441</v>
      </c>
      <c r="B384" s="70">
        <v>41455</v>
      </c>
      <c r="C384" s="182">
        <v>33200025</v>
      </c>
      <c r="D384" s="72" t="s">
        <v>2182</v>
      </c>
      <c r="E384" s="169" t="s">
        <v>19</v>
      </c>
      <c r="F384" s="169" t="s">
        <v>1957</v>
      </c>
      <c r="G384" s="169" t="s">
        <v>1215</v>
      </c>
      <c r="H384" s="73" t="s">
        <v>349</v>
      </c>
      <c r="I384" s="170">
        <v>64.31</v>
      </c>
      <c r="J384" s="77"/>
      <c r="K384" s="76">
        <v>38.840000000000003</v>
      </c>
      <c r="L384" s="76"/>
      <c r="M384" s="70">
        <v>41451</v>
      </c>
      <c r="N384" s="89">
        <v>44372</v>
      </c>
      <c r="O384" s="72" t="s">
        <v>19</v>
      </c>
      <c r="P384" s="72" t="s">
        <v>2302</v>
      </c>
      <c r="Q384" s="72" t="s">
        <v>2280</v>
      </c>
      <c r="R384" s="72" t="s">
        <v>349</v>
      </c>
    </row>
    <row r="385" spans="1:18" ht="18.75" customHeight="1" x14ac:dyDescent="0.2">
      <c r="A385" s="79"/>
      <c r="B385" s="79"/>
      <c r="C385" s="183"/>
      <c r="D385" s="66"/>
      <c r="E385" s="171" t="s">
        <v>21</v>
      </c>
      <c r="F385" s="171" t="s">
        <v>2404</v>
      </c>
      <c r="G385" s="171" t="s">
        <v>1727</v>
      </c>
      <c r="H385" s="73" t="s">
        <v>419</v>
      </c>
      <c r="I385" s="172">
        <v>28.85</v>
      </c>
      <c r="J385" s="79"/>
      <c r="K385" s="91"/>
      <c r="L385" s="66"/>
      <c r="M385" s="66"/>
      <c r="N385" s="66"/>
      <c r="O385" s="66"/>
      <c r="Q385" s="72" t="s">
        <v>353</v>
      </c>
      <c r="R385" s="72"/>
    </row>
    <row r="386" spans="1:18" ht="18.75" customHeight="1" x14ac:dyDescent="0.2">
      <c r="A386" s="79"/>
      <c r="B386" s="79"/>
      <c r="C386" s="183"/>
      <c r="D386" s="66"/>
      <c r="E386" s="171" t="s">
        <v>196</v>
      </c>
      <c r="F386" s="171" t="s">
        <v>1209</v>
      </c>
      <c r="G386" s="171" t="s">
        <v>2405</v>
      </c>
      <c r="H386" s="73" t="s">
        <v>349</v>
      </c>
      <c r="I386" s="172">
        <v>6.84</v>
      </c>
      <c r="J386" s="79"/>
      <c r="K386" s="91"/>
      <c r="L386" s="66"/>
      <c r="M386" s="66"/>
      <c r="N386" s="66"/>
      <c r="O386" s="66"/>
      <c r="Q386" s="72" t="s">
        <v>353</v>
      </c>
      <c r="R386" s="72"/>
    </row>
    <row r="387" spans="1:18" ht="18.75" customHeight="1" x14ac:dyDescent="0.2">
      <c r="A387" s="79"/>
      <c r="B387" s="79"/>
      <c r="C387" s="183"/>
      <c r="D387" s="66"/>
      <c r="E387" s="66"/>
      <c r="F387" s="66"/>
      <c r="G387" s="66"/>
      <c r="H387" s="73"/>
      <c r="I387" s="84"/>
      <c r="J387" s="79"/>
      <c r="K387" s="91"/>
      <c r="L387" s="66"/>
      <c r="M387" s="66"/>
      <c r="N387" s="66"/>
      <c r="O387" s="66"/>
      <c r="Q387" s="72" t="s">
        <v>353</v>
      </c>
      <c r="R387" s="72"/>
    </row>
    <row r="388" spans="1:18" s="72" customFormat="1" ht="18.75" customHeight="1" x14ac:dyDescent="0.2">
      <c r="A388" s="70">
        <v>41525</v>
      </c>
      <c r="B388" s="70">
        <v>41539</v>
      </c>
      <c r="C388" s="182">
        <v>33800004</v>
      </c>
      <c r="D388" s="72" t="s">
        <v>2205</v>
      </c>
      <c r="E388" s="169" t="s">
        <v>21</v>
      </c>
      <c r="F388" s="169" t="s">
        <v>716</v>
      </c>
      <c r="G388" s="169" t="s">
        <v>2406</v>
      </c>
      <c r="H388" s="73" t="s">
        <v>349</v>
      </c>
      <c r="I388" s="170">
        <v>41.8</v>
      </c>
      <c r="J388" s="170">
        <v>60.09</v>
      </c>
      <c r="K388" s="76">
        <v>56.93</v>
      </c>
      <c r="L388" s="76">
        <v>70.55</v>
      </c>
      <c r="M388" s="70">
        <v>41640</v>
      </c>
      <c r="N388" s="89">
        <v>44561</v>
      </c>
      <c r="O388" s="185" t="s">
        <v>19</v>
      </c>
      <c r="P388" s="185" t="s">
        <v>1774</v>
      </c>
      <c r="Q388" s="72" t="s">
        <v>360</v>
      </c>
      <c r="R388" s="72" t="str">
        <f>VLOOKUP($Q388,[1]Tabelle1!$A$1:$B$3884,2,FALSE)</f>
        <v>m</v>
      </c>
    </row>
    <row r="389" spans="1:18" ht="18.75" customHeight="1" x14ac:dyDescent="0.2">
      <c r="A389" s="79"/>
      <c r="B389" s="79"/>
      <c r="C389" s="183"/>
      <c r="D389" s="66"/>
      <c r="E389" s="171" t="s">
        <v>19</v>
      </c>
      <c r="F389" s="171" t="s">
        <v>2407</v>
      </c>
      <c r="G389" s="171" t="s">
        <v>2408</v>
      </c>
      <c r="H389" s="73" t="s">
        <v>419</v>
      </c>
      <c r="I389" s="172">
        <v>35.57</v>
      </c>
      <c r="J389" s="172">
        <v>39.909999999999997</v>
      </c>
      <c r="K389" s="91"/>
      <c r="L389" s="66"/>
      <c r="M389" s="66"/>
      <c r="N389" s="66"/>
      <c r="O389" s="66"/>
      <c r="Q389" s="72" t="s">
        <v>353</v>
      </c>
      <c r="R389" s="72"/>
    </row>
    <row r="390" spans="1:18" ht="18.75" customHeight="1" x14ac:dyDescent="0.2">
      <c r="A390" s="79"/>
      <c r="B390" s="79"/>
      <c r="C390" s="183"/>
      <c r="D390" s="66"/>
      <c r="E390" s="171" t="s">
        <v>55</v>
      </c>
      <c r="F390" s="171" t="s">
        <v>2409</v>
      </c>
      <c r="G390" s="171" t="s">
        <v>2410</v>
      </c>
      <c r="H390" s="73" t="s">
        <v>419</v>
      </c>
      <c r="I390" s="172">
        <v>15.42</v>
      </c>
      <c r="J390" s="79"/>
      <c r="K390" s="91"/>
      <c r="L390" s="66"/>
      <c r="M390" s="66"/>
      <c r="N390" s="66"/>
      <c r="O390" s="66"/>
      <c r="Q390" s="72" t="s">
        <v>353</v>
      </c>
      <c r="R390" s="72"/>
    </row>
    <row r="391" spans="1:18" ht="18.75" customHeight="1" x14ac:dyDescent="0.2">
      <c r="A391" s="79"/>
      <c r="B391" s="79"/>
      <c r="C391" s="183"/>
      <c r="D391" s="66"/>
      <c r="E391" s="171" t="s">
        <v>34</v>
      </c>
      <c r="F391" s="171" t="s">
        <v>1196</v>
      </c>
      <c r="G391" s="171" t="s">
        <v>2411</v>
      </c>
      <c r="H391" s="73" t="s">
        <v>349</v>
      </c>
      <c r="I391" s="172">
        <v>7.22</v>
      </c>
      <c r="J391" s="79"/>
      <c r="K391" s="91"/>
      <c r="L391" s="66"/>
      <c r="M391" s="66"/>
      <c r="N391" s="66"/>
      <c r="O391" s="66"/>
      <c r="Q391" s="72" t="s">
        <v>353</v>
      </c>
      <c r="R391" s="72"/>
    </row>
    <row r="392" spans="1:18" ht="18.75" customHeight="1" x14ac:dyDescent="0.2">
      <c r="A392" s="79"/>
      <c r="B392" s="79"/>
      <c r="C392" s="183"/>
      <c r="D392" s="66"/>
      <c r="E392" s="66"/>
      <c r="F392" s="66"/>
      <c r="G392" s="66"/>
      <c r="H392" s="73"/>
      <c r="I392" s="84"/>
      <c r="J392" s="79"/>
      <c r="K392" s="91"/>
      <c r="L392" s="66"/>
      <c r="M392" s="66"/>
      <c r="N392" s="66"/>
      <c r="O392" s="66"/>
      <c r="Q392" s="72" t="s">
        <v>353</v>
      </c>
      <c r="R392" s="72"/>
    </row>
    <row r="393" spans="1:18" s="72" customFormat="1" ht="18.75" customHeight="1" x14ac:dyDescent="0.2">
      <c r="A393" s="70">
        <v>41539</v>
      </c>
      <c r="B393" s="70">
        <v>41553</v>
      </c>
      <c r="C393" s="182">
        <v>14100075</v>
      </c>
      <c r="D393" s="72" t="s">
        <v>2210</v>
      </c>
      <c r="E393" s="169" t="s">
        <v>19</v>
      </c>
      <c r="F393" s="169" t="s">
        <v>497</v>
      </c>
      <c r="G393" s="169" t="s">
        <v>389</v>
      </c>
      <c r="H393" s="73" t="s">
        <v>349</v>
      </c>
      <c r="I393" s="170">
        <v>58.92</v>
      </c>
      <c r="J393" s="77"/>
      <c r="K393" s="76">
        <v>67.3</v>
      </c>
      <c r="L393" s="76"/>
      <c r="M393" s="70">
        <v>41655</v>
      </c>
      <c r="N393" s="89">
        <v>44576</v>
      </c>
      <c r="O393" s="185" t="s">
        <v>19</v>
      </c>
      <c r="P393" s="185" t="s">
        <v>497</v>
      </c>
      <c r="Q393" s="72" t="s">
        <v>389</v>
      </c>
      <c r="R393" s="72" t="str">
        <f>VLOOKUP($Q393,[1]Tabelle1!$A$1:$B$3884,2,FALSE)</f>
        <v>m</v>
      </c>
    </row>
    <row r="394" spans="1:18" ht="18.75" customHeight="1" x14ac:dyDescent="0.2">
      <c r="A394" s="79"/>
      <c r="B394" s="79"/>
      <c r="C394" s="183"/>
      <c r="D394" s="66"/>
      <c r="E394" s="171" t="s">
        <v>21</v>
      </c>
      <c r="F394" s="171" t="s">
        <v>2412</v>
      </c>
      <c r="G394" s="171" t="s">
        <v>469</v>
      </c>
      <c r="H394" s="73" t="s">
        <v>349</v>
      </c>
      <c r="I394" s="172">
        <v>41.08</v>
      </c>
      <c r="J394" s="79"/>
      <c r="K394" s="91"/>
      <c r="L394" s="66"/>
      <c r="M394" s="66"/>
      <c r="N394" s="66"/>
      <c r="O394" s="66"/>
      <c r="Q394" s="72" t="s">
        <v>353</v>
      </c>
      <c r="R394" s="72"/>
    </row>
    <row r="395" spans="1:18" ht="18.75" customHeight="1" x14ac:dyDescent="0.2">
      <c r="A395" s="79"/>
      <c r="B395" s="79"/>
      <c r="C395" s="183"/>
      <c r="D395" s="66"/>
      <c r="E395" s="66"/>
      <c r="F395" s="66"/>
      <c r="G395" s="66"/>
      <c r="H395" s="73"/>
      <c r="I395" s="84"/>
      <c r="J395" s="79"/>
      <c r="K395" s="91"/>
      <c r="L395" s="66"/>
      <c r="M395" s="66"/>
      <c r="N395" s="66"/>
      <c r="O395" s="66"/>
      <c r="Q395" s="72" t="s">
        <v>353</v>
      </c>
      <c r="R395" s="72"/>
    </row>
    <row r="396" spans="1:18" s="72" customFormat="1" ht="18.75" customHeight="1" x14ac:dyDescent="0.2">
      <c r="A396" s="70">
        <v>41539</v>
      </c>
      <c r="B396" s="70">
        <v>41553</v>
      </c>
      <c r="C396" s="182">
        <v>14000501</v>
      </c>
      <c r="D396" s="72" t="s">
        <v>2394</v>
      </c>
      <c r="E396" s="169" t="s">
        <v>21</v>
      </c>
      <c r="F396" s="169" t="s">
        <v>2195</v>
      </c>
      <c r="G396" s="169" t="s">
        <v>550</v>
      </c>
      <c r="H396" s="73" t="s">
        <v>349</v>
      </c>
      <c r="I396" s="170">
        <v>49.13</v>
      </c>
      <c r="J396" s="170">
        <v>56.89</v>
      </c>
      <c r="K396" s="76">
        <v>74.23</v>
      </c>
      <c r="L396" s="76">
        <v>58.6</v>
      </c>
      <c r="M396" s="70">
        <v>41562</v>
      </c>
      <c r="N396" s="89">
        <v>44483</v>
      </c>
      <c r="O396" s="73" t="s">
        <v>21</v>
      </c>
      <c r="P396" s="73" t="s">
        <v>2195</v>
      </c>
      <c r="Q396" s="72" t="s">
        <v>550</v>
      </c>
      <c r="R396" s="72" t="str">
        <f>VLOOKUP($Q396,[1]Tabelle1!$A$1:$B$3884,2,FALSE)</f>
        <v>m</v>
      </c>
    </row>
    <row r="397" spans="1:18" ht="18.75" customHeight="1" x14ac:dyDescent="0.2">
      <c r="A397" s="79"/>
      <c r="B397" s="79"/>
      <c r="C397" s="183"/>
      <c r="D397" s="66"/>
      <c r="E397" s="171" t="s">
        <v>19</v>
      </c>
      <c r="F397" s="171" t="s">
        <v>2395</v>
      </c>
      <c r="G397" s="171" t="s">
        <v>348</v>
      </c>
      <c r="H397" s="73" t="s">
        <v>349</v>
      </c>
      <c r="I397" s="172">
        <v>33.380000000000003</v>
      </c>
      <c r="J397" s="172">
        <v>43.11</v>
      </c>
      <c r="K397" s="66"/>
      <c r="L397" s="66"/>
      <c r="M397" s="66"/>
      <c r="N397" s="66"/>
      <c r="O397" s="66"/>
      <c r="Q397" s="72" t="s">
        <v>353</v>
      </c>
      <c r="R397" s="72"/>
    </row>
    <row r="398" spans="1:18" ht="18.75" customHeight="1" x14ac:dyDescent="0.2">
      <c r="A398" s="79"/>
      <c r="B398" s="79"/>
      <c r="C398" s="183"/>
      <c r="D398" s="66"/>
      <c r="E398" s="171" t="s">
        <v>2413</v>
      </c>
      <c r="F398" s="171" t="s">
        <v>2413</v>
      </c>
      <c r="G398" s="171" t="s">
        <v>947</v>
      </c>
      <c r="H398" s="73" t="s">
        <v>349</v>
      </c>
      <c r="I398" s="172">
        <v>17.489999999999998</v>
      </c>
      <c r="J398" s="91"/>
      <c r="K398" s="66"/>
      <c r="L398" s="66"/>
      <c r="M398" s="66"/>
      <c r="N398" s="66"/>
      <c r="O398" s="66"/>
      <c r="Q398" s="72" t="s">
        <v>353</v>
      </c>
      <c r="R398" s="72"/>
    </row>
    <row r="399" spans="1:18" ht="18.75" customHeight="1" x14ac:dyDescent="0.2">
      <c r="A399" s="79"/>
      <c r="B399" s="79"/>
      <c r="C399" s="183"/>
      <c r="D399" s="66"/>
      <c r="E399" s="66"/>
      <c r="F399" s="66"/>
      <c r="G399" s="66"/>
      <c r="H399" s="73"/>
      <c r="I399" s="84"/>
      <c r="J399" s="91"/>
      <c r="K399" s="66"/>
      <c r="L399" s="66"/>
      <c r="M399" s="66"/>
      <c r="N399" s="66"/>
      <c r="O399" s="66"/>
      <c r="Q399" s="72" t="s">
        <v>353</v>
      </c>
      <c r="R399" s="72"/>
    </row>
    <row r="400" spans="1:18" s="72" customFormat="1" ht="18.75" customHeight="1" x14ac:dyDescent="0.2">
      <c r="A400" s="70">
        <v>41784</v>
      </c>
      <c r="B400" s="70">
        <v>41798</v>
      </c>
      <c r="C400" s="182">
        <v>13300006</v>
      </c>
      <c r="D400" s="72" t="s">
        <v>2377</v>
      </c>
      <c r="E400" s="169" t="s">
        <v>21</v>
      </c>
      <c r="F400" s="169" t="s">
        <v>2378</v>
      </c>
      <c r="G400" s="169" t="s">
        <v>1120</v>
      </c>
      <c r="H400" s="73" t="s">
        <v>419</v>
      </c>
      <c r="I400" s="170">
        <v>55.01</v>
      </c>
      <c r="J400" s="77"/>
      <c r="K400" s="76">
        <v>45.12</v>
      </c>
      <c r="L400" s="76"/>
      <c r="M400" s="70">
        <v>41821</v>
      </c>
      <c r="N400" s="89">
        <v>44742</v>
      </c>
      <c r="O400" s="72" t="s">
        <v>21</v>
      </c>
      <c r="P400" s="72" t="s">
        <v>2378</v>
      </c>
      <c r="Q400" s="72" t="s">
        <v>1120</v>
      </c>
      <c r="R400" s="72" t="str">
        <f>VLOOKUP($Q400,[1]Tabelle1!$A$1:$B$3884,2,FALSE)</f>
        <v>w</v>
      </c>
    </row>
    <row r="401" spans="1:18" ht="18.75" customHeight="1" x14ac:dyDescent="0.2">
      <c r="A401" s="79"/>
      <c r="B401" s="79"/>
      <c r="C401" s="183"/>
      <c r="D401" s="66"/>
      <c r="E401" s="171" t="s">
        <v>19</v>
      </c>
      <c r="F401" s="171" t="s">
        <v>2414</v>
      </c>
      <c r="G401" s="171" t="s">
        <v>1535</v>
      </c>
      <c r="H401" s="73" t="s">
        <v>419</v>
      </c>
      <c r="I401" s="172">
        <v>30.25</v>
      </c>
      <c r="J401" s="79"/>
      <c r="K401" s="91"/>
      <c r="L401" s="66"/>
      <c r="M401" s="66"/>
      <c r="N401" s="66"/>
      <c r="O401" s="66"/>
      <c r="Q401" s="72" t="s">
        <v>353</v>
      </c>
      <c r="R401" s="72"/>
    </row>
    <row r="402" spans="1:18" ht="18.75" customHeight="1" x14ac:dyDescent="0.2">
      <c r="A402" s="79"/>
      <c r="B402" s="79"/>
      <c r="C402" s="183"/>
      <c r="D402" s="66"/>
      <c r="E402" s="171" t="s">
        <v>98</v>
      </c>
      <c r="F402" s="171" t="s">
        <v>2415</v>
      </c>
      <c r="G402" s="171" t="s">
        <v>348</v>
      </c>
      <c r="H402" s="73" t="s">
        <v>349</v>
      </c>
      <c r="I402" s="172">
        <v>6.35</v>
      </c>
      <c r="J402" s="79"/>
      <c r="K402" s="91"/>
      <c r="L402" s="66"/>
      <c r="M402" s="66"/>
      <c r="N402" s="66"/>
      <c r="O402" s="66"/>
      <c r="Q402" s="72" t="s">
        <v>353</v>
      </c>
      <c r="R402" s="72"/>
    </row>
    <row r="403" spans="1:18" ht="18.75" customHeight="1" x14ac:dyDescent="0.2">
      <c r="A403" s="79"/>
      <c r="B403" s="79"/>
      <c r="C403" s="183"/>
      <c r="D403" s="66"/>
      <c r="E403" s="171" t="s">
        <v>2379</v>
      </c>
      <c r="F403" s="171" t="s">
        <v>2379</v>
      </c>
      <c r="G403" s="171" t="s">
        <v>570</v>
      </c>
      <c r="H403" s="73" t="s">
        <v>349</v>
      </c>
      <c r="I403" s="172">
        <v>5.36</v>
      </c>
      <c r="J403" s="79"/>
      <c r="K403" s="91"/>
      <c r="L403" s="66"/>
      <c r="M403" s="66"/>
      <c r="N403" s="66"/>
      <c r="O403" s="66"/>
      <c r="Q403" s="72" t="s">
        <v>353</v>
      </c>
      <c r="R403" s="72"/>
    </row>
    <row r="404" spans="1:18" ht="18.75" customHeight="1" x14ac:dyDescent="0.2">
      <c r="A404" s="79"/>
      <c r="B404" s="79"/>
      <c r="C404" s="183"/>
      <c r="D404" s="66"/>
      <c r="E404" s="171" t="s">
        <v>2416</v>
      </c>
      <c r="F404" s="171" t="s">
        <v>2295</v>
      </c>
      <c r="G404" s="171" t="s">
        <v>416</v>
      </c>
      <c r="H404" s="73" t="s">
        <v>349</v>
      </c>
      <c r="I404" s="172">
        <v>3.03</v>
      </c>
      <c r="J404" s="79"/>
      <c r="K404" s="91"/>
      <c r="L404" s="66"/>
      <c r="M404" s="66"/>
      <c r="N404" s="66"/>
      <c r="O404" s="66"/>
      <c r="Q404" s="72" t="s">
        <v>353</v>
      </c>
      <c r="R404" s="72"/>
    </row>
    <row r="405" spans="1:18" ht="18.75" customHeight="1" x14ac:dyDescent="0.2">
      <c r="A405" s="79"/>
      <c r="B405" s="79"/>
      <c r="C405" s="183"/>
      <c r="D405" s="66"/>
      <c r="E405" s="66"/>
      <c r="F405" s="66"/>
      <c r="G405" s="66"/>
      <c r="H405" s="73"/>
      <c r="I405" s="84"/>
      <c r="J405" s="79"/>
      <c r="K405" s="91"/>
      <c r="L405" s="66"/>
      <c r="M405" s="66"/>
      <c r="N405" s="66"/>
      <c r="O405" s="66"/>
      <c r="Q405" s="72" t="s">
        <v>353</v>
      </c>
      <c r="R405" s="72"/>
    </row>
    <row r="406" spans="1:18" s="72" customFormat="1" ht="18.75" customHeight="1" x14ac:dyDescent="0.2">
      <c r="A406" s="70">
        <v>41784</v>
      </c>
      <c r="B406" s="70">
        <v>41798</v>
      </c>
      <c r="C406" s="182">
        <v>13300052</v>
      </c>
      <c r="D406" s="72" t="s">
        <v>2271</v>
      </c>
      <c r="E406" s="169" t="s">
        <v>2417</v>
      </c>
      <c r="F406" s="169" t="s">
        <v>2417</v>
      </c>
      <c r="G406" s="169" t="s">
        <v>915</v>
      </c>
      <c r="H406" s="73" t="s">
        <v>349</v>
      </c>
      <c r="I406" s="170">
        <v>68.34</v>
      </c>
      <c r="J406" s="77"/>
      <c r="K406" s="76">
        <v>50.28</v>
      </c>
      <c r="L406" s="76"/>
      <c r="M406" s="70">
        <v>41821</v>
      </c>
      <c r="N406" s="89">
        <v>44742</v>
      </c>
      <c r="O406" s="198" t="s">
        <v>21</v>
      </c>
      <c r="P406" s="198" t="s">
        <v>109</v>
      </c>
      <c r="Q406" s="72" t="s">
        <v>708</v>
      </c>
      <c r="R406" s="72" t="str">
        <f>VLOOKUP($Q406,[1]Tabelle1!$A$1:$B$3884,2,FALSE)</f>
        <v>m</v>
      </c>
    </row>
    <row r="407" spans="1:18" ht="18.75" customHeight="1" x14ac:dyDescent="0.2">
      <c r="A407" s="79"/>
      <c r="B407" s="79"/>
      <c r="C407" s="183"/>
      <c r="D407" s="66"/>
      <c r="E407" s="171" t="s">
        <v>19</v>
      </c>
      <c r="F407" s="171" t="s">
        <v>2418</v>
      </c>
      <c r="G407" s="171" t="s">
        <v>2153</v>
      </c>
      <c r="H407" s="73" t="s">
        <v>349</v>
      </c>
      <c r="I407" s="172">
        <v>17.12</v>
      </c>
      <c r="J407" s="79"/>
      <c r="K407" s="91"/>
      <c r="L407" s="66"/>
      <c r="M407" s="66"/>
      <c r="N407" s="66"/>
      <c r="O407" s="66"/>
      <c r="Q407" s="72" t="s">
        <v>353</v>
      </c>
      <c r="R407" s="72"/>
    </row>
    <row r="408" spans="1:18" ht="18.75" customHeight="1" x14ac:dyDescent="0.2">
      <c r="A408" s="79"/>
      <c r="B408" s="79"/>
      <c r="C408" s="183"/>
      <c r="D408" s="66"/>
      <c r="E408" s="171" t="s">
        <v>38</v>
      </c>
      <c r="F408" s="171" t="s">
        <v>2419</v>
      </c>
      <c r="G408" s="171" t="s">
        <v>2420</v>
      </c>
      <c r="H408" s="73" t="s">
        <v>349</v>
      </c>
      <c r="I408" s="172">
        <v>14.54</v>
      </c>
      <c r="J408" s="79"/>
      <c r="K408" s="91"/>
      <c r="L408" s="66"/>
      <c r="M408" s="66"/>
      <c r="N408" s="66"/>
      <c r="O408" s="66"/>
      <c r="Q408" s="72" t="s">
        <v>353</v>
      </c>
      <c r="R408" s="72"/>
    </row>
    <row r="409" spans="1:18" ht="18.75" customHeight="1" x14ac:dyDescent="0.2">
      <c r="A409" s="79"/>
      <c r="B409" s="79"/>
      <c r="C409" s="183"/>
      <c r="D409" s="66"/>
      <c r="E409" s="66"/>
      <c r="F409" s="66"/>
      <c r="G409" s="66"/>
      <c r="H409" s="73"/>
      <c r="I409" s="84"/>
      <c r="J409" s="79"/>
      <c r="K409" s="91"/>
      <c r="L409" s="66"/>
      <c r="M409" s="66"/>
      <c r="N409" s="66"/>
      <c r="O409" s="66"/>
      <c r="Q409" s="72" t="s">
        <v>353</v>
      </c>
      <c r="R409" s="72"/>
    </row>
    <row r="410" spans="1:18" s="72" customFormat="1" ht="18.75" customHeight="1" x14ac:dyDescent="0.2">
      <c r="A410" s="70">
        <v>41784</v>
      </c>
      <c r="B410" s="70">
        <v>41798</v>
      </c>
      <c r="C410" s="182">
        <v>33100003</v>
      </c>
      <c r="D410" s="72" t="s">
        <v>2238</v>
      </c>
      <c r="E410" s="169" t="s">
        <v>848</v>
      </c>
      <c r="F410" s="169" t="s">
        <v>848</v>
      </c>
      <c r="G410" s="169" t="s">
        <v>899</v>
      </c>
      <c r="H410" s="73" t="s">
        <v>349</v>
      </c>
      <c r="I410" s="170">
        <v>50.65</v>
      </c>
      <c r="J410" s="77"/>
      <c r="K410" s="76">
        <v>55.26</v>
      </c>
      <c r="L410" s="76"/>
      <c r="M410" s="70">
        <v>41883</v>
      </c>
      <c r="N410" s="89">
        <v>44804</v>
      </c>
      <c r="O410" s="185" t="s">
        <v>19</v>
      </c>
      <c r="P410" s="185" t="s">
        <v>848</v>
      </c>
      <c r="Q410" s="72" t="s">
        <v>899</v>
      </c>
      <c r="R410" s="72" t="str">
        <f>VLOOKUP($Q410,[1]Tabelle1!$A$1:$B$3884,2,FALSE)</f>
        <v>m</v>
      </c>
    </row>
    <row r="411" spans="1:18" ht="18.75" customHeight="1" x14ac:dyDescent="0.2">
      <c r="A411" s="79"/>
      <c r="B411" s="79"/>
      <c r="C411" s="183"/>
      <c r="D411" s="66"/>
      <c r="E411" s="171" t="s">
        <v>580</v>
      </c>
      <c r="F411" s="171" t="s">
        <v>580</v>
      </c>
      <c r="G411" s="171" t="s">
        <v>1151</v>
      </c>
      <c r="H411" s="73" t="s">
        <v>349</v>
      </c>
      <c r="I411" s="172">
        <v>34.26</v>
      </c>
      <c r="J411" s="79"/>
      <c r="K411" s="91"/>
      <c r="L411" s="66"/>
      <c r="M411" s="66"/>
      <c r="N411" s="66"/>
      <c r="O411" s="66"/>
      <c r="Q411" s="72" t="s">
        <v>353</v>
      </c>
      <c r="R411" s="72"/>
    </row>
    <row r="412" spans="1:18" ht="18.75" customHeight="1" x14ac:dyDescent="0.2">
      <c r="A412" s="79"/>
      <c r="B412" s="79"/>
      <c r="C412" s="183"/>
      <c r="D412" s="66"/>
      <c r="E412" s="171" t="s">
        <v>2323</v>
      </c>
      <c r="F412" s="171" t="s">
        <v>2323</v>
      </c>
      <c r="G412" s="171" t="s">
        <v>723</v>
      </c>
      <c r="H412" s="73" t="s">
        <v>349</v>
      </c>
      <c r="I412" s="172">
        <v>15.09</v>
      </c>
      <c r="J412" s="79"/>
      <c r="K412" s="91"/>
      <c r="L412" s="66"/>
      <c r="M412" s="66"/>
      <c r="N412" s="66"/>
      <c r="O412" s="66"/>
      <c r="Q412" s="72" t="s">
        <v>353</v>
      </c>
      <c r="R412" s="72"/>
    </row>
    <row r="413" spans="1:18" ht="18.75" customHeight="1" x14ac:dyDescent="0.2">
      <c r="A413" s="79"/>
      <c r="B413" s="79"/>
      <c r="C413" s="183"/>
      <c r="D413" s="66"/>
      <c r="E413" s="66"/>
      <c r="F413" s="66"/>
      <c r="G413" s="66"/>
      <c r="H413" s="73"/>
      <c r="I413" s="84"/>
      <c r="J413" s="79"/>
      <c r="K413" s="91"/>
      <c r="L413" s="66"/>
      <c r="M413" s="66"/>
      <c r="N413" s="66"/>
      <c r="O413" s="66"/>
      <c r="Q413" s="72" t="s">
        <v>353</v>
      </c>
      <c r="R413" s="72"/>
    </row>
    <row r="414" spans="1:18" s="72" customFormat="1" ht="18.75" customHeight="1" x14ac:dyDescent="0.2">
      <c r="A414" s="70">
        <v>41784</v>
      </c>
      <c r="B414" s="70">
        <v>41798</v>
      </c>
      <c r="C414" s="182">
        <v>33900009</v>
      </c>
      <c r="D414" s="72" t="s">
        <v>2212</v>
      </c>
      <c r="E414" s="169" t="s">
        <v>19</v>
      </c>
      <c r="F414" s="169" t="s">
        <v>533</v>
      </c>
      <c r="G414" s="169" t="s">
        <v>570</v>
      </c>
      <c r="H414" s="73" t="s">
        <v>349</v>
      </c>
      <c r="I414" s="170">
        <v>84.33</v>
      </c>
      <c r="J414" s="77"/>
      <c r="K414" s="76">
        <v>58.33</v>
      </c>
      <c r="L414" s="76"/>
      <c r="M414" s="70">
        <v>41883</v>
      </c>
      <c r="N414" s="89">
        <v>44804</v>
      </c>
      <c r="O414" s="185" t="s">
        <v>19</v>
      </c>
      <c r="P414" s="185" t="s">
        <v>533</v>
      </c>
      <c r="Q414" s="72" t="s">
        <v>570</v>
      </c>
      <c r="R414" s="72" t="str">
        <f>VLOOKUP($Q414,[1]Tabelle1!$A$1:$B$3884,2,FALSE)</f>
        <v>m</v>
      </c>
    </row>
    <row r="415" spans="1:18" ht="18.75" customHeight="1" x14ac:dyDescent="0.2">
      <c r="A415" s="79"/>
      <c r="B415" s="79"/>
      <c r="C415" s="183"/>
      <c r="D415" s="66"/>
      <c r="E415" s="66"/>
      <c r="F415" s="66"/>
      <c r="G415" s="66"/>
      <c r="H415" s="73"/>
      <c r="I415" s="84"/>
      <c r="J415" s="79"/>
      <c r="K415" s="91"/>
      <c r="L415" s="66"/>
      <c r="M415" s="66"/>
      <c r="N415" s="66"/>
      <c r="O415" s="66"/>
      <c r="Q415" s="72" t="s">
        <v>353</v>
      </c>
      <c r="R415" s="72"/>
    </row>
    <row r="416" spans="1:18" s="72" customFormat="1" ht="18.75" customHeight="1" x14ac:dyDescent="0.2">
      <c r="A416" s="70">
        <v>41784</v>
      </c>
      <c r="B416" s="70">
        <v>41805</v>
      </c>
      <c r="C416" s="182">
        <v>13700203</v>
      </c>
      <c r="D416" s="72" t="s">
        <v>2421</v>
      </c>
      <c r="E416" s="169" t="s">
        <v>19</v>
      </c>
      <c r="F416" s="169" t="s">
        <v>2422</v>
      </c>
      <c r="G416" s="169" t="s">
        <v>383</v>
      </c>
      <c r="H416" s="73" t="s">
        <v>349</v>
      </c>
      <c r="I416" s="170">
        <v>47.03</v>
      </c>
      <c r="J416" s="170">
        <v>54.63</v>
      </c>
      <c r="K416" s="76">
        <v>51.44</v>
      </c>
      <c r="L416" s="76">
        <v>40.67</v>
      </c>
      <c r="M416" s="70">
        <v>42005</v>
      </c>
      <c r="N416" s="89">
        <v>44196</v>
      </c>
      <c r="O416" s="185" t="s">
        <v>19</v>
      </c>
      <c r="P416" s="195" t="s">
        <v>2326</v>
      </c>
      <c r="Q416" s="72" t="s">
        <v>383</v>
      </c>
      <c r="R416" s="72" t="str">
        <f>VLOOKUP($Q416,[1]Tabelle1!$A$1:$B$3884,2,FALSE)</f>
        <v>m</v>
      </c>
    </row>
    <row r="417" spans="1:18" ht="18.75" customHeight="1" x14ac:dyDescent="0.2">
      <c r="A417" s="79"/>
      <c r="B417" s="79"/>
      <c r="C417" s="183"/>
      <c r="D417" s="66"/>
      <c r="E417" s="171" t="s">
        <v>21</v>
      </c>
      <c r="F417" s="171" t="s">
        <v>2423</v>
      </c>
      <c r="G417" s="171" t="s">
        <v>622</v>
      </c>
      <c r="H417" s="73" t="s">
        <v>349</v>
      </c>
      <c r="I417" s="172">
        <v>38.03</v>
      </c>
      <c r="J417" s="172">
        <v>45.37</v>
      </c>
      <c r="K417" s="91"/>
      <c r="L417" s="66"/>
      <c r="M417" s="66"/>
      <c r="N417" s="66"/>
      <c r="O417" s="66"/>
      <c r="Q417" s="72" t="s">
        <v>353</v>
      </c>
      <c r="R417" s="72"/>
    </row>
    <row r="418" spans="1:18" ht="18.75" customHeight="1" x14ac:dyDescent="0.2">
      <c r="A418" s="79"/>
      <c r="B418" s="79"/>
      <c r="C418" s="183"/>
      <c r="D418" s="66"/>
      <c r="E418" s="171" t="s">
        <v>2424</v>
      </c>
      <c r="F418" s="171" t="s">
        <v>2424</v>
      </c>
      <c r="G418" s="171" t="s">
        <v>2425</v>
      </c>
      <c r="H418" s="73" t="s">
        <v>349</v>
      </c>
      <c r="I418" s="172">
        <v>9</v>
      </c>
      <c r="J418" s="79"/>
      <c r="K418" s="91"/>
      <c r="L418" s="66"/>
      <c r="M418" s="66"/>
      <c r="N418" s="66"/>
      <c r="O418" s="66"/>
      <c r="Q418" s="72" t="s">
        <v>353</v>
      </c>
      <c r="R418" s="72"/>
    </row>
    <row r="419" spans="1:18" ht="18.75" customHeight="1" x14ac:dyDescent="0.2">
      <c r="A419" s="79"/>
      <c r="B419" s="79"/>
      <c r="C419" s="183"/>
      <c r="D419" s="66"/>
      <c r="E419" s="171" t="s">
        <v>34</v>
      </c>
      <c r="F419" s="171" t="s">
        <v>2426</v>
      </c>
      <c r="G419" s="171" t="s">
        <v>476</v>
      </c>
      <c r="H419" s="73" t="s">
        <v>349</v>
      </c>
      <c r="I419" s="172">
        <v>5.94</v>
      </c>
      <c r="J419" s="79"/>
      <c r="K419" s="91"/>
      <c r="L419" s="66"/>
      <c r="M419" s="66"/>
      <c r="N419" s="66"/>
      <c r="O419" s="66"/>
      <c r="Q419" s="72" t="s">
        <v>353</v>
      </c>
      <c r="R419" s="72"/>
    </row>
    <row r="420" spans="1:18" ht="18.75" customHeight="1" x14ac:dyDescent="0.2">
      <c r="A420" s="79"/>
      <c r="B420" s="79"/>
      <c r="C420" s="183"/>
      <c r="D420" s="66"/>
      <c r="E420" s="66"/>
      <c r="F420" s="66"/>
      <c r="G420" s="66"/>
      <c r="H420" s="73"/>
      <c r="I420" s="84"/>
      <c r="J420" s="79"/>
      <c r="K420" s="91"/>
      <c r="L420" s="66"/>
      <c r="M420" s="66"/>
      <c r="N420" s="66"/>
      <c r="O420" s="66"/>
      <c r="Q420" s="72" t="s">
        <v>353</v>
      </c>
      <c r="R420" s="72"/>
    </row>
    <row r="421" spans="1:18" s="72" customFormat="1" ht="18.75" customHeight="1" x14ac:dyDescent="0.2">
      <c r="A421" s="70">
        <v>41903</v>
      </c>
      <c r="B421" s="70">
        <v>41917</v>
      </c>
      <c r="C421" s="182">
        <v>33800005</v>
      </c>
      <c r="D421" s="72" t="s">
        <v>2223</v>
      </c>
      <c r="E421" s="169" t="s">
        <v>19</v>
      </c>
      <c r="F421" s="169" t="s">
        <v>1203</v>
      </c>
      <c r="G421" s="169" t="s">
        <v>389</v>
      </c>
      <c r="H421" s="73" t="s">
        <v>349</v>
      </c>
      <c r="I421" s="170">
        <v>62.31</v>
      </c>
      <c r="J421" s="77"/>
      <c r="K421" s="76">
        <v>53.61</v>
      </c>
      <c r="L421" s="76"/>
      <c r="M421" s="70">
        <v>42064</v>
      </c>
      <c r="N421" s="89">
        <v>44985</v>
      </c>
      <c r="O421" s="185" t="s">
        <v>19</v>
      </c>
      <c r="P421" s="185" t="s">
        <v>1203</v>
      </c>
      <c r="Q421" s="72" t="s">
        <v>389</v>
      </c>
      <c r="R421" s="72" t="str">
        <f>VLOOKUP($Q421,[1]Tabelle1!$A$1:$B$3884,2,FALSE)</f>
        <v>m</v>
      </c>
    </row>
    <row r="422" spans="1:18" ht="18.75" customHeight="1" x14ac:dyDescent="0.2">
      <c r="A422" s="79"/>
      <c r="B422" s="79"/>
      <c r="C422" s="183"/>
      <c r="D422" s="66"/>
      <c r="E422" s="171" t="s">
        <v>21</v>
      </c>
      <c r="F422" s="171" t="s">
        <v>2427</v>
      </c>
      <c r="G422" s="171" t="s">
        <v>591</v>
      </c>
      <c r="H422" s="73" t="s">
        <v>349</v>
      </c>
      <c r="I422" s="172">
        <v>37.69</v>
      </c>
      <c r="J422" s="79"/>
      <c r="K422" s="91"/>
      <c r="L422" s="66"/>
      <c r="M422" s="66"/>
      <c r="N422" s="66"/>
      <c r="O422" s="66"/>
      <c r="Q422" s="72" t="s">
        <v>353</v>
      </c>
      <c r="R422" s="72"/>
    </row>
    <row r="423" spans="1:18" ht="18.75" customHeight="1" x14ac:dyDescent="0.2">
      <c r="A423" s="79"/>
      <c r="B423" s="79"/>
      <c r="C423" s="183"/>
      <c r="D423" s="66"/>
      <c r="E423" s="66"/>
      <c r="F423" s="66"/>
      <c r="G423" s="66"/>
      <c r="H423" s="73"/>
      <c r="I423" s="84"/>
      <c r="J423" s="79"/>
      <c r="K423" s="91"/>
      <c r="L423" s="66"/>
      <c r="M423" s="66"/>
      <c r="N423" s="66"/>
      <c r="O423" s="66"/>
      <c r="Q423" s="72" t="s">
        <v>353</v>
      </c>
      <c r="R423" s="72"/>
    </row>
    <row r="424" spans="1:18" s="72" customFormat="1" ht="18.75" customHeight="1" x14ac:dyDescent="0.2">
      <c r="A424" s="70">
        <v>41910</v>
      </c>
      <c r="B424" s="70">
        <v>41924</v>
      </c>
      <c r="C424" s="182">
        <v>13400045</v>
      </c>
      <c r="D424" s="72" t="s">
        <v>2247</v>
      </c>
      <c r="E424" s="169" t="s">
        <v>19</v>
      </c>
      <c r="F424" s="169" t="s">
        <v>2329</v>
      </c>
      <c r="G424" s="169" t="s">
        <v>1987</v>
      </c>
      <c r="H424" s="73" t="s">
        <v>349</v>
      </c>
      <c r="I424" s="170">
        <v>35.46</v>
      </c>
      <c r="J424" s="170">
        <v>50.14</v>
      </c>
      <c r="K424" s="76">
        <v>40.25</v>
      </c>
      <c r="L424" s="76">
        <v>35.65</v>
      </c>
      <c r="M424" s="70">
        <v>42064</v>
      </c>
      <c r="N424" s="89">
        <v>44985</v>
      </c>
      <c r="O424" s="196" t="s">
        <v>21</v>
      </c>
      <c r="P424" s="196" t="s">
        <v>646</v>
      </c>
      <c r="Q424" s="72" t="s">
        <v>854</v>
      </c>
      <c r="R424" s="72" t="str">
        <f>VLOOKUP($Q424,[1]Tabelle1!$A$1:$B$3884,2,FALSE)</f>
        <v>m</v>
      </c>
    </row>
    <row r="425" spans="1:18" ht="18.75" customHeight="1" x14ac:dyDescent="0.2">
      <c r="A425" s="79"/>
      <c r="B425" s="79"/>
      <c r="C425" s="183"/>
      <c r="D425" s="66"/>
      <c r="E425" s="171" t="s">
        <v>21</v>
      </c>
      <c r="F425" s="171" t="s">
        <v>646</v>
      </c>
      <c r="G425" s="171" t="s">
        <v>854</v>
      </c>
      <c r="H425" s="73" t="s">
        <v>349</v>
      </c>
      <c r="I425" s="172">
        <v>39.729999999999997</v>
      </c>
      <c r="J425" s="172">
        <v>49.86</v>
      </c>
      <c r="K425" s="91"/>
      <c r="L425" s="66"/>
      <c r="M425" s="66"/>
      <c r="N425" s="66"/>
      <c r="O425" s="66"/>
      <c r="Q425" s="72" t="s">
        <v>353</v>
      </c>
      <c r="R425" s="72"/>
    </row>
    <row r="426" spans="1:18" ht="18.75" customHeight="1" x14ac:dyDescent="0.2">
      <c r="A426" s="79"/>
      <c r="B426" s="79"/>
      <c r="C426" s="183"/>
      <c r="D426" s="66"/>
      <c r="E426" s="171" t="s">
        <v>34</v>
      </c>
      <c r="F426" s="171" t="s">
        <v>291</v>
      </c>
      <c r="G426" s="171" t="s">
        <v>476</v>
      </c>
      <c r="H426" s="73" t="s">
        <v>349</v>
      </c>
      <c r="I426" s="172">
        <v>24.8</v>
      </c>
      <c r="J426" s="79"/>
      <c r="K426" s="91"/>
      <c r="L426" s="66"/>
      <c r="M426" s="66"/>
      <c r="N426" s="66"/>
      <c r="O426" s="66"/>
      <c r="Q426" s="72" t="s">
        <v>353</v>
      </c>
      <c r="R426" s="72"/>
    </row>
    <row r="427" spans="1:18" ht="18.75" customHeight="1" x14ac:dyDescent="0.2">
      <c r="A427" s="79"/>
      <c r="B427" s="79"/>
      <c r="C427" s="183"/>
      <c r="D427" s="66"/>
      <c r="E427" s="66"/>
      <c r="F427" s="66"/>
      <c r="G427" s="66"/>
      <c r="H427" s="73"/>
      <c r="I427" s="84"/>
      <c r="J427" s="79"/>
      <c r="K427" s="91"/>
      <c r="L427" s="66"/>
      <c r="M427" s="66"/>
      <c r="N427" s="66"/>
      <c r="O427" s="66"/>
      <c r="Q427" s="72" t="s">
        <v>353</v>
      </c>
      <c r="R427" s="72"/>
    </row>
    <row r="428" spans="1:18" s="72" customFormat="1" ht="18.75" customHeight="1" x14ac:dyDescent="0.2">
      <c r="A428" s="70">
        <v>42064</v>
      </c>
      <c r="B428" s="70">
        <v>42078</v>
      </c>
      <c r="C428" s="182">
        <v>33800019</v>
      </c>
      <c r="D428" s="72" t="s">
        <v>2264</v>
      </c>
      <c r="E428" s="169" t="s">
        <v>21</v>
      </c>
      <c r="F428" s="169" t="s">
        <v>347</v>
      </c>
      <c r="G428" s="169" t="s">
        <v>741</v>
      </c>
      <c r="H428" s="73" t="s">
        <v>349</v>
      </c>
      <c r="I428" s="170">
        <v>94.92</v>
      </c>
      <c r="J428" s="77"/>
      <c r="K428" s="76">
        <v>36.4</v>
      </c>
      <c r="L428" s="76"/>
      <c r="M428" s="70">
        <v>42186</v>
      </c>
      <c r="N428" s="89">
        <v>45107</v>
      </c>
      <c r="O428" s="72" t="s">
        <v>21</v>
      </c>
      <c r="P428" s="72" t="s">
        <v>347</v>
      </c>
      <c r="Q428" s="72" t="s">
        <v>741</v>
      </c>
      <c r="R428" s="72" t="s">
        <v>349</v>
      </c>
    </row>
    <row r="429" spans="1:18" ht="18.75" customHeight="1" x14ac:dyDescent="0.2">
      <c r="A429" s="79"/>
      <c r="B429" s="79"/>
      <c r="C429" s="183"/>
      <c r="D429" s="66"/>
      <c r="E429" s="66"/>
      <c r="F429" s="66"/>
      <c r="G429" s="66"/>
      <c r="H429" s="73"/>
      <c r="I429" s="84"/>
      <c r="J429" s="79"/>
      <c r="K429" s="91"/>
      <c r="L429" s="66"/>
      <c r="M429" s="66"/>
      <c r="N429" s="66"/>
      <c r="O429" s="66"/>
      <c r="Q429" s="72" t="s">
        <v>353</v>
      </c>
      <c r="R429" s="72"/>
    </row>
    <row r="430" spans="1:18" s="72" customFormat="1" ht="18.75" customHeight="1" x14ac:dyDescent="0.2">
      <c r="A430" s="70">
        <v>42183</v>
      </c>
      <c r="B430" s="70">
        <v>42197</v>
      </c>
      <c r="C430" s="182">
        <v>33200002</v>
      </c>
      <c r="D430" s="72" t="s">
        <v>2228</v>
      </c>
      <c r="E430" s="169" t="s">
        <v>21</v>
      </c>
      <c r="F430" s="169" t="s">
        <v>2428</v>
      </c>
      <c r="G430" s="169" t="s">
        <v>899</v>
      </c>
      <c r="H430" s="73" t="s">
        <v>349</v>
      </c>
      <c r="I430" s="170">
        <v>44.02</v>
      </c>
      <c r="J430" s="170">
        <v>52.83</v>
      </c>
      <c r="K430" s="76">
        <v>52.15</v>
      </c>
      <c r="L430" s="76">
        <v>53.9</v>
      </c>
      <c r="M430" s="70">
        <v>42370</v>
      </c>
      <c r="N430" s="89">
        <v>45291</v>
      </c>
      <c r="O430" s="72" t="s">
        <v>19</v>
      </c>
      <c r="P430" s="72" t="s">
        <v>1333</v>
      </c>
      <c r="Q430" s="72" t="s">
        <v>348</v>
      </c>
      <c r="R430" s="72" t="str">
        <f>VLOOKUP($Q430,[1]Tabelle1!$A$1:$B$3884,2,FALSE)</f>
        <v>m</v>
      </c>
    </row>
    <row r="431" spans="1:18" ht="18.75" customHeight="1" x14ac:dyDescent="0.2">
      <c r="A431" s="79"/>
      <c r="B431" s="79"/>
      <c r="C431" s="183"/>
      <c r="D431" s="66"/>
      <c r="E431" s="171" t="s">
        <v>19</v>
      </c>
      <c r="F431" s="171" t="s">
        <v>2429</v>
      </c>
      <c r="G431" s="171" t="s">
        <v>993</v>
      </c>
      <c r="H431" s="73" t="s">
        <v>349</v>
      </c>
      <c r="I431" s="172">
        <v>47.98</v>
      </c>
      <c r="J431" s="172">
        <v>47.17</v>
      </c>
      <c r="K431" s="91"/>
      <c r="L431" s="66"/>
      <c r="M431" s="66"/>
      <c r="N431" s="66"/>
      <c r="O431" s="66"/>
      <c r="Q431" s="72" t="s">
        <v>353</v>
      </c>
      <c r="R431" s="72"/>
    </row>
    <row r="432" spans="1:18" ht="18.75" customHeight="1" x14ac:dyDescent="0.2">
      <c r="A432" s="79"/>
      <c r="B432" s="79"/>
      <c r="C432" s="183"/>
      <c r="D432" s="66"/>
      <c r="E432" s="171" t="s">
        <v>2430</v>
      </c>
      <c r="F432" s="171" t="s">
        <v>2430</v>
      </c>
      <c r="G432" s="171" t="s">
        <v>1458</v>
      </c>
      <c r="H432" s="73" t="s">
        <v>419</v>
      </c>
      <c r="I432" s="172">
        <v>7.99</v>
      </c>
      <c r="J432" s="79"/>
      <c r="K432" s="91"/>
      <c r="L432" s="66"/>
      <c r="M432" s="66"/>
      <c r="N432" s="66"/>
      <c r="O432" s="66"/>
      <c r="Q432" s="72" t="s">
        <v>353</v>
      </c>
      <c r="R432" s="72"/>
    </row>
    <row r="433" spans="1:18" ht="18.75" customHeight="1" x14ac:dyDescent="0.2">
      <c r="A433" s="79"/>
      <c r="B433" s="79"/>
      <c r="C433" s="183"/>
      <c r="D433" s="66"/>
      <c r="E433" s="66"/>
      <c r="F433" s="66"/>
      <c r="G433" s="66"/>
      <c r="H433" s="73"/>
      <c r="I433" s="84"/>
      <c r="J433" s="79"/>
      <c r="K433" s="91"/>
      <c r="L433" s="66"/>
      <c r="M433" s="66"/>
      <c r="N433" s="66"/>
      <c r="O433" s="66"/>
      <c r="Q433" s="72" t="s">
        <v>353</v>
      </c>
      <c r="R433" s="72"/>
    </row>
    <row r="434" spans="1:18" s="72" customFormat="1" ht="18.75" customHeight="1" x14ac:dyDescent="0.2">
      <c r="A434" s="70">
        <v>42316</v>
      </c>
      <c r="B434" s="70">
        <v>42330</v>
      </c>
      <c r="C434" s="182">
        <v>13800045</v>
      </c>
      <c r="D434" s="72" t="s">
        <v>2232</v>
      </c>
      <c r="E434" s="72" t="s">
        <v>21</v>
      </c>
      <c r="F434" s="72" t="s">
        <v>1919</v>
      </c>
      <c r="G434" s="72" t="s">
        <v>1068</v>
      </c>
      <c r="H434" s="73" t="s">
        <v>349</v>
      </c>
      <c r="I434" s="107">
        <v>48.79</v>
      </c>
      <c r="J434" s="107">
        <v>62.2</v>
      </c>
      <c r="K434" s="76">
        <v>37.1</v>
      </c>
      <c r="L434" s="76">
        <v>34.54</v>
      </c>
      <c r="M434" s="70">
        <v>42543</v>
      </c>
      <c r="N434" s="89">
        <v>45464</v>
      </c>
      <c r="O434" s="72" t="s">
        <v>21</v>
      </c>
      <c r="P434" s="72" t="s">
        <v>1919</v>
      </c>
      <c r="Q434" s="72" t="s">
        <v>1068</v>
      </c>
      <c r="R434" s="72" t="str">
        <f>VLOOKUP($Q434,[1]Tabelle1!$A$1:$B$3884,2,FALSE)</f>
        <v>m</v>
      </c>
    </row>
    <row r="435" spans="1:18" ht="18.75" customHeight="1" x14ac:dyDescent="0.2">
      <c r="A435" s="79"/>
      <c r="B435" s="79"/>
      <c r="C435" s="183"/>
      <c r="D435" s="66"/>
      <c r="E435" s="66" t="s">
        <v>19</v>
      </c>
      <c r="F435" s="66" t="s">
        <v>1112</v>
      </c>
      <c r="G435" s="66" t="s">
        <v>915</v>
      </c>
      <c r="H435" s="73" t="s">
        <v>349</v>
      </c>
      <c r="I435" s="115">
        <v>31.73</v>
      </c>
      <c r="J435" s="115">
        <v>37.799999999999997</v>
      </c>
      <c r="K435" s="91"/>
      <c r="L435" s="66"/>
      <c r="M435" s="66"/>
      <c r="N435" s="66"/>
      <c r="O435" s="66"/>
      <c r="Q435" s="72" t="s">
        <v>353</v>
      </c>
      <c r="R435" s="72"/>
    </row>
    <row r="436" spans="1:18" ht="18.75" customHeight="1" x14ac:dyDescent="0.2">
      <c r="A436" s="79"/>
      <c r="B436" s="79"/>
      <c r="C436" s="183"/>
      <c r="D436" s="66"/>
      <c r="E436" s="66" t="s">
        <v>1076</v>
      </c>
      <c r="F436" s="66" t="s">
        <v>1076</v>
      </c>
      <c r="G436" s="66" t="s">
        <v>1082</v>
      </c>
      <c r="H436" s="73" t="s">
        <v>349</v>
      </c>
      <c r="I436" s="115">
        <v>11.5</v>
      </c>
      <c r="J436" s="79"/>
      <c r="K436" s="91"/>
      <c r="L436" s="66"/>
      <c r="M436" s="66"/>
      <c r="N436" s="66"/>
      <c r="O436" s="66"/>
      <c r="Q436" s="72" t="s">
        <v>353</v>
      </c>
      <c r="R436" s="72"/>
    </row>
    <row r="437" spans="1:18" ht="18.75" customHeight="1" x14ac:dyDescent="0.2">
      <c r="A437" s="79"/>
      <c r="B437" s="79"/>
      <c r="C437" s="183"/>
      <c r="D437" s="66"/>
      <c r="E437" s="66" t="s">
        <v>34</v>
      </c>
      <c r="F437" s="66" t="s">
        <v>2022</v>
      </c>
      <c r="G437" s="66" t="s">
        <v>547</v>
      </c>
      <c r="H437" s="73" t="s">
        <v>349</v>
      </c>
      <c r="I437" s="115">
        <v>7.98</v>
      </c>
      <c r="J437" s="79"/>
      <c r="K437" s="91"/>
      <c r="L437" s="66"/>
      <c r="M437" s="66"/>
      <c r="N437" s="66"/>
      <c r="O437" s="66"/>
      <c r="Q437" s="72" t="s">
        <v>353</v>
      </c>
      <c r="R437" s="72"/>
    </row>
    <row r="438" spans="1:18" ht="18.75" customHeight="1" x14ac:dyDescent="0.2">
      <c r="A438" s="79"/>
      <c r="B438" s="79"/>
      <c r="C438" s="183"/>
      <c r="D438" s="66"/>
      <c r="E438" s="66"/>
      <c r="F438" s="66"/>
      <c r="G438" s="66"/>
      <c r="H438" s="73"/>
      <c r="I438" s="84"/>
      <c r="J438" s="79"/>
      <c r="K438" s="91"/>
      <c r="L438" s="66"/>
      <c r="M438" s="66"/>
      <c r="N438" s="66"/>
      <c r="O438" s="66"/>
      <c r="Q438" s="72" t="s">
        <v>353</v>
      </c>
      <c r="R438" s="72"/>
    </row>
    <row r="439" spans="1:18" s="72" customFormat="1" ht="18.75" customHeight="1" x14ac:dyDescent="0.2">
      <c r="A439" s="70">
        <v>42442</v>
      </c>
      <c r="B439" s="70">
        <v>42463</v>
      </c>
      <c r="C439" s="182">
        <v>33400501</v>
      </c>
      <c r="D439" s="72" t="s">
        <v>2230</v>
      </c>
      <c r="E439" s="72" t="s">
        <v>21</v>
      </c>
      <c r="F439" s="72" t="s">
        <v>2431</v>
      </c>
      <c r="G439" s="72" t="s">
        <v>1491</v>
      </c>
      <c r="H439" s="73" t="s">
        <v>349</v>
      </c>
      <c r="I439" s="107">
        <v>54.81</v>
      </c>
      <c r="J439" s="77"/>
      <c r="K439" s="76">
        <v>67.77</v>
      </c>
      <c r="L439" s="76"/>
      <c r="M439" s="70">
        <v>42552</v>
      </c>
      <c r="N439" s="89">
        <v>45473</v>
      </c>
      <c r="O439" s="72" t="s">
        <v>19</v>
      </c>
      <c r="P439" s="72" t="s">
        <v>2231</v>
      </c>
      <c r="Q439" s="72" t="s">
        <v>591</v>
      </c>
      <c r="R439" s="72" t="str">
        <f>VLOOKUP($Q439,[1]Tabelle1!$A$1:$B$3884,2,FALSE)</f>
        <v>m</v>
      </c>
    </row>
    <row r="440" spans="1:18" ht="18.75" customHeight="1" x14ac:dyDescent="0.2">
      <c r="A440" s="79"/>
      <c r="B440" s="79"/>
      <c r="C440" s="183"/>
      <c r="D440" s="66"/>
      <c r="E440" s="66" t="s">
        <v>19</v>
      </c>
      <c r="F440" s="66" t="s">
        <v>2432</v>
      </c>
      <c r="G440" s="66" t="s">
        <v>899</v>
      </c>
      <c r="H440" s="73" t="s">
        <v>349</v>
      </c>
      <c r="I440" s="115">
        <v>37.51</v>
      </c>
      <c r="J440" s="79"/>
      <c r="K440" s="91"/>
      <c r="L440" s="66"/>
      <c r="M440" s="66"/>
      <c r="N440" s="66"/>
      <c r="O440" s="66"/>
      <c r="Q440" s="72" t="s">
        <v>353</v>
      </c>
      <c r="R440" s="72"/>
    </row>
    <row r="441" spans="1:18" ht="18.75" customHeight="1" x14ac:dyDescent="0.2">
      <c r="A441" s="79"/>
      <c r="B441" s="79"/>
      <c r="C441" s="102"/>
      <c r="D441" s="66"/>
      <c r="E441" s="66" t="s">
        <v>2433</v>
      </c>
      <c r="F441" s="66" t="s">
        <v>2433</v>
      </c>
      <c r="G441" s="66" t="s">
        <v>440</v>
      </c>
      <c r="H441" s="73" t="s">
        <v>349</v>
      </c>
      <c r="I441" s="115">
        <v>7.68</v>
      </c>
      <c r="J441" s="66"/>
      <c r="K441" s="66"/>
      <c r="L441" s="66"/>
      <c r="M441" s="66"/>
      <c r="N441" s="66"/>
      <c r="O441" s="66"/>
      <c r="Q441" s="72" t="s">
        <v>353</v>
      </c>
      <c r="R441" s="72"/>
    </row>
    <row r="442" spans="1:18" ht="18.75" customHeight="1" x14ac:dyDescent="0.2">
      <c r="A442" s="79"/>
      <c r="B442" s="79"/>
      <c r="C442" s="102"/>
      <c r="D442" s="66"/>
      <c r="E442" s="66"/>
      <c r="F442" s="66"/>
      <c r="G442" s="66"/>
      <c r="H442" s="73"/>
      <c r="I442" s="115"/>
      <c r="J442" s="66"/>
      <c r="K442" s="102"/>
      <c r="L442" s="66"/>
      <c r="M442" s="66"/>
      <c r="N442" s="66"/>
      <c r="O442" s="66"/>
      <c r="Q442" s="72"/>
      <c r="R442" s="72"/>
    </row>
    <row r="443" spans="1:18" ht="18.75" customHeight="1" x14ac:dyDescent="0.2">
      <c r="A443" s="70">
        <v>42806</v>
      </c>
      <c r="B443" s="70">
        <v>42820</v>
      </c>
      <c r="C443" s="77" t="s">
        <v>2434</v>
      </c>
      <c r="D443" s="72" t="s">
        <v>2255</v>
      </c>
      <c r="E443" s="72" t="s">
        <v>19</v>
      </c>
      <c r="F443" s="72" t="s">
        <v>2346</v>
      </c>
      <c r="G443" s="72" t="s">
        <v>1005</v>
      </c>
      <c r="H443" s="73" t="s">
        <v>349</v>
      </c>
      <c r="I443" s="107">
        <v>91.7</v>
      </c>
      <c r="J443" s="72"/>
      <c r="K443" s="77">
        <v>33.79</v>
      </c>
      <c r="L443" s="72"/>
      <c r="M443" s="134">
        <v>42918</v>
      </c>
      <c r="N443" s="134">
        <v>45839</v>
      </c>
      <c r="O443" s="72" t="s">
        <v>19</v>
      </c>
      <c r="P443" s="72" t="s">
        <v>2346</v>
      </c>
      <c r="Q443" s="72" t="s">
        <v>1005</v>
      </c>
      <c r="R443" s="72" t="s">
        <v>349</v>
      </c>
    </row>
    <row r="444" spans="1:18" ht="18.75" customHeight="1" x14ac:dyDescent="0.2">
      <c r="A444" s="79"/>
      <c r="B444" s="79"/>
      <c r="C444" s="102"/>
      <c r="D444" s="66"/>
      <c r="E444" s="66" t="s">
        <v>180</v>
      </c>
      <c r="F444" s="66" t="s">
        <v>180</v>
      </c>
      <c r="G444" s="66" t="s">
        <v>1498</v>
      </c>
      <c r="H444" s="73" t="s">
        <v>1729</v>
      </c>
      <c r="I444" s="115">
        <v>8.3000000000000007</v>
      </c>
      <c r="J444" s="66"/>
      <c r="K444" s="102"/>
      <c r="L444" s="66"/>
      <c r="M444" s="66"/>
      <c r="N444" s="66"/>
      <c r="O444" s="66"/>
      <c r="Q444" s="72"/>
      <c r="R444" s="72"/>
    </row>
    <row r="445" spans="1:18" ht="18.75" customHeight="1" x14ac:dyDescent="0.2">
      <c r="A445" s="79"/>
      <c r="B445" s="79"/>
      <c r="C445" s="102"/>
      <c r="D445" s="66"/>
      <c r="E445" s="66"/>
      <c r="F445" s="66"/>
      <c r="G445" s="66"/>
      <c r="H445" s="73"/>
      <c r="I445" s="115"/>
      <c r="J445" s="66"/>
      <c r="K445" s="102"/>
      <c r="L445" s="66"/>
      <c r="M445" s="66"/>
      <c r="N445" s="66"/>
      <c r="O445" s="66"/>
      <c r="Q445" s="72"/>
      <c r="R445" s="72"/>
    </row>
    <row r="446" spans="1:18" ht="18.75" customHeight="1" x14ac:dyDescent="0.2">
      <c r="A446" s="70">
        <v>42862</v>
      </c>
      <c r="B446" s="70">
        <v>42876</v>
      </c>
      <c r="C446" s="77" t="s">
        <v>2435</v>
      </c>
      <c r="D446" s="72" t="s">
        <v>2260</v>
      </c>
      <c r="E446" s="72" t="s">
        <v>19</v>
      </c>
      <c r="F446" s="72" t="s">
        <v>109</v>
      </c>
      <c r="G446" s="72" t="s">
        <v>358</v>
      </c>
      <c r="H446" s="73" t="s">
        <v>349</v>
      </c>
      <c r="I446" s="107">
        <v>52.3</v>
      </c>
      <c r="J446" s="72"/>
      <c r="K446" s="77">
        <v>53.38</v>
      </c>
      <c r="L446" s="72"/>
      <c r="M446" s="134">
        <v>43101</v>
      </c>
      <c r="N446" s="134">
        <v>46022</v>
      </c>
      <c r="O446" s="72" t="s">
        <v>21</v>
      </c>
      <c r="P446" s="72" t="s">
        <v>2261</v>
      </c>
      <c r="Q446" s="72" t="s">
        <v>381</v>
      </c>
      <c r="R446" s="72" t="s">
        <v>349</v>
      </c>
    </row>
    <row r="447" spans="1:18" ht="18.75" customHeight="1" x14ac:dyDescent="0.2">
      <c r="A447" s="79"/>
      <c r="B447" s="79"/>
      <c r="C447" s="102"/>
      <c r="D447" s="66"/>
      <c r="E447" s="66" t="s">
        <v>21</v>
      </c>
      <c r="F447" s="66" t="s">
        <v>1210</v>
      </c>
      <c r="G447" s="66" t="s">
        <v>2293</v>
      </c>
      <c r="H447" s="73" t="s">
        <v>419</v>
      </c>
      <c r="I447" s="115">
        <v>43.38</v>
      </c>
      <c r="J447" s="66"/>
      <c r="K447" s="102"/>
      <c r="L447" s="66"/>
      <c r="M447" s="66"/>
      <c r="N447" s="66"/>
      <c r="O447" s="66"/>
      <c r="Q447" s="72"/>
      <c r="R447" s="72"/>
    </row>
    <row r="448" spans="1:18" ht="18.75" customHeight="1" x14ac:dyDescent="0.2">
      <c r="A448" s="79"/>
      <c r="B448" s="79"/>
      <c r="C448" s="102"/>
      <c r="D448" s="66"/>
      <c r="E448" s="66" t="s">
        <v>34</v>
      </c>
      <c r="F448" s="66" t="s">
        <v>2352</v>
      </c>
      <c r="G448" s="66" t="s">
        <v>2353</v>
      </c>
      <c r="H448" s="73" t="s">
        <v>349</v>
      </c>
      <c r="I448" s="115">
        <v>4.32</v>
      </c>
      <c r="J448" s="66"/>
      <c r="K448" s="66"/>
      <c r="L448" s="66"/>
      <c r="M448" s="66"/>
      <c r="N448" s="66"/>
      <c r="O448" s="66"/>
      <c r="Q448" s="72"/>
      <c r="R448" s="72"/>
    </row>
    <row r="449" spans="1:18" ht="18.75" customHeight="1" x14ac:dyDescent="0.2">
      <c r="A449" s="298"/>
      <c r="B449" s="298"/>
      <c r="C449" s="298"/>
      <c r="D449" s="298"/>
      <c r="E449" s="66"/>
      <c r="F449" s="66"/>
      <c r="G449" s="66"/>
      <c r="H449" s="73"/>
      <c r="I449" s="102"/>
      <c r="J449" s="66"/>
      <c r="K449" s="66"/>
      <c r="L449" s="66"/>
      <c r="M449" s="66"/>
      <c r="N449" s="66"/>
      <c r="O449" s="66"/>
      <c r="Q449" s="72" t="s">
        <v>353</v>
      </c>
      <c r="R449" s="72"/>
    </row>
    <row r="450" spans="1:18" ht="18.75" customHeight="1" x14ac:dyDescent="0.2">
      <c r="A450" s="70">
        <v>42869</v>
      </c>
      <c r="B450" s="70">
        <v>42883</v>
      </c>
      <c r="C450" s="77" t="s">
        <v>2436</v>
      </c>
      <c r="D450" s="72" t="s">
        <v>2272</v>
      </c>
      <c r="E450" s="72" t="s">
        <v>19</v>
      </c>
      <c r="F450" s="72" t="s">
        <v>2354</v>
      </c>
      <c r="G450" s="72" t="s">
        <v>1208</v>
      </c>
      <c r="H450" s="73" t="s">
        <v>349</v>
      </c>
      <c r="I450" s="204">
        <v>74.94</v>
      </c>
      <c r="J450" s="72"/>
      <c r="K450" s="77">
        <v>43.13</v>
      </c>
      <c r="L450" s="77"/>
      <c r="M450" s="134">
        <v>43101</v>
      </c>
      <c r="N450" s="134">
        <v>46022</v>
      </c>
      <c r="O450" s="72" t="s">
        <v>19</v>
      </c>
      <c r="P450" s="72" t="s">
        <v>2354</v>
      </c>
      <c r="Q450" s="72" t="s">
        <v>1208</v>
      </c>
      <c r="R450" s="72" t="s">
        <v>349</v>
      </c>
    </row>
    <row r="451" spans="1:18" x14ac:dyDescent="0.2">
      <c r="E451" s="66" t="s">
        <v>21</v>
      </c>
      <c r="F451" s="66" t="s">
        <v>736</v>
      </c>
      <c r="G451" s="66" t="s">
        <v>968</v>
      </c>
      <c r="H451" s="73" t="s">
        <v>349</v>
      </c>
      <c r="I451" s="206">
        <v>14.92</v>
      </c>
    </row>
    <row r="452" spans="1:18" x14ac:dyDescent="0.2">
      <c r="E452" s="66" t="s">
        <v>2437</v>
      </c>
      <c r="F452" s="66" t="s">
        <v>2437</v>
      </c>
      <c r="G452" s="66" t="s">
        <v>1022</v>
      </c>
      <c r="H452" s="73" t="s">
        <v>349</v>
      </c>
      <c r="I452" s="206">
        <v>10.14</v>
      </c>
    </row>
    <row r="453" spans="1:18" x14ac:dyDescent="0.2">
      <c r="I453" s="207"/>
    </row>
    <row r="454" spans="1:18" ht="12" x14ac:dyDescent="0.2">
      <c r="A454" s="70">
        <v>43002</v>
      </c>
      <c r="B454" s="70">
        <v>43023</v>
      </c>
      <c r="C454" s="77" t="s">
        <v>2438</v>
      </c>
      <c r="D454" s="72" t="s">
        <v>2232</v>
      </c>
      <c r="E454" s="72" t="s">
        <v>19</v>
      </c>
      <c r="F454" s="72" t="s">
        <v>2439</v>
      </c>
      <c r="G454" s="72" t="s">
        <v>1658</v>
      </c>
      <c r="H454" s="73" t="s">
        <v>349</v>
      </c>
      <c r="I454" s="204">
        <v>38.65</v>
      </c>
      <c r="J454" s="72">
        <v>59.56</v>
      </c>
      <c r="K454" s="77">
        <v>68.52</v>
      </c>
      <c r="L454" s="77">
        <v>40.07</v>
      </c>
      <c r="M454" s="134">
        <v>43053</v>
      </c>
      <c r="N454" s="134">
        <v>45974</v>
      </c>
      <c r="O454" s="72" t="s">
        <v>21</v>
      </c>
      <c r="P454" s="72" t="s">
        <v>1919</v>
      </c>
      <c r="Q454" s="72" t="s">
        <v>1068</v>
      </c>
      <c r="R454" s="72" t="s">
        <v>349</v>
      </c>
    </row>
    <row r="455" spans="1:18" x14ac:dyDescent="0.2">
      <c r="E455" s="66" t="s">
        <v>21</v>
      </c>
      <c r="F455" s="66" t="s">
        <v>2440</v>
      </c>
      <c r="G455" s="66" t="s">
        <v>383</v>
      </c>
      <c r="H455" s="73" t="s">
        <v>349</v>
      </c>
      <c r="I455" s="207">
        <v>33.270000000000003</v>
      </c>
      <c r="J455" s="69">
        <v>40.44</v>
      </c>
    </row>
    <row r="456" spans="1:18" x14ac:dyDescent="0.2">
      <c r="E456" s="66" t="s">
        <v>2441</v>
      </c>
      <c r="F456" s="66" t="s">
        <v>2441</v>
      </c>
      <c r="G456" s="66" t="s">
        <v>371</v>
      </c>
      <c r="H456" s="73" t="s">
        <v>349</v>
      </c>
      <c r="I456" s="207">
        <v>22.5</v>
      </c>
    </row>
    <row r="457" spans="1:18" x14ac:dyDescent="0.2">
      <c r="E457" s="66" t="s">
        <v>38</v>
      </c>
      <c r="F457" s="66" t="s">
        <v>1076</v>
      </c>
      <c r="G457" s="66" t="s">
        <v>1082</v>
      </c>
      <c r="H457" s="73" t="s">
        <v>349</v>
      </c>
      <c r="I457" s="207">
        <v>5.57</v>
      </c>
    </row>
    <row r="459" spans="1:18" ht="12" x14ac:dyDescent="0.2">
      <c r="A459" s="70">
        <v>43002</v>
      </c>
      <c r="B459" s="70">
        <v>43016</v>
      </c>
      <c r="C459" s="77" t="s">
        <v>2442</v>
      </c>
      <c r="D459" s="72" t="s">
        <v>2267</v>
      </c>
      <c r="E459" s="72" t="s">
        <v>2443</v>
      </c>
      <c r="F459" s="72" t="s">
        <v>2443</v>
      </c>
      <c r="G459" s="72" t="s">
        <v>2444</v>
      </c>
      <c r="H459" s="73" t="s">
        <v>349</v>
      </c>
      <c r="I459" s="204">
        <v>45.45</v>
      </c>
      <c r="J459" s="72">
        <v>71.45</v>
      </c>
      <c r="K459" s="77">
        <v>75.14</v>
      </c>
      <c r="L459" s="77">
        <v>48.64</v>
      </c>
      <c r="M459" s="134">
        <v>43101</v>
      </c>
      <c r="N459" s="134">
        <v>46022</v>
      </c>
      <c r="O459" s="72" t="s">
        <v>19</v>
      </c>
      <c r="P459" s="72" t="s">
        <v>2268</v>
      </c>
      <c r="Q459" s="72" t="s">
        <v>348</v>
      </c>
      <c r="R459" s="72" t="s">
        <v>349</v>
      </c>
    </row>
    <row r="460" spans="1:18" x14ac:dyDescent="0.2">
      <c r="E460" s="66" t="s">
        <v>19</v>
      </c>
      <c r="F460" s="66" t="s">
        <v>393</v>
      </c>
      <c r="G460" s="66" t="s">
        <v>915</v>
      </c>
      <c r="H460" s="73" t="s">
        <v>349</v>
      </c>
      <c r="I460" s="207">
        <v>28.75</v>
      </c>
      <c r="J460" s="69">
        <v>28.55</v>
      </c>
    </row>
    <row r="461" spans="1:18" x14ac:dyDescent="0.2">
      <c r="E461" s="66" t="s">
        <v>2445</v>
      </c>
      <c r="F461" s="66" t="s">
        <v>2446</v>
      </c>
      <c r="G461" s="66" t="s">
        <v>2447</v>
      </c>
      <c r="I461" s="207"/>
    </row>
    <row r="462" spans="1:18" x14ac:dyDescent="0.2">
      <c r="I462" s="207"/>
    </row>
    <row r="463" spans="1:18" ht="12" x14ac:dyDescent="0.2">
      <c r="A463" s="70">
        <v>43002</v>
      </c>
      <c r="B463" s="70">
        <v>43023</v>
      </c>
      <c r="C463" s="77" t="s">
        <v>2448</v>
      </c>
      <c r="D463" s="72" t="s">
        <v>2357</v>
      </c>
      <c r="E463" s="72" t="s">
        <v>19</v>
      </c>
      <c r="F463" s="72" t="s">
        <v>1004</v>
      </c>
      <c r="G463" s="72" t="s">
        <v>1005</v>
      </c>
      <c r="H463" s="72" t="s">
        <v>349</v>
      </c>
      <c r="I463" s="204">
        <v>51.91</v>
      </c>
      <c r="J463" s="72"/>
      <c r="K463" s="77">
        <v>68.25</v>
      </c>
      <c r="L463" s="77"/>
      <c r="M463" s="134">
        <v>43085</v>
      </c>
      <c r="N463" s="134">
        <v>46006</v>
      </c>
      <c r="O463" s="72" t="s">
        <v>19</v>
      </c>
      <c r="P463" s="72" t="s">
        <v>1004</v>
      </c>
      <c r="Q463" s="72" t="s">
        <v>1005</v>
      </c>
      <c r="R463" s="72" t="s">
        <v>349</v>
      </c>
    </row>
    <row r="464" spans="1:18" x14ac:dyDescent="0.2">
      <c r="E464" s="69" t="s">
        <v>2449</v>
      </c>
      <c r="F464" s="69" t="s">
        <v>2449</v>
      </c>
      <c r="G464" s="69" t="s">
        <v>547</v>
      </c>
      <c r="H464" s="69" t="s">
        <v>349</v>
      </c>
      <c r="I464" s="207">
        <v>48.09</v>
      </c>
    </row>
    <row r="466" spans="1:18" ht="12" x14ac:dyDescent="0.2">
      <c r="A466" s="70">
        <v>43051</v>
      </c>
      <c r="B466" s="70">
        <v>43065</v>
      </c>
      <c r="C466" s="77" t="s">
        <v>2450</v>
      </c>
      <c r="D466" s="72" t="s">
        <v>2367</v>
      </c>
      <c r="E466" s="72" t="s">
        <v>19</v>
      </c>
      <c r="F466" s="72" t="s">
        <v>2368</v>
      </c>
      <c r="G466" s="72" t="s">
        <v>1129</v>
      </c>
      <c r="H466" s="72" t="s">
        <v>349</v>
      </c>
      <c r="I466" s="204">
        <v>84.44</v>
      </c>
      <c r="J466" s="72"/>
      <c r="K466" s="77">
        <v>35.79</v>
      </c>
      <c r="L466" s="77"/>
      <c r="M466" s="134">
        <v>43313</v>
      </c>
      <c r="N466" s="134">
        <v>46234</v>
      </c>
      <c r="O466" s="72" t="s">
        <v>19</v>
      </c>
      <c r="P466" s="72" t="s">
        <v>2368</v>
      </c>
      <c r="Q466" s="72" t="s">
        <v>1129</v>
      </c>
      <c r="R466" s="72" t="s">
        <v>349</v>
      </c>
    </row>
    <row r="467" spans="1:18" ht="12" x14ac:dyDescent="0.2">
      <c r="A467" s="79"/>
      <c r="B467" s="79"/>
      <c r="C467" s="102"/>
      <c r="D467" s="66"/>
      <c r="E467" s="66" t="s">
        <v>207</v>
      </c>
      <c r="F467" s="66" t="s">
        <v>278</v>
      </c>
      <c r="G467" s="66" t="s">
        <v>615</v>
      </c>
      <c r="H467" s="66" t="s">
        <v>349</v>
      </c>
      <c r="I467" s="206">
        <v>15.56</v>
      </c>
      <c r="J467" s="66"/>
      <c r="K467" s="102"/>
      <c r="L467" s="102"/>
      <c r="M467" s="66"/>
      <c r="N467" s="66"/>
      <c r="O467" s="66"/>
    </row>
    <row r="468" spans="1:18" ht="12" x14ac:dyDescent="0.2">
      <c r="A468" s="79"/>
      <c r="B468" s="79"/>
      <c r="C468" s="102"/>
      <c r="D468" s="66"/>
      <c r="E468" s="66"/>
      <c r="F468" s="66"/>
      <c r="G468" s="66"/>
      <c r="H468" s="66"/>
      <c r="I468" s="102"/>
      <c r="J468" s="66"/>
      <c r="K468" s="102"/>
      <c r="L468" s="102"/>
      <c r="M468" s="66"/>
      <c r="N468" s="66"/>
      <c r="O468" s="66"/>
    </row>
    <row r="469" spans="1:18" ht="12" x14ac:dyDescent="0.2">
      <c r="A469" s="104">
        <v>43058</v>
      </c>
      <c r="B469" s="104">
        <v>43072</v>
      </c>
      <c r="C469" s="110" t="s">
        <v>2451</v>
      </c>
      <c r="D469" s="106" t="s">
        <v>2452</v>
      </c>
      <c r="E469" s="106" t="s">
        <v>21</v>
      </c>
      <c r="F469" s="106" t="s">
        <v>2136</v>
      </c>
      <c r="G469" s="208" t="s">
        <v>464</v>
      </c>
      <c r="H469" s="106" t="s">
        <v>349</v>
      </c>
      <c r="I469" s="107">
        <v>78.2</v>
      </c>
      <c r="J469" s="106"/>
      <c r="K469" s="77">
        <v>39.700000000000003</v>
      </c>
      <c r="L469" s="104"/>
      <c r="M469" s="104">
        <v>43330</v>
      </c>
      <c r="N469" s="209">
        <v>46112</v>
      </c>
      <c r="O469" s="72" t="s">
        <v>21</v>
      </c>
      <c r="P469" s="72" t="s">
        <v>2136</v>
      </c>
      <c r="Q469" s="72" t="s">
        <v>464</v>
      </c>
      <c r="R469" s="72" t="s">
        <v>349</v>
      </c>
    </row>
    <row r="470" spans="1:18" ht="12" x14ac:dyDescent="0.2">
      <c r="A470" s="113"/>
      <c r="B470" s="113"/>
      <c r="C470" s="118"/>
      <c r="D470" s="111"/>
      <c r="E470" s="111" t="s">
        <v>614</v>
      </c>
      <c r="F470" s="111" t="s">
        <v>614</v>
      </c>
      <c r="G470" s="210" t="s">
        <v>710</v>
      </c>
      <c r="H470" s="111" t="s">
        <v>349</v>
      </c>
      <c r="I470" s="115">
        <v>21.8</v>
      </c>
      <c r="J470" s="111"/>
      <c r="K470" s="118"/>
      <c r="L470" s="118"/>
      <c r="M470" s="110"/>
      <c r="N470" s="111"/>
      <c r="O470" s="66"/>
    </row>
    <row r="471" spans="1:18" ht="12" x14ac:dyDescent="0.2">
      <c r="A471" s="79"/>
      <c r="B471" s="79"/>
      <c r="C471" s="102"/>
      <c r="D471" s="66"/>
      <c r="E471" s="66"/>
      <c r="F471" s="66"/>
      <c r="G471" s="66"/>
      <c r="H471" s="66"/>
      <c r="I471" s="102"/>
      <c r="J471" s="66"/>
      <c r="K471" s="102"/>
      <c r="L471" s="102"/>
      <c r="M471" s="66"/>
      <c r="N471" s="66"/>
      <c r="O471" s="66"/>
    </row>
    <row r="472" spans="1:18" ht="12" x14ac:dyDescent="0.2">
      <c r="A472" s="70">
        <v>43163</v>
      </c>
      <c r="B472" s="70">
        <v>43177</v>
      </c>
      <c r="C472" s="77" t="s">
        <v>2453</v>
      </c>
      <c r="D472" s="72" t="s">
        <v>2454</v>
      </c>
      <c r="E472" s="72" t="s">
        <v>34</v>
      </c>
      <c r="F472" s="72" t="s">
        <v>2455</v>
      </c>
      <c r="G472" s="72" t="s">
        <v>1845</v>
      </c>
      <c r="H472" s="72" t="s">
        <v>349</v>
      </c>
      <c r="I472" s="204">
        <v>36.93</v>
      </c>
      <c r="J472" s="72">
        <v>62.03</v>
      </c>
      <c r="K472" s="77">
        <v>43.52</v>
      </c>
      <c r="L472" s="77">
        <v>42.64</v>
      </c>
      <c r="M472" s="134">
        <v>43323</v>
      </c>
      <c r="N472" s="134">
        <v>46244</v>
      </c>
      <c r="O472" s="72" t="s">
        <v>34</v>
      </c>
      <c r="P472" s="72" t="s">
        <v>2455</v>
      </c>
      <c r="Q472" s="72" t="s">
        <v>1845</v>
      </c>
      <c r="R472" s="72" t="s">
        <v>349</v>
      </c>
    </row>
    <row r="473" spans="1:18" ht="12" x14ac:dyDescent="0.2">
      <c r="A473" s="79"/>
      <c r="B473" s="79"/>
      <c r="C473" s="102"/>
      <c r="D473" s="66"/>
      <c r="E473" s="66" t="s">
        <v>19</v>
      </c>
      <c r="F473" s="66" t="s">
        <v>2456</v>
      </c>
      <c r="G473" s="66" t="s">
        <v>550</v>
      </c>
      <c r="H473" s="66" t="s">
        <v>349</v>
      </c>
      <c r="I473" s="206">
        <v>33.979999999999997</v>
      </c>
      <c r="J473" s="66">
        <v>37.97</v>
      </c>
      <c r="K473" s="102"/>
      <c r="L473" s="102"/>
      <c r="M473" s="66"/>
      <c r="N473" s="66"/>
      <c r="O473" s="66"/>
    </row>
    <row r="474" spans="1:18" ht="12" x14ac:dyDescent="0.2">
      <c r="A474" s="79"/>
      <c r="B474" s="79"/>
      <c r="C474" s="102"/>
      <c r="D474" s="66"/>
      <c r="E474" s="66" t="s">
        <v>21</v>
      </c>
      <c r="F474" s="66" t="s">
        <v>2457</v>
      </c>
      <c r="G474" s="66" t="s">
        <v>1904</v>
      </c>
      <c r="H474" s="66" t="s">
        <v>419</v>
      </c>
      <c r="I474" s="206">
        <v>14.62</v>
      </c>
      <c r="J474" s="66"/>
      <c r="K474" s="102"/>
      <c r="L474" s="102"/>
      <c r="M474" s="66"/>
      <c r="N474" s="66"/>
      <c r="O474" s="66"/>
    </row>
    <row r="475" spans="1:18" ht="12" x14ac:dyDescent="0.2">
      <c r="A475" s="79"/>
      <c r="B475" s="79"/>
      <c r="C475" s="102"/>
      <c r="D475" s="66"/>
      <c r="E475" s="66" t="s">
        <v>2458</v>
      </c>
      <c r="F475" s="66" t="s">
        <v>2459</v>
      </c>
      <c r="G475" s="66" t="s">
        <v>389</v>
      </c>
      <c r="H475" s="66" t="s">
        <v>349</v>
      </c>
      <c r="I475" s="115">
        <v>5.8</v>
      </c>
      <c r="J475" s="66"/>
      <c r="K475" s="102"/>
      <c r="L475" s="102"/>
      <c r="M475" s="66"/>
      <c r="N475" s="66"/>
      <c r="O475" s="66"/>
    </row>
    <row r="476" spans="1:18" ht="12" x14ac:dyDescent="0.2">
      <c r="A476" s="79"/>
      <c r="B476" s="79"/>
      <c r="C476" s="102"/>
      <c r="D476" s="66"/>
      <c r="E476" s="66" t="s">
        <v>2460</v>
      </c>
      <c r="F476" s="66" t="s">
        <v>2460</v>
      </c>
      <c r="G476" s="66" t="s">
        <v>2461</v>
      </c>
      <c r="H476" s="66" t="s">
        <v>349</v>
      </c>
      <c r="I476" s="206">
        <v>8.67</v>
      </c>
      <c r="J476" s="66"/>
      <c r="K476" s="102"/>
      <c r="L476" s="102"/>
      <c r="M476" s="66"/>
      <c r="N476" s="66"/>
      <c r="O476" s="66"/>
    </row>
    <row r="477" spans="1:18" ht="12" x14ac:dyDescent="0.2">
      <c r="A477" s="79"/>
      <c r="B477" s="79"/>
      <c r="C477" s="102"/>
      <c r="D477" s="66"/>
      <c r="E477" s="66"/>
      <c r="F477" s="66"/>
      <c r="G477" s="66"/>
      <c r="H477" s="66"/>
      <c r="I477" s="102"/>
      <c r="J477" s="66"/>
      <c r="K477" s="102"/>
      <c r="L477" s="102"/>
      <c r="M477" s="66"/>
      <c r="N477" s="66"/>
      <c r="O477" s="66"/>
    </row>
    <row r="478" spans="1:18" ht="12" x14ac:dyDescent="0.2">
      <c r="A478" s="70">
        <v>43163</v>
      </c>
      <c r="B478" s="70">
        <v>43177</v>
      </c>
      <c r="C478" s="77" t="s">
        <v>2462</v>
      </c>
      <c r="D478" s="72" t="s">
        <v>2144</v>
      </c>
      <c r="E478" s="72" t="s">
        <v>19</v>
      </c>
      <c r="F478" s="72" t="s">
        <v>2463</v>
      </c>
      <c r="G478" s="72" t="s">
        <v>1188</v>
      </c>
      <c r="H478" s="72" t="s">
        <v>349</v>
      </c>
      <c r="I478" s="204">
        <v>54.23</v>
      </c>
      <c r="J478" s="72"/>
      <c r="K478" s="77">
        <v>52.33</v>
      </c>
      <c r="L478" s="77"/>
      <c r="M478" s="134">
        <v>43334</v>
      </c>
      <c r="N478" s="134">
        <v>46255</v>
      </c>
      <c r="O478" s="72" t="s">
        <v>21</v>
      </c>
      <c r="P478" s="72" t="s">
        <v>2284</v>
      </c>
      <c r="Q478" s="72" t="s">
        <v>389</v>
      </c>
      <c r="R478" s="72" t="s">
        <v>349</v>
      </c>
    </row>
    <row r="479" spans="1:18" ht="12" x14ac:dyDescent="0.2">
      <c r="A479" s="79"/>
      <c r="B479" s="79"/>
      <c r="C479" s="102"/>
      <c r="D479" s="66"/>
      <c r="E479" s="66" t="s">
        <v>21</v>
      </c>
      <c r="F479" s="66" t="s">
        <v>2464</v>
      </c>
      <c r="G479" s="66" t="s">
        <v>547</v>
      </c>
      <c r="H479" s="66" t="s">
        <v>349</v>
      </c>
      <c r="I479" s="206">
        <v>45.77</v>
      </c>
      <c r="J479" s="66"/>
      <c r="K479" s="102"/>
      <c r="L479" s="102"/>
      <c r="M479" s="66"/>
      <c r="N479" s="66"/>
      <c r="O479" s="66"/>
    </row>
    <row r="480" spans="1:18" ht="12" x14ac:dyDescent="0.2">
      <c r="A480" s="79"/>
      <c r="B480" s="79"/>
      <c r="C480" s="102"/>
      <c r="D480" s="66"/>
      <c r="E480" s="66"/>
      <c r="F480" s="66"/>
      <c r="G480" s="66"/>
      <c r="H480" s="66"/>
      <c r="I480" s="102"/>
      <c r="J480" s="66"/>
      <c r="K480" s="102"/>
      <c r="L480" s="102"/>
      <c r="M480" s="66"/>
      <c r="N480" s="66"/>
      <c r="O480" s="66"/>
    </row>
    <row r="481" spans="1:19" ht="12" x14ac:dyDescent="0.2">
      <c r="A481" s="70">
        <v>43163</v>
      </c>
      <c r="B481" s="70">
        <v>43177</v>
      </c>
      <c r="C481" s="77" t="s">
        <v>2465</v>
      </c>
      <c r="D481" s="72" t="s">
        <v>2212</v>
      </c>
      <c r="E481" s="72" t="s">
        <v>19</v>
      </c>
      <c r="F481" s="72" t="s">
        <v>2466</v>
      </c>
      <c r="G481" s="72" t="s">
        <v>1498</v>
      </c>
      <c r="H481" s="72" t="s">
        <v>349</v>
      </c>
      <c r="I481" s="204">
        <v>54.45</v>
      </c>
      <c r="J481" s="72"/>
      <c r="K481" s="184">
        <v>47.4</v>
      </c>
      <c r="L481" s="77"/>
      <c r="M481" s="134">
        <v>43344</v>
      </c>
      <c r="N481" s="134">
        <v>46264</v>
      </c>
      <c r="O481" s="72" t="s">
        <v>19</v>
      </c>
      <c r="P481" s="72" t="s">
        <v>533</v>
      </c>
      <c r="Q481" s="72" t="s">
        <v>570</v>
      </c>
      <c r="R481" s="72" t="s">
        <v>349</v>
      </c>
    </row>
    <row r="482" spans="1:19" ht="12" x14ac:dyDescent="0.2">
      <c r="A482" s="79"/>
      <c r="B482" s="79"/>
      <c r="C482" s="102"/>
      <c r="D482" s="66"/>
      <c r="E482" s="66" t="s">
        <v>21</v>
      </c>
      <c r="F482" s="66" t="s">
        <v>2467</v>
      </c>
      <c r="G482" s="66" t="s">
        <v>2468</v>
      </c>
      <c r="H482" s="66" t="s">
        <v>349</v>
      </c>
      <c r="I482" s="206">
        <v>16.95</v>
      </c>
      <c r="J482" s="66"/>
      <c r="K482" s="102"/>
      <c r="L482" s="102"/>
      <c r="M482" s="66"/>
      <c r="N482" s="66"/>
      <c r="O482" s="66"/>
    </row>
    <row r="483" spans="1:19" ht="12" x14ac:dyDescent="0.2">
      <c r="A483" s="79"/>
      <c r="B483" s="79"/>
      <c r="C483" s="102"/>
      <c r="D483" s="66"/>
      <c r="E483" s="66" t="s">
        <v>38</v>
      </c>
      <c r="F483" s="66" t="s">
        <v>855</v>
      </c>
      <c r="G483" s="66" t="s">
        <v>2469</v>
      </c>
      <c r="H483" s="66" t="s">
        <v>349</v>
      </c>
      <c r="I483" s="206">
        <v>17.079999999999998</v>
      </c>
      <c r="J483" s="66"/>
      <c r="K483" s="102"/>
      <c r="L483" s="102"/>
      <c r="M483" s="66"/>
      <c r="N483" s="66"/>
      <c r="O483" s="66"/>
    </row>
    <row r="484" spans="1:19" ht="12" x14ac:dyDescent="0.2">
      <c r="A484" s="79"/>
      <c r="B484" s="79"/>
      <c r="C484" s="102"/>
      <c r="D484" s="66"/>
      <c r="E484" s="66" t="s">
        <v>2470</v>
      </c>
      <c r="F484" s="66" t="s">
        <v>2470</v>
      </c>
      <c r="G484" s="66" t="s">
        <v>389</v>
      </c>
      <c r="H484" s="66" t="s">
        <v>349</v>
      </c>
      <c r="I484" s="206">
        <v>11.51</v>
      </c>
      <c r="J484" s="66"/>
      <c r="K484" s="102"/>
      <c r="L484" s="102"/>
      <c r="M484" s="66"/>
      <c r="N484" s="66"/>
      <c r="O484" s="66"/>
    </row>
    <row r="485" spans="1:19" ht="12" x14ac:dyDescent="0.2">
      <c r="A485" s="79"/>
      <c r="B485" s="79"/>
      <c r="C485" s="102"/>
      <c r="D485" s="66"/>
      <c r="E485" s="66"/>
      <c r="F485" s="66"/>
      <c r="G485" s="66"/>
      <c r="H485" s="66"/>
      <c r="I485" s="102"/>
      <c r="J485" s="66"/>
      <c r="K485" s="102"/>
      <c r="L485" s="102"/>
      <c r="M485" s="66"/>
      <c r="N485" s="66"/>
      <c r="O485" s="66"/>
    </row>
    <row r="486" spans="1:19" ht="12" x14ac:dyDescent="0.2">
      <c r="A486" s="70">
        <v>43611</v>
      </c>
      <c r="B486" s="70">
        <v>43632</v>
      </c>
      <c r="C486" s="77" t="s">
        <v>2471</v>
      </c>
      <c r="D486" s="72" t="s">
        <v>2472</v>
      </c>
      <c r="E486" s="72" t="s">
        <v>34</v>
      </c>
      <c r="F486" s="72" t="s">
        <v>2380</v>
      </c>
      <c r="G486" s="72" t="s">
        <v>2381</v>
      </c>
      <c r="H486" s="72" t="s">
        <v>419</v>
      </c>
      <c r="I486" s="204">
        <v>51.5</v>
      </c>
      <c r="J486" s="72"/>
      <c r="K486" s="77">
        <v>62.4</v>
      </c>
      <c r="L486" s="77"/>
      <c r="M486" s="134">
        <v>43789</v>
      </c>
      <c r="N486" s="134">
        <v>46710</v>
      </c>
      <c r="O486" s="72" t="s">
        <v>34</v>
      </c>
      <c r="P486" s="72" t="s">
        <v>2380</v>
      </c>
      <c r="Q486" s="72" t="s">
        <v>2381</v>
      </c>
      <c r="R486" s="72" t="s">
        <v>419</v>
      </c>
    </row>
    <row r="487" spans="1:19" ht="12" x14ac:dyDescent="0.2">
      <c r="A487" s="79"/>
      <c r="B487" s="79"/>
      <c r="C487" s="102"/>
      <c r="D487" s="66"/>
      <c r="E487" s="66" t="s">
        <v>21</v>
      </c>
      <c r="F487" s="66" t="s">
        <v>2473</v>
      </c>
      <c r="G487" s="66" t="s">
        <v>477</v>
      </c>
      <c r="H487" s="66" t="s">
        <v>349</v>
      </c>
      <c r="I487" s="206">
        <v>11.4</v>
      </c>
      <c r="J487" s="66"/>
      <c r="K487" s="102"/>
      <c r="L487" s="102"/>
      <c r="M487" s="66"/>
      <c r="N487" s="66"/>
      <c r="O487" s="66"/>
    </row>
    <row r="488" spans="1:19" ht="12" x14ac:dyDescent="0.2">
      <c r="A488" s="79"/>
      <c r="B488" s="79"/>
      <c r="C488" s="102"/>
      <c r="D488" s="66"/>
      <c r="E488" s="66" t="s">
        <v>19</v>
      </c>
      <c r="F488" s="66" t="s">
        <v>2474</v>
      </c>
      <c r="G488" s="66" t="s">
        <v>721</v>
      </c>
      <c r="H488" s="66" t="s">
        <v>349</v>
      </c>
      <c r="I488" s="206">
        <v>32.5</v>
      </c>
      <c r="J488" s="66"/>
      <c r="K488" s="102"/>
      <c r="L488" s="102"/>
      <c r="M488" s="66"/>
      <c r="N488" s="66"/>
      <c r="O488" s="66"/>
    </row>
    <row r="489" spans="1:19" ht="12" x14ac:dyDescent="0.2">
      <c r="A489" s="79"/>
      <c r="B489" s="79"/>
      <c r="C489" s="102"/>
      <c r="D489" s="66"/>
      <c r="E489" s="66" t="s">
        <v>2475</v>
      </c>
      <c r="F489" s="66" t="s">
        <v>2475</v>
      </c>
      <c r="G489" s="66" t="s">
        <v>477</v>
      </c>
      <c r="H489" s="66" t="s">
        <v>349</v>
      </c>
      <c r="I489" s="206">
        <v>4.5999999999999996</v>
      </c>
      <c r="J489" s="66"/>
      <c r="K489" s="102"/>
      <c r="L489" s="102"/>
      <c r="M489" s="66"/>
      <c r="N489" s="66"/>
      <c r="O489" s="66"/>
    </row>
    <row r="490" spans="1:19" ht="12" x14ac:dyDescent="0.2">
      <c r="A490" s="79"/>
      <c r="B490" s="79"/>
      <c r="C490" s="102"/>
      <c r="D490" s="66"/>
      <c r="E490" s="66"/>
      <c r="F490" s="66"/>
      <c r="G490" s="66"/>
      <c r="H490" s="66"/>
      <c r="I490" s="102"/>
      <c r="J490" s="66"/>
      <c r="K490" s="102"/>
      <c r="L490" s="102"/>
      <c r="M490" s="66"/>
      <c r="N490" s="66"/>
      <c r="O490" s="66"/>
    </row>
    <row r="491" spans="1:19" ht="12" x14ac:dyDescent="0.2">
      <c r="A491" s="70">
        <v>43611</v>
      </c>
      <c r="B491" s="70">
        <v>43632</v>
      </c>
      <c r="C491" s="77" t="s">
        <v>2476</v>
      </c>
      <c r="D491" s="72" t="s">
        <v>2199</v>
      </c>
      <c r="E491" s="72" t="s">
        <v>19</v>
      </c>
      <c r="F491" s="72" t="s">
        <v>2382</v>
      </c>
      <c r="G491" s="72" t="s">
        <v>1188</v>
      </c>
      <c r="H491" s="72" t="s">
        <v>349</v>
      </c>
      <c r="I491" s="204">
        <v>83.8</v>
      </c>
      <c r="J491" s="72"/>
      <c r="K491" s="77">
        <v>61.9</v>
      </c>
      <c r="L491" s="77"/>
      <c r="M491" s="134">
        <v>43709</v>
      </c>
      <c r="N491" s="134">
        <v>45716</v>
      </c>
      <c r="O491" s="72" t="s">
        <v>19</v>
      </c>
      <c r="P491" s="72" t="s">
        <v>2382</v>
      </c>
      <c r="Q491" s="72" t="s">
        <v>1188</v>
      </c>
      <c r="R491" s="72" t="s">
        <v>349</v>
      </c>
    </row>
    <row r="492" spans="1:19" ht="12" x14ac:dyDescent="0.2">
      <c r="A492" s="79"/>
      <c r="B492" s="79"/>
      <c r="C492" s="102"/>
      <c r="D492" s="66"/>
      <c r="E492" s="66"/>
      <c r="F492" s="66"/>
      <c r="G492" s="66"/>
      <c r="H492" s="66"/>
      <c r="I492" s="102"/>
      <c r="J492" s="66"/>
      <c r="K492" s="102"/>
      <c r="L492" s="102"/>
      <c r="M492" s="66"/>
      <c r="N492" s="66"/>
      <c r="O492" s="66"/>
    </row>
    <row r="493" spans="1:19" s="111" customFormat="1" ht="12" x14ac:dyDescent="0.2">
      <c r="A493" s="104">
        <v>43611</v>
      </c>
      <c r="B493" s="104">
        <v>43632</v>
      </c>
      <c r="C493" s="110" t="s">
        <v>2477</v>
      </c>
      <c r="D493" s="106" t="s">
        <v>2478</v>
      </c>
      <c r="E493" s="106" t="s">
        <v>21</v>
      </c>
      <c r="F493" s="106" t="s">
        <v>2153</v>
      </c>
      <c r="G493" s="211" t="s">
        <v>547</v>
      </c>
      <c r="H493" s="106" t="s">
        <v>349</v>
      </c>
      <c r="I493" s="212">
        <v>55.6</v>
      </c>
      <c r="J493" s="106"/>
      <c r="K493" s="108">
        <v>71</v>
      </c>
      <c r="L493" s="110"/>
      <c r="M493" s="104">
        <v>43647</v>
      </c>
      <c r="N493" s="209">
        <v>46568</v>
      </c>
      <c r="S493" s="106" t="s">
        <v>2479</v>
      </c>
    </row>
    <row r="494" spans="1:19" s="111" customFormat="1" ht="12" x14ac:dyDescent="0.2">
      <c r="A494" s="213"/>
      <c r="B494" s="213"/>
      <c r="C494" s="214"/>
      <c r="E494" s="111" t="s">
        <v>19</v>
      </c>
      <c r="F494" s="111" t="s">
        <v>2385</v>
      </c>
      <c r="G494" s="124" t="s">
        <v>1102</v>
      </c>
      <c r="H494" s="111" t="s">
        <v>419</v>
      </c>
      <c r="I494" s="111">
        <v>44.4</v>
      </c>
      <c r="K494" s="118"/>
      <c r="L494" s="118"/>
      <c r="M494" s="110"/>
    </row>
    <row r="495" spans="1:19" s="111" customFormat="1" ht="12" x14ac:dyDescent="0.2">
      <c r="A495" s="213"/>
      <c r="B495" s="213"/>
      <c r="C495" s="214"/>
      <c r="G495" s="124"/>
      <c r="K495" s="118"/>
      <c r="L495" s="118"/>
      <c r="M495" s="110"/>
    </row>
    <row r="496" spans="1:19" s="72" customFormat="1" ht="12" x14ac:dyDescent="0.2">
      <c r="A496" s="70">
        <v>43779</v>
      </c>
      <c r="B496" s="70">
        <v>43793</v>
      </c>
      <c r="C496" s="77">
        <v>33900005</v>
      </c>
      <c r="D496" s="72" t="s">
        <v>2480</v>
      </c>
      <c r="E496" s="72" t="s">
        <v>19</v>
      </c>
      <c r="F496" s="72" t="s">
        <v>437</v>
      </c>
      <c r="G496" s="72" t="s">
        <v>476</v>
      </c>
      <c r="H496" s="72" t="s">
        <v>349</v>
      </c>
      <c r="I496" s="204">
        <v>46.9</v>
      </c>
      <c r="J496" s="72">
        <v>51.4</v>
      </c>
      <c r="K496" s="77">
        <v>50.7</v>
      </c>
      <c r="L496" s="77">
        <v>46.8</v>
      </c>
      <c r="M496" s="134">
        <v>43983</v>
      </c>
      <c r="N496" s="134">
        <v>46904</v>
      </c>
      <c r="O496" s="72" t="s">
        <v>19</v>
      </c>
      <c r="P496" s="72" t="s">
        <v>437</v>
      </c>
      <c r="Q496" s="72" t="s">
        <v>476</v>
      </c>
      <c r="R496" s="72" t="s">
        <v>349</v>
      </c>
    </row>
    <row r="497" spans="1:18" x14ac:dyDescent="0.2">
      <c r="E497" s="111" t="s">
        <v>21</v>
      </c>
      <c r="F497" s="111" t="s">
        <v>2389</v>
      </c>
      <c r="G497" s="69" t="s">
        <v>383</v>
      </c>
      <c r="H497" s="111" t="s">
        <v>349</v>
      </c>
      <c r="I497" s="207">
        <v>34.4</v>
      </c>
      <c r="J497" s="69">
        <v>48.6</v>
      </c>
    </row>
    <row r="498" spans="1:18" x14ac:dyDescent="0.2">
      <c r="E498" s="111" t="s">
        <v>34</v>
      </c>
      <c r="F498" s="111" t="s">
        <v>2310</v>
      </c>
      <c r="G498" s="69" t="s">
        <v>1228</v>
      </c>
      <c r="H498" s="111" t="s">
        <v>349</v>
      </c>
      <c r="I498" s="207">
        <v>18.7</v>
      </c>
    </row>
    <row r="499" spans="1:18" ht="12" x14ac:dyDescent="0.2">
      <c r="A499" s="79"/>
      <c r="B499" s="79"/>
      <c r="C499" s="102"/>
      <c r="D499" s="66"/>
      <c r="E499" s="66"/>
      <c r="F499" s="66"/>
      <c r="G499" s="66"/>
      <c r="H499" s="66"/>
      <c r="I499" s="102"/>
      <c r="J499" s="66"/>
      <c r="K499" s="102"/>
      <c r="L499" s="102"/>
      <c r="M499" s="66"/>
      <c r="N499" s="66"/>
      <c r="O499" s="66"/>
    </row>
    <row r="500" spans="1:18" s="72" customFormat="1" ht="12" x14ac:dyDescent="0.2">
      <c r="A500" s="70">
        <v>44087</v>
      </c>
      <c r="B500" s="70">
        <v>44101</v>
      </c>
      <c r="C500" s="77">
        <v>13700068</v>
      </c>
      <c r="D500" s="72" t="s">
        <v>2481</v>
      </c>
      <c r="E500" s="106" t="s">
        <v>21</v>
      </c>
      <c r="F500" s="106" t="s">
        <v>2482</v>
      </c>
      <c r="G500" s="72" t="s">
        <v>1040</v>
      </c>
      <c r="H500" s="106" t="s">
        <v>349</v>
      </c>
      <c r="I500" s="204">
        <v>43.3</v>
      </c>
      <c r="J500" s="72">
        <v>59.4</v>
      </c>
      <c r="K500" s="77">
        <v>46.8</v>
      </c>
      <c r="L500" s="77">
        <v>43.1</v>
      </c>
      <c r="M500" s="134">
        <v>44140</v>
      </c>
      <c r="N500" s="134">
        <v>47061</v>
      </c>
      <c r="O500" s="72" t="s">
        <v>34</v>
      </c>
      <c r="P500" s="72" t="s">
        <v>2391</v>
      </c>
      <c r="Q500" s="72" t="s">
        <v>2483</v>
      </c>
      <c r="R500" s="72" t="s">
        <v>349</v>
      </c>
    </row>
    <row r="501" spans="1:18" ht="12" x14ac:dyDescent="0.2">
      <c r="A501" s="79"/>
      <c r="B501" s="79"/>
      <c r="C501" s="102"/>
      <c r="D501" s="66"/>
      <c r="E501" s="111" t="s">
        <v>34</v>
      </c>
      <c r="F501" s="111" t="s">
        <v>2391</v>
      </c>
      <c r="G501" s="66" t="s">
        <v>2484</v>
      </c>
      <c r="H501" s="66"/>
      <c r="I501" s="123">
        <v>33</v>
      </c>
      <c r="J501" s="66">
        <v>40.6</v>
      </c>
      <c r="K501" s="102"/>
      <c r="L501" s="102"/>
      <c r="M501" s="66"/>
      <c r="N501" s="66"/>
      <c r="O501" s="66"/>
    </row>
    <row r="502" spans="1:18" ht="12" x14ac:dyDescent="0.2">
      <c r="A502" s="79"/>
      <c r="B502" s="79"/>
      <c r="C502" s="102"/>
      <c r="D502" s="66"/>
      <c r="E502" s="111" t="s">
        <v>19</v>
      </c>
      <c r="F502" s="111" t="s">
        <v>2485</v>
      </c>
      <c r="G502" s="66" t="s">
        <v>2486</v>
      </c>
      <c r="H502" s="66"/>
      <c r="I502" s="123">
        <v>23.6</v>
      </c>
      <c r="J502" s="66"/>
      <c r="K502" s="102"/>
      <c r="L502" s="102"/>
      <c r="M502" s="66"/>
      <c r="N502" s="66"/>
      <c r="O502" s="66"/>
    </row>
    <row r="503" spans="1:18" ht="12" x14ac:dyDescent="0.2">
      <c r="A503" s="79"/>
      <c r="B503" s="79"/>
      <c r="C503" s="102"/>
      <c r="D503" s="66"/>
      <c r="E503" s="66"/>
      <c r="F503" s="66"/>
      <c r="G503" s="66"/>
      <c r="H503" s="66"/>
      <c r="I503" s="123"/>
      <c r="J503" s="66"/>
      <c r="K503" s="102"/>
      <c r="L503" s="102"/>
      <c r="M503" s="66"/>
      <c r="N503" s="66"/>
      <c r="O503" s="66"/>
    </row>
    <row r="504" spans="1:18" s="72" customFormat="1" ht="12" x14ac:dyDescent="0.2">
      <c r="A504" s="70">
        <v>44101</v>
      </c>
      <c r="B504" s="70">
        <v>44852</v>
      </c>
      <c r="C504" s="77">
        <v>13700203</v>
      </c>
      <c r="D504" s="72" t="s">
        <v>2487</v>
      </c>
      <c r="E504" s="72" t="s">
        <v>21</v>
      </c>
      <c r="F504" s="72" t="s">
        <v>870</v>
      </c>
      <c r="G504" s="72" t="s">
        <v>899</v>
      </c>
      <c r="H504" s="72" t="s">
        <v>349</v>
      </c>
      <c r="I504" s="204">
        <v>56.9</v>
      </c>
      <c r="K504" s="77">
        <v>43.9</v>
      </c>
      <c r="L504" s="77"/>
      <c r="M504" s="134">
        <v>44197</v>
      </c>
      <c r="N504" s="134">
        <v>47118</v>
      </c>
      <c r="O504" s="72" t="s">
        <v>19</v>
      </c>
      <c r="P504" s="72" t="s">
        <v>2422</v>
      </c>
      <c r="Q504" s="72" t="s">
        <v>383</v>
      </c>
      <c r="R504" s="72" t="s">
        <v>349</v>
      </c>
    </row>
    <row r="505" spans="1:18" ht="12" x14ac:dyDescent="0.2">
      <c r="A505" s="79"/>
      <c r="B505" s="79"/>
      <c r="C505" s="102"/>
      <c r="D505" s="66"/>
      <c r="E505" s="66" t="s">
        <v>19</v>
      </c>
      <c r="F505" s="66" t="s">
        <v>2488</v>
      </c>
      <c r="G505" s="66" t="s">
        <v>1287</v>
      </c>
      <c r="H505" s="66"/>
      <c r="I505" s="206">
        <v>43.1</v>
      </c>
      <c r="J505" s="66"/>
      <c r="K505" s="102"/>
      <c r="L505" s="102"/>
      <c r="M505" s="66"/>
      <c r="N505" s="66"/>
      <c r="O505" s="66"/>
    </row>
    <row r="506" spans="1:18" ht="12" x14ac:dyDescent="0.2">
      <c r="A506" s="79"/>
      <c r="B506" s="79"/>
      <c r="C506" s="102"/>
      <c r="D506" s="66"/>
      <c r="E506" s="66"/>
      <c r="F506" s="66"/>
      <c r="G506" s="66"/>
      <c r="H506" s="66"/>
      <c r="I506" s="206"/>
      <c r="J506" s="66"/>
      <c r="K506" s="102"/>
      <c r="L506" s="102"/>
      <c r="M506" s="66"/>
      <c r="N506" s="66"/>
      <c r="O506" s="66"/>
    </row>
    <row r="507" spans="1:18" ht="12" x14ac:dyDescent="0.2">
      <c r="A507" s="79"/>
      <c r="B507" s="79"/>
      <c r="C507" s="102"/>
      <c r="D507" s="66"/>
      <c r="E507" s="66"/>
      <c r="F507" s="66"/>
      <c r="G507" s="66"/>
      <c r="H507" s="66"/>
      <c r="I507" s="206"/>
      <c r="J507" s="66"/>
      <c r="K507" s="102"/>
      <c r="L507" s="102"/>
      <c r="M507" s="66"/>
      <c r="N507" s="66"/>
      <c r="O507" s="66"/>
    </row>
    <row r="508" spans="1:18" s="72" customFormat="1" ht="12" x14ac:dyDescent="0.2">
      <c r="A508" s="70">
        <v>44101</v>
      </c>
      <c r="B508" s="70">
        <v>44845</v>
      </c>
      <c r="C508" s="77">
        <v>13100090</v>
      </c>
      <c r="D508" s="72" t="s">
        <v>2187</v>
      </c>
      <c r="E508" s="72" t="s">
        <v>19</v>
      </c>
      <c r="F508" s="72" t="s">
        <v>2311</v>
      </c>
      <c r="G508" s="72" t="s">
        <v>464</v>
      </c>
      <c r="H508" s="72" t="s">
        <v>349</v>
      </c>
      <c r="I508" s="204">
        <v>81.900000000000006</v>
      </c>
      <c r="K508" s="77">
        <v>51.4</v>
      </c>
      <c r="L508" s="77"/>
      <c r="M508" s="134">
        <v>44228</v>
      </c>
      <c r="N508" s="134">
        <v>47149</v>
      </c>
      <c r="O508" s="72" t="s">
        <v>19</v>
      </c>
      <c r="P508" s="72" t="s">
        <v>2311</v>
      </c>
      <c r="Q508" s="72" t="s">
        <v>464</v>
      </c>
      <c r="R508" s="72" t="s">
        <v>349</v>
      </c>
    </row>
    <row r="509" spans="1:18" ht="12" x14ac:dyDescent="0.2">
      <c r="A509" s="79"/>
      <c r="B509" s="79"/>
      <c r="C509" s="102"/>
      <c r="D509" s="66"/>
      <c r="E509" s="66"/>
      <c r="F509" s="66"/>
      <c r="G509" s="66"/>
      <c r="H509" s="66"/>
      <c r="I509" s="206"/>
      <c r="J509" s="66"/>
      <c r="K509" s="102"/>
      <c r="L509" s="102"/>
      <c r="M509" s="66"/>
      <c r="N509" s="66"/>
      <c r="O509" s="66"/>
    </row>
    <row r="510" spans="1:18" s="72" customFormat="1" ht="12" x14ac:dyDescent="0.2">
      <c r="A510" s="70">
        <v>44269</v>
      </c>
      <c r="B510" s="70">
        <v>44283</v>
      </c>
      <c r="C510" s="77">
        <v>14000501</v>
      </c>
      <c r="D510" s="72" t="s">
        <v>2489</v>
      </c>
      <c r="E510" s="72" t="s">
        <v>19</v>
      </c>
      <c r="F510" s="72" t="s">
        <v>2490</v>
      </c>
      <c r="G510" s="72" t="s">
        <v>2491</v>
      </c>
      <c r="H510" s="72" t="s">
        <v>349</v>
      </c>
      <c r="I510" s="204">
        <v>36.200000000000003</v>
      </c>
      <c r="J510" s="72">
        <v>53.5</v>
      </c>
      <c r="K510" s="77">
        <v>65.599999999999994</v>
      </c>
      <c r="L510" s="77">
        <v>58.7</v>
      </c>
      <c r="M510" s="134">
        <v>44483</v>
      </c>
      <c r="N510" s="134">
        <v>47404</v>
      </c>
      <c r="O510" s="72" t="s">
        <v>21</v>
      </c>
      <c r="P510" s="72" t="s">
        <v>2195</v>
      </c>
      <c r="Q510" s="72" t="s">
        <v>550</v>
      </c>
      <c r="R510" s="72" t="s">
        <v>349</v>
      </c>
    </row>
    <row r="511" spans="1:18" ht="12" x14ac:dyDescent="0.2">
      <c r="A511" s="79"/>
      <c r="B511" s="79"/>
      <c r="C511" s="102"/>
      <c r="D511" s="66"/>
      <c r="E511" s="66" t="s">
        <v>21</v>
      </c>
      <c r="F511" s="66" t="s">
        <v>2492</v>
      </c>
      <c r="G511" s="66" t="s">
        <v>1671</v>
      </c>
      <c r="H511" s="66"/>
      <c r="I511" s="123">
        <v>39</v>
      </c>
      <c r="J511" s="66">
        <v>46.5</v>
      </c>
      <c r="K511" s="102"/>
      <c r="L511" s="102"/>
      <c r="M511" s="66"/>
      <c r="N511" s="66"/>
      <c r="O511" s="66"/>
    </row>
    <row r="512" spans="1:18" ht="12" x14ac:dyDescent="0.2">
      <c r="A512" s="79"/>
      <c r="B512" s="79"/>
      <c r="C512" s="102"/>
      <c r="D512" s="66"/>
      <c r="E512" s="66" t="s">
        <v>2493</v>
      </c>
      <c r="F512" s="66" t="s">
        <v>2494</v>
      </c>
      <c r="G512" s="66" t="s">
        <v>2495</v>
      </c>
      <c r="H512" s="66"/>
      <c r="I512" s="206">
        <v>24.8</v>
      </c>
      <c r="J512" s="66"/>
      <c r="K512" s="102"/>
      <c r="L512" s="102"/>
      <c r="M512" s="66"/>
      <c r="N512" s="66"/>
      <c r="O512" s="66"/>
    </row>
    <row r="513" spans="1:18" ht="12" x14ac:dyDescent="0.2">
      <c r="A513" s="79"/>
      <c r="B513" s="79"/>
      <c r="C513" s="102"/>
      <c r="D513" s="66"/>
      <c r="E513" s="66"/>
      <c r="F513" s="66"/>
      <c r="G513" s="66"/>
      <c r="H513" s="66"/>
      <c r="I513" s="206"/>
      <c r="J513" s="66"/>
      <c r="K513" s="102"/>
      <c r="L513" s="102"/>
      <c r="M513" s="66"/>
      <c r="N513" s="66"/>
      <c r="O513" s="66"/>
    </row>
    <row r="514" spans="1:18" s="72" customFormat="1" ht="12" x14ac:dyDescent="0.2">
      <c r="A514" s="70">
        <v>44465</v>
      </c>
      <c r="B514" s="70">
        <v>44479</v>
      </c>
      <c r="C514" s="77">
        <v>14100075</v>
      </c>
      <c r="D514" s="72" t="s">
        <v>2496</v>
      </c>
      <c r="E514" s="72" t="s">
        <v>2497</v>
      </c>
      <c r="F514" s="72" t="s">
        <v>2497</v>
      </c>
      <c r="G514" s="72" t="s">
        <v>2498</v>
      </c>
      <c r="H514" s="72" t="s">
        <v>349</v>
      </c>
      <c r="I514" s="204">
        <v>52.8</v>
      </c>
      <c r="J514" s="72">
        <v>69.599999999999994</v>
      </c>
      <c r="K514" s="77"/>
      <c r="L514" s="77"/>
      <c r="M514" s="134">
        <v>44577</v>
      </c>
      <c r="N514" s="134">
        <v>47498</v>
      </c>
      <c r="O514" s="72" t="s">
        <v>19</v>
      </c>
      <c r="P514" s="72" t="s">
        <v>497</v>
      </c>
      <c r="Q514" s="72" t="s">
        <v>389</v>
      </c>
      <c r="R514" s="72" t="s">
        <v>349</v>
      </c>
    </row>
    <row r="515" spans="1:18" ht="12" x14ac:dyDescent="0.2">
      <c r="A515" s="79"/>
      <c r="B515" s="79"/>
      <c r="C515" s="102"/>
      <c r="D515" s="66"/>
      <c r="E515" s="66" t="s">
        <v>21</v>
      </c>
      <c r="F515" s="66" t="s">
        <v>2499</v>
      </c>
      <c r="G515" s="66" t="s">
        <v>1801</v>
      </c>
      <c r="H515" s="66"/>
      <c r="I515" s="206">
        <v>23.9</v>
      </c>
      <c r="J515" s="66"/>
      <c r="K515" s="102"/>
      <c r="L515" s="102"/>
      <c r="M515" s="66"/>
      <c r="N515" s="66"/>
      <c r="O515" s="66"/>
    </row>
    <row r="516" spans="1:18" ht="12" x14ac:dyDescent="0.2">
      <c r="A516" s="79"/>
      <c r="B516" s="79"/>
      <c r="C516" s="102"/>
      <c r="D516" s="66"/>
      <c r="E516" s="66" t="s">
        <v>19</v>
      </c>
      <c r="F516" s="66" t="s">
        <v>2500</v>
      </c>
      <c r="G516" s="66" t="s">
        <v>2501</v>
      </c>
      <c r="H516" s="66"/>
      <c r="I516" s="206">
        <v>23.3</v>
      </c>
      <c r="J516" s="66"/>
      <c r="K516" s="102"/>
      <c r="L516" s="102"/>
      <c r="M516" s="66"/>
      <c r="N516" s="66"/>
      <c r="O516" s="66"/>
    </row>
    <row r="517" spans="1:18" ht="12" x14ac:dyDescent="0.2">
      <c r="A517" s="79"/>
      <c r="B517" s="79"/>
      <c r="C517" s="102"/>
      <c r="D517" s="66"/>
      <c r="E517" s="66"/>
      <c r="F517" s="66"/>
      <c r="G517" s="66"/>
      <c r="H517" s="66"/>
      <c r="I517" s="206"/>
      <c r="J517" s="66"/>
      <c r="K517" s="102"/>
      <c r="L517" s="102"/>
      <c r="M517" s="66"/>
      <c r="N517" s="66"/>
      <c r="O517" s="66"/>
    </row>
    <row r="518" spans="1:18" s="72" customFormat="1" ht="12" x14ac:dyDescent="0.2">
      <c r="A518" s="70">
        <v>44465</v>
      </c>
      <c r="B518" s="70">
        <v>44479</v>
      </c>
      <c r="C518" s="77">
        <v>33800004</v>
      </c>
      <c r="D518" s="72" t="s">
        <v>2205</v>
      </c>
      <c r="E518" s="72" t="s">
        <v>21</v>
      </c>
      <c r="F518" s="72" t="s">
        <v>716</v>
      </c>
      <c r="G518" s="72" t="s">
        <v>383</v>
      </c>
      <c r="H518" s="72" t="s">
        <v>349</v>
      </c>
      <c r="I518" s="204">
        <v>49.8</v>
      </c>
      <c r="J518" s="72">
        <v>56.8</v>
      </c>
      <c r="K518" s="76">
        <v>74</v>
      </c>
      <c r="L518" s="77">
        <v>54.9</v>
      </c>
      <c r="M518" s="134">
        <v>44562</v>
      </c>
      <c r="N518" s="134">
        <v>47483</v>
      </c>
      <c r="O518" s="72" t="s">
        <v>21</v>
      </c>
      <c r="P518" s="72" t="s">
        <v>716</v>
      </c>
      <c r="Q518" s="72" t="s">
        <v>383</v>
      </c>
      <c r="R518" s="72" t="s">
        <v>349</v>
      </c>
    </row>
    <row r="519" spans="1:18" ht="12" x14ac:dyDescent="0.2">
      <c r="A519" s="79"/>
      <c r="B519" s="79"/>
      <c r="C519" s="102"/>
      <c r="D519" s="66"/>
      <c r="E519" s="66" t="s">
        <v>19</v>
      </c>
      <c r="F519" s="66" t="s">
        <v>2502</v>
      </c>
      <c r="G519" s="66" t="s">
        <v>1170</v>
      </c>
      <c r="H519" s="66"/>
      <c r="I519" s="206">
        <v>35.1</v>
      </c>
      <c r="J519" s="66">
        <v>43.2</v>
      </c>
      <c r="K519" s="102"/>
      <c r="L519" s="102"/>
      <c r="M519" s="66"/>
      <c r="N519" s="66"/>
      <c r="O519" s="66"/>
    </row>
    <row r="520" spans="1:18" ht="12" x14ac:dyDescent="0.2">
      <c r="A520" s="79"/>
      <c r="B520" s="79"/>
      <c r="C520" s="102"/>
      <c r="D520" s="66"/>
      <c r="E520" s="66" t="s">
        <v>34</v>
      </c>
      <c r="F520" s="66" t="s">
        <v>2503</v>
      </c>
      <c r="G520" s="66" t="s">
        <v>2002</v>
      </c>
      <c r="H520" s="66"/>
      <c r="I520" s="206">
        <v>15.1</v>
      </c>
      <c r="J520" s="66"/>
      <c r="K520" s="102"/>
      <c r="L520" s="102"/>
      <c r="M520" s="66"/>
      <c r="N520" s="66"/>
      <c r="O520" s="66"/>
    </row>
    <row r="521" spans="1:18" ht="12" x14ac:dyDescent="0.2">
      <c r="A521" s="79"/>
      <c r="B521" s="79"/>
      <c r="C521" s="102"/>
      <c r="D521" s="66"/>
      <c r="E521" s="66"/>
      <c r="F521" s="66"/>
      <c r="G521" s="66"/>
      <c r="H521" s="66"/>
      <c r="I521" s="206"/>
      <c r="J521" s="66"/>
      <c r="K521" s="102"/>
      <c r="L521" s="102"/>
      <c r="M521" s="66"/>
      <c r="N521" s="66"/>
      <c r="O521" s="66"/>
    </row>
    <row r="522" spans="1:18" s="72" customFormat="1" ht="12" x14ac:dyDescent="0.2">
      <c r="A522" s="70">
        <v>44626</v>
      </c>
      <c r="B522" s="70">
        <v>44640</v>
      </c>
      <c r="C522" s="77">
        <v>33100003</v>
      </c>
      <c r="D522" s="72" t="s">
        <v>2504</v>
      </c>
      <c r="E522" s="72" t="s">
        <v>21</v>
      </c>
      <c r="F522" s="72" t="s">
        <v>580</v>
      </c>
      <c r="G522" s="72" t="s">
        <v>1151</v>
      </c>
      <c r="H522" s="72" t="s">
        <v>349</v>
      </c>
      <c r="I522" s="204">
        <v>55.8</v>
      </c>
      <c r="K522" s="77">
        <v>55.8</v>
      </c>
      <c r="L522" s="77"/>
      <c r="M522" s="134">
        <v>44805</v>
      </c>
      <c r="N522" s="134">
        <v>47726</v>
      </c>
      <c r="O522" s="72" t="s">
        <v>26</v>
      </c>
      <c r="P522" s="72" t="s">
        <v>848</v>
      </c>
      <c r="Q522" s="72" t="s">
        <v>899</v>
      </c>
      <c r="R522" s="72" t="s">
        <v>349</v>
      </c>
    </row>
    <row r="523" spans="1:18" ht="12" x14ac:dyDescent="0.2">
      <c r="A523" s="79"/>
      <c r="B523" s="79"/>
      <c r="C523" s="102"/>
      <c r="D523" s="66"/>
      <c r="E523" s="66" t="s">
        <v>848</v>
      </c>
      <c r="F523" s="66" t="s">
        <v>848</v>
      </c>
      <c r="G523" s="66" t="s">
        <v>899</v>
      </c>
      <c r="H523" s="66"/>
      <c r="I523" s="206">
        <v>44.2</v>
      </c>
      <c r="J523" s="66"/>
      <c r="K523" s="102"/>
      <c r="L523" s="102"/>
      <c r="M523" s="66"/>
      <c r="N523" s="66"/>
      <c r="O523" s="66"/>
    </row>
    <row r="524" spans="1:18" ht="12" x14ac:dyDescent="0.2">
      <c r="A524" s="79"/>
      <c r="B524" s="79"/>
      <c r="C524" s="102"/>
      <c r="D524" s="66"/>
      <c r="E524" s="66"/>
      <c r="F524" s="66"/>
      <c r="G524" s="66"/>
      <c r="H524" s="66"/>
      <c r="I524" s="206"/>
      <c r="J524" s="66"/>
      <c r="K524" s="102"/>
      <c r="L524" s="102"/>
      <c r="M524" s="66"/>
      <c r="N524" s="66"/>
      <c r="O524" s="66"/>
    </row>
    <row r="525" spans="1:18" s="72" customFormat="1" ht="12" x14ac:dyDescent="0.2">
      <c r="A525" s="70">
        <v>44633</v>
      </c>
      <c r="B525" s="70">
        <v>44647</v>
      </c>
      <c r="C525" s="77">
        <v>13300006</v>
      </c>
      <c r="D525" s="72" t="s">
        <v>145</v>
      </c>
      <c r="E525" s="72" t="s">
        <v>38</v>
      </c>
      <c r="F525" s="72" t="s">
        <v>2505</v>
      </c>
      <c r="G525" s="72" t="s">
        <v>2506</v>
      </c>
      <c r="H525" s="72" t="s">
        <v>349</v>
      </c>
      <c r="I525" s="72">
        <v>38.799999999999997</v>
      </c>
      <c r="J525" s="72">
        <v>62.4</v>
      </c>
      <c r="K525" s="77">
        <v>36.200000000000003</v>
      </c>
      <c r="L525" s="77">
        <v>32.700000000000003</v>
      </c>
      <c r="M525" s="134">
        <v>44743</v>
      </c>
      <c r="N525" s="134">
        <v>47664</v>
      </c>
      <c r="O525" s="72" t="s">
        <v>21</v>
      </c>
      <c r="P525" s="72" t="s">
        <v>2507</v>
      </c>
      <c r="Q525" s="72" t="s">
        <v>1120</v>
      </c>
      <c r="R525" s="72" t="s">
        <v>419</v>
      </c>
    </row>
    <row r="526" spans="1:18" ht="12" x14ac:dyDescent="0.2">
      <c r="A526" s="79"/>
      <c r="B526" s="79"/>
      <c r="C526" s="102"/>
      <c r="D526" s="66"/>
      <c r="E526" s="66" t="s">
        <v>19</v>
      </c>
      <c r="F526" s="66" t="s">
        <v>2508</v>
      </c>
      <c r="G526" s="66" t="s">
        <v>1904</v>
      </c>
      <c r="H526" s="66"/>
      <c r="I526" s="66">
        <v>32.9</v>
      </c>
      <c r="J526" s="66">
        <v>37.6</v>
      </c>
      <c r="K526" s="102"/>
      <c r="L526" s="102"/>
      <c r="M526" s="66"/>
      <c r="N526" s="66"/>
      <c r="O526" s="66"/>
    </row>
    <row r="527" spans="1:18" ht="12" x14ac:dyDescent="0.2">
      <c r="A527" s="79"/>
      <c r="B527" s="79"/>
      <c r="C527" s="102"/>
      <c r="D527" s="66"/>
      <c r="E527" s="66" t="s">
        <v>21</v>
      </c>
      <c r="F527" s="66" t="s">
        <v>2378</v>
      </c>
      <c r="G527" s="66" t="s">
        <v>1120</v>
      </c>
      <c r="H527" s="66"/>
      <c r="I527" s="66">
        <v>23.7</v>
      </c>
      <c r="J527" s="66"/>
      <c r="K527" s="102"/>
      <c r="L527" s="102"/>
      <c r="M527" s="66"/>
      <c r="N527" s="66"/>
      <c r="O527" s="66"/>
    </row>
    <row r="528" spans="1:18" ht="12" x14ac:dyDescent="0.2">
      <c r="A528" s="79"/>
      <c r="B528" s="79"/>
      <c r="C528" s="102"/>
      <c r="D528" s="66"/>
      <c r="E528" s="66" t="s">
        <v>55</v>
      </c>
      <c r="F528" s="66" t="s">
        <v>2295</v>
      </c>
      <c r="G528" s="66" t="s">
        <v>416</v>
      </c>
      <c r="H528" s="66"/>
      <c r="I528" s="66">
        <v>4.5999999999999996</v>
      </c>
      <c r="J528" s="66"/>
      <c r="K528" s="102"/>
      <c r="L528" s="102"/>
      <c r="M528" s="66"/>
      <c r="N528" s="66"/>
      <c r="O528" s="66"/>
    </row>
    <row r="529" spans="1:18" ht="12" x14ac:dyDescent="0.2">
      <c r="A529" s="79"/>
      <c r="B529" s="79"/>
      <c r="C529" s="102"/>
      <c r="D529" s="66"/>
      <c r="E529" s="66"/>
      <c r="F529" s="66"/>
      <c r="G529" s="66"/>
      <c r="H529" s="66"/>
      <c r="I529" s="66"/>
      <c r="J529" s="66"/>
      <c r="K529" s="102"/>
      <c r="L529" s="102"/>
      <c r="M529" s="66"/>
      <c r="N529" s="66"/>
      <c r="O529" s="66"/>
    </row>
    <row r="530" spans="1:18" s="72" customFormat="1" ht="12" x14ac:dyDescent="0.2">
      <c r="A530" s="70">
        <v>44724</v>
      </c>
      <c r="B530" s="70">
        <v>44738</v>
      </c>
      <c r="C530" s="77">
        <v>33800005</v>
      </c>
      <c r="D530" s="72" t="s">
        <v>2223</v>
      </c>
      <c r="E530" s="72" t="s">
        <v>19</v>
      </c>
      <c r="F530" s="72" t="s">
        <v>1203</v>
      </c>
      <c r="G530" s="72" t="s">
        <v>389</v>
      </c>
      <c r="H530" s="72" t="s">
        <v>349</v>
      </c>
      <c r="I530" s="72">
        <v>60.3</v>
      </c>
      <c r="K530" s="77">
        <v>50.6</v>
      </c>
      <c r="L530" s="77"/>
      <c r="M530" s="134">
        <v>44986</v>
      </c>
      <c r="N530" s="134">
        <v>47907</v>
      </c>
      <c r="O530" s="72" t="s">
        <v>19</v>
      </c>
      <c r="P530" s="72" t="s">
        <v>1203</v>
      </c>
      <c r="Q530" s="72" t="s">
        <v>389</v>
      </c>
      <c r="R530" s="72" t="s">
        <v>349</v>
      </c>
    </row>
    <row r="531" spans="1:18" ht="12" x14ac:dyDescent="0.2">
      <c r="A531" s="79"/>
      <c r="B531" s="79"/>
      <c r="C531" s="102"/>
      <c r="D531" s="66"/>
      <c r="E531" s="66" t="s">
        <v>2427</v>
      </c>
      <c r="F531" s="66" t="s">
        <v>2509</v>
      </c>
      <c r="G531" s="66" t="s">
        <v>591</v>
      </c>
      <c r="H531" s="66"/>
      <c r="I531" s="66">
        <v>39.700000000000003</v>
      </c>
      <c r="J531" s="66"/>
      <c r="K531" s="102"/>
      <c r="L531" s="102"/>
      <c r="M531" s="66"/>
      <c r="N531" s="66"/>
      <c r="O531" s="66"/>
    </row>
    <row r="532" spans="1:18" ht="12" x14ac:dyDescent="0.2">
      <c r="A532" s="79"/>
      <c r="B532" s="79"/>
      <c r="C532" s="102"/>
      <c r="D532" s="66"/>
      <c r="E532" s="66"/>
      <c r="F532" s="66"/>
      <c r="G532" s="66"/>
      <c r="H532" s="66"/>
      <c r="I532" s="66"/>
      <c r="J532" s="66"/>
      <c r="K532" s="102"/>
      <c r="L532" s="102"/>
      <c r="M532" s="66"/>
      <c r="N532" s="66"/>
      <c r="O532" s="66"/>
    </row>
    <row r="533" spans="1:18" s="72" customFormat="1" ht="12" x14ac:dyDescent="0.2">
      <c r="A533" s="70">
        <v>44738</v>
      </c>
      <c r="B533" s="70">
        <v>44752</v>
      </c>
      <c r="C533" s="77">
        <v>13400045</v>
      </c>
      <c r="D533" s="72" t="s">
        <v>2510</v>
      </c>
      <c r="E533" s="72" t="s">
        <v>19</v>
      </c>
      <c r="F533" s="72" t="s">
        <v>2329</v>
      </c>
      <c r="G533" s="72" t="s">
        <v>776</v>
      </c>
      <c r="H533" s="72" t="s">
        <v>349</v>
      </c>
      <c r="I533" s="72">
        <v>88.1</v>
      </c>
      <c r="K533" s="77">
        <v>24.3</v>
      </c>
      <c r="L533" s="77"/>
      <c r="M533" s="134">
        <v>44986</v>
      </c>
      <c r="N533" s="134">
        <v>47907</v>
      </c>
      <c r="O533" s="72" t="s">
        <v>19</v>
      </c>
      <c r="P533" s="72" t="s">
        <v>2329</v>
      </c>
      <c r="Q533" s="72" t="s">
        <v>776</v>
      </c>
      <c r="R533" s="72" t="s">
        <v>349</v>
      </c>
    </row>
    <row r="534" spans="1:18" ht="12" x14ac:dyDescent="0.2">
      <c r="A534" s="79"/>
      <c r="B534" s="79"/>
      <c r="C534" s="102"/>
      <c r="D534" s="66"/>
      <c r="E534" s="66"/>
      <c r="F534" s="66"/>
      <c r="G534" s="66"/>
      <c r="H534" s="66"/>
      <c r="I534" s="66"/>
      <c r="J534" s="66"/>
      <c r="K534" s="102"/>
      <c r="L534" s="102"/>
      <c r="M534" s="66"/>
      <c r="N534" s="66"/>
      <c r="O534" s="66"/>
    </row>
    <row r="535" spans="1:18" s="72" customFormat="1" ht="12" x14ac:dyDescent="0.2">
      <c r="A535" s="70">
        <v>44878</v>
      </c>
      <c r="B535" s="70">
        <v>44892</v>
      </c>
      <c r="C535" s="77">
        <v>13700003</v>
      </c>
      <c r="D535" s="72" t="s">
        <v>2452</v>
      </c>
      <c r="E535" s="72" t="s">
        <v>55</v>
      </c>
      <c r="F535" s="72" t="s">
        <v>1478</v>
      </c>
      <c r="G535" s="72" t="s">
        <v>1170</v>
      </c>
      <c r="H535" s="72" t="s">
        <v>349</v>
      </c>
      <c r="I535" s="72">
        <v>60.9</v>
      </c>
      <c r="K535" s="77">
        <v>42.9</v>
      </c>
      <c r="L535" s="77"/>
      <c r="M535" s="134">
        <v>45017</v>
      </c>
      <c r="N535" s="134">
        <v>47938</v>
      </c>
      <c r="O535" s="72" t="s">
        <v>21</v>
      </c>
      <c r="P535" s="72" t="s">
        <v>2136</v>
      </c>
      <c r="Q535" s="72" t="s">
        <v>464</v>
      </c>
      <c r="R535" s="72" t="s">
        <v>349</v>
      </c>
    </row>
    <row r="536" spans="1:18" ht="12" x14ac:dyDescent="0.2">
      <c r="A536" s="79"/>
      <c r="B536" s="79"/>
      <c r="C536" s="102"/>
      <c r="D536" s="66"/>
      <c r="E536" s="66" t="s">
        <v>21</v>
      </c>
      <c r="F536" s="66" t="s">
        <v>2511</v>
      </c>
      <c r="G536" s="66" t="s">
        <v>702</v>
      </c>
      <c r="H536" s="66"/>
      <c r="I536" s="102"/>
      <c r="J536" s="66"/>
      <c r="K536" s="102"/>
      <c r="L536" s="102"/>
      <c r="M536" s="66"/>
      <c r="N536" s="66"/>
      <c r="O536" s="66"/>
    </row>
    <row r="537" spans="1:18" ht="12" x14ac:dyDescent="0.2">
      <c r="A537" s="79"/>
      <c r="B537" s="79"/>
      <c r="C537" s="102"/>
      <c r="D537" s="66"/>
      <c r="E537" s="66" t="s">
        <v>19</v>
      </c>
      <c r="F537" s="66" t="s">
        <v>2512</v>
      </c>
      <c r="G537" s="66" t="s">
        <v>2153</v>
      </c>
      <c r="H537" s="66"/>
      <c r="I537" s="102"/>
      <c r="J537" s="66"/>
      <c r="K537" s="102"/>
      <c r="L537" s="102"/>
      <c r="M537" s="66"/>
      <c r="N537" s="66"/>
      <c r="O537" s="66"/>
    </row>
    <row r="538" spans="1:18" ht="12" x14ac:dyDescent="0.2">
      <c r="A538" s="79"/>
      <c r="B538" s="79"/>
      <c r="C538" s="102"/>
      <c r="D538" s="66"/>
      <c r="E538" s="66" t="s">
        <v>614</v>
      </c>
      <c r="F538" s="66" t="s">
        <v>614</v>
      </c>
      <c r="G538" s="66" t="s">
        <v>710</v>
      </c>
      <c r="H538" s="66"/>
      <c r="I538" s="102"/>
      <c r="J538" s="66"/>
      <c r="K538" s="102"/>
      <c r="L538" s="102"/>
      <c r="M538" s="66"/>
      <c r="N538" s="66"/>
      <c r="O538" s="66"/>
    </row>
    <row r="539" spans="1:18" ht="12" x14ac:dyDescent="0.2">
      <c r="A539" s="79"/>
      <c r="B539" s="79"/>
      <c r="C539" s="102"/>
      <c r="D539" s="66"/>
      <c r="E539" s="66"/>
      <c r="F539" s="66"/>
      <c r="G539" s="66"/>
      <c r="H539" s="66"/>
      <c r="I539" s="102"/>
      <c r="J539" s="66"/>
      <c r="K539" s="102"/>
      <c r="L539" s="102"/>
      <c r="M539" s="66"/>
      <c r="N539" s="66"/>
      <c r="O539" s="66"/>
    </row>
    <row r="540" spans="1:18" s="72" customFormat="1" ht="12" x14ac:dyDescent="0.2">
      <c r="A540" s="70">
        <v>44990</v>
      </c>
      <c r="B540" s="70">
        <v>45004</v>
      </c>
      <c r="C540" s="77">
        <v>33800019</v>
      </c>
      <c r="D540" s="72" t="s">
        <v>2264</v>
      </c>
      <c r="E540" s="72" t="s">
        <v>21</v>
      </c>
      <c r="F540" s="72" t="s">
        <v>2513</v>
      </c>
      <c r="G540" s="72" t="s">
        <v>1644</v>
      </c>
      <c r="H540" s="72" t="s">
        <v>349</v>
      </c>
      <c r="I540" s="77">
        <v>54.9</v>
      </c>
      <c r="K540" s="77">
        <v>50.3</v>
      </c>
      <c r="L540" s="77"/>
      <c r="M540" s="134">
        <v>45108</v>
      </c>
      <c r="N540" s="134">
        <v>48029</v>
      </c>
      <c r="O540" s="72" t="s">
        <v>21</v>
      </c>
      <c r="P540" s="72" t="s">
        <v>347</v>
      </c>
      <c r="Q540" s="72" t="s">
        <v>741</v>
      </c>
      <c r="R540" s="72" t="s">
        <v>349</v>
      </c>
    </row>
    <row r="541" spans="1:18" ht="12" x14ac:dyDescent="0.2">
      <c r="A541" s="79"/>
      <c r="B541" s="79"/>
      <c r="C541" s="102"/>
      <c r="D541" s="66"/>
      <c r="E541" s="66" t="s">
        <v>34</v>
      </c>
      <c r="F541" s="66" t="s">
        <v>2514</v>
      </c>
      <c r="G541" s="66" t="s">
        <v>2515</v>
      </c>
      <c r="H541" s="66" t="s">
        <v>349</v>
      </c>
      <c r="I541" s="84">
        <v>21</v>
      </c>
      <c r="J541" s="66"/>
      <c r="K541" s="102"/>
      <c r="L541" s="102"/>
      <c r="M541" s="66"/>
      <c r="N541" s="66"/>
      <c r="O541" s="66"/>
    </row>
    <row r="542" spans="1:18" ht="12" x14ac:dyDescent="0.2">
      <c r="A542" s="79"/>
      <c r="B542" s="79"/>
      <c r="C542" s="102"/>
      <c r="D542" s="66"/>
      <c r="E542" s="66" t="s">
        <v>19</v>
      </c>
      <c r="F542" s="66" t="s">
        <v>2516</v>
      </c>
      <c r="G542" s="66" t="s">
        <v>358</v>
      </c>
      <c r="H542" s="66" t="s">
        <v>349</v>
      </c>
      <c r="I542" s="84">
        <v>24</v>
      </c>
      <c r="J542" s="66"/>
      <c r="K542" s="102"/>
      <c r="L542" s="102"/>
      <c r="M542" s="66"/>
      <c r="N542" s="66"/>
      <c r="O542" s="66"/>
    </row>
    <row r="543" spans="1:18" ht="12" x14ac:dyDescent="0.2">
      <c r="A543" s="79"/>
      <c r="B543" s="79"/>
      <c r="C543" s="102"/>
      <c r="D543" s="66"/>
      <c r="E543" s="66"/>
      <c r="F543" s="66"/>
      <c r="G543" s="66"/>
      <c r="H543" s="66"/>
      <c r="I543" s="84"/>
      <c r="J543" s="66"/>
      <c r="K543" s="102"/>
      <c r="L543" s="102"/>
      <c r="M543" s="66"/>
      <c r="N543" s="66"/>
      <c r="O543" s="66"/>
    </row>
    <row r="544" spans="1:18" s="72" customFormat="1" ht="12" x14ac:dyDescent="0.2">
      <c r="A544" s="70">
        <v>45102</v>
      </c>
      <c r="B544" s="70">
        <v>45116</v>
      </c>
      <c r="C544" s="77">
        <v>33200002</v>
      </c>
      <c r="D544" s="72" t="s">
        <v>151</v>
      </c>
      <c r="E544" s="72" t="s">
        <v>19</v>
      </c>
      <c r="F544" s="72" t="s">
        <v>2517</v>
      </c>
      <c r="G544" s="72" t="s">
        <v>2518</v>
      </c>
      <c r="H544" s="72" t="s">
        <v>419</v>
      </c>
      <c r="I544" s="76">
        <v>50</v>
      </c>
      <c r="K544" s="77">
        <v>49.2</v>
      </c>
      <c r="L544" s="77"/>
      <c r="M544" s="134">
        <v>45292</v>
      </c>
      <c r="N544" s="134">
        <v>48213</v>
      </c>
      <c r="O544" s="72" t="s">
        <v>21</v>
      </c>
      <c r="P544" s="72" t="s">
        <v>2428</v>
      </c>
      <c r="Q544" s="72" t="s">
        <v>899</v>
      </c>
      <c r="R544" s="72" t="s">
        <v>349</v>
      </c>
    </row>
    <row r="545" spans="1:18" ht="12" x14ac:dyDescent="0.2">
      <c r="A545" s="79"/>
      <c r="B545" s="79"/>
      <c r="C545" s="102"/>
      <c r="D545" s="66"/>
      <c r="E545" s="66" t="s">
        <v>21</v>
      </c>
      <c r="F545" s="66" t="s">
        <v>2428</v>
      </c>
      <c r="G545" s="66" t="s">
        <v>899</v>
      </c>
      <c r="H545" s="66" t="s">
        <v>349</v>
      </c>
      <c r="I545" s="84">
        <v>50</v>
      </c>
      <c r="J545" s="66"/>
      <c r="K545" s="102"/>
      <c r="L545" s="102"/>
      <c r="M545" s="66"/>
      <c r="N545" s="66"/>
      <c r="O545" s="66"/>
    </row>
    <row r="546" spans="1:18" ht="12" x14ac:dyDescent="0.2">
      <c r="A546" s="79"/>
      <c r="B546" s="79"/>
      <c r="C546" s="102"/>
      <c r="D546" s="66"/>
      <c r="E546" s="66"/>
      <c r="F546" s="66"/>
      <c r="G546" s="66"/>
      <c r="H546" s="66"/>
      <c r="I546" s="84"/>
      <c r="J546" s="66"/>
      <c r="K546" s="102"/>
      <c r="L546" s="102"/>
      <c r="M546" s="66"/>
      <c r="N546" s="66"/>
      <c r="O546" s="66"/>
    </row>
    <row r="547" spans="1:18" s="72" customFormat="1" ht="12" x14ac:dyDescent="0.2">
      <c r="A547" s="70">
        <v>45242</v>
      </c>
      <c r="B547" s="70">
        <v>45256</v>
      </c>
      <c r="C547" s="77">
        <v>33400501</v>
      </c>
      <c r="D547" s="72" t="s">
        <v>2519</v>
      </c>
      <c r="E547" s="72" t="s">
        <v>2520</v>
      </c>
      <c r="F547" s="72" t="s">
        <v>2521</v>
      </c>
      <c r="G547" s="72" t="s">
        <v>1151</v>
      </c>
      <c r="H547" s="72" t="s">
        <v>349</v>
      </c>
      <c r="I547" s="76">
        <v>33.299999999999997</v>
      </c>
      <c r="J547" s="215">
        <v>64</v>
      </c>
      <c r="K547" s="76">
        <v>45.7</v>
      </c>
      <c r="L547" s="76">
        <v>46</v>
      </c>
      <c r="M547" s="134">
        <v>45474</v>
      </c>
      <c r="N547" s="134">
        <v>48395</v>
      </c>
      <c r="O547" s="72" t="s">
        <v>21</v>
      </c>
      <c r="P547" s="72" t="s">
        <v>2431</v>
      </c>
      <c r="Q547" s="72" t="s">
        <v>1491</v>
      </c>
      <c r="R547" s="72" t="s">
        <v>349</v>
      </c>
    </row>
    <row r="548" spans="1:18" ht="12" x14ac:dyDescent="0.2">
      <c r="A548" s="79"/>
      <c r="B548" s="79"/>
      <c r="C548" s="102"/>
      <c r="D548" s="66"/>
      <c r="E548" s="66" t="s">
        <v>21</v>
      </c>
      <c r="F548" s="66" t="s">
        <v>2431</v>
      </c>
      <c r="G548" s="66" t="s">
        <v>1491</v>
      </c>
      <c r="H548" s="66" t="s">
        <v>349</v>
      </c>
      <c r="I548" s="84">
        <v>36.299999999999997</v>
      </c>
      <c r="J548" s="103">
        <v>36</v>
      </c>
      <c r="K548" s="84"/>
      <c r="L548" s="84"/>
      <c r="M548" s="66"/>
      <c r="N548" s="66"/>
      <c r="O548" s="66"/>
    </row>
    <row r="549" spans="1:18" ht="12" x14ac:dyDescent="0.2">
      <c r="A549" s="79"/>
      <c r="B549" s="79"/>
      <c r="C549" s="102"/>
      <c r="D549" s="66"/>
      <c r="E549" s="66" t="s">
        <v>19</v>
      </c>
      <c r="F549" s="66" t="s">
        <v>588</v>
      </c>
      <c r="G549" s="66" t="s">
        <v>389</v>
      </c>
      <c r="H549" s="66" t="s">
        <v>349</v>
      </c>
      <c r="I549" s="84">
        <v>30.4</v>
      </c>
      <c r="J549" s="103"/>
      <c r="K549" s="84"/>
      <c r="L549" s="84"/>
      <c r="M549" s="66"/>
      <c r="N549" s="66"/>
      <c r="O549" s="66"/>
    </row>
    <row r="550" spans="1:18" x14ac:dyDescent="0.2">
      <c r="I550" s="179"/>
      <c r="J550" s="216"/>
      <c r="K550" s="217"/>
      <c r="L550" s="217"/>
    </row>
    <row r="551" spans="1:18" s="72" customFormat="1" ht="12" x14ac:dyDescent="0.2">
      <c r="A551" s="70">
        <v>45620</v>
      </c>
      <c r="B551" s="70">
        <v>45641</v>
      </c>
      <c r="C551" s="77">
        <v>23100502</v>
      </c>
      <c r="D551" s="72" t="s">
        <v>2199</v>
      </c>
      <c r="E551" s="72" t="s">
        <v>2522</v>
      </c>
      <c r="F551" s="72" t="s">
        <v>2522</v>
      </c>
      <c r="G551" s="72" t="s">
        <v>2523</v>
      </c>
      <c r="H551" s="72" t="s">
        <v>349</v>
      </c>
      <c r="I551" s="76">
        <v>60.2</v>
      </c>
      <c r="J551" s="215"/>
      <c r="K551" s="76">
        <v>56.5</v>
      </c>
      <c r="L551" s="76"/>
      <c r="M551" s="134">
        <v>45717</v>
      </c>
      <c r="N551" s="134">
        <v>48638</v>
      </c>
      <c r="O551" s="72" t="s">
        <v>19</v>
      </c>
      <c r="P551" s="72" t="s">
        <v>2382</v>
      </c>
      <c r="Q551" s="72" t="s">
        <v>1188</v>
      </c>
      <c r="R551" s="72" t="s">
        <v>349</v>
      </c>
    </row>
    <row r="552" spans="1:18" x14ac:dyDescent="0.2">
      <c r="E552" s="66" t="s">
        <v>2524</v>
      </c>
      <c r="F552" s="66" t="s">
        <v>2524</v>
      </c>
      <c r="G552" s="66" t="s">
        <v>2082</v>
      </c>
      <c r="H552" s="66" t="s">
        <v>349</v>
      </c>
      <c r="I552" s="179">
        <v>39.799999999999997</v>
      </c>
      <c r="J552" s="216"/>
      <c r="K552" s="217"/>
      <c r="L552" s="217"/>
    </row>
    <row r="553" spans="1:18" x14ac:dyDescent="0.2">
      <c r="I553" s="179"/>
      <c r="J553" s="216"/>
      <c r="K553" s="217"/>
      <c r="L553" s="217"/>
    </row>
    <row r="554" spans="1:18" s="72" customFormat="1" ht="12" x14ac:dyDescent="0.2">
      <c r="A554" s="70">
        <v>45711</v>
      </c>
      <c r="B554" s="70">
        <v>45732</v>
      </c>
      <c r="C554" s="77">
        <v>13800045</v>
      </c>
      <c r="D554" s="72" t="s">
        <v>2525</v>
      </c>
      <c r="E554" s="72" t="s">
        <v>19</v>
      </c>
      <c r="F554" s="72" t="s">
        <v>2439</v>
      </c>
      <c r="G554" s="72" t="s">
        <v>1658</v>
      </c>
      <c r="H554" s="72" t="s">
        <v>349</v>
      </c>
      <c r="I554" s="76">
        <v>55</v>
      </c>
      <c r="J554" s="215"/>
      <c r="K554" s="76">
        <v>72.7</v>
      </c>
      <c r="L554" s="76"/>
      <c r="M554" s="134">
        <v>45975</v>
      </c>
      <c r="N554" s="134">
        <v>48896</v>
      </c>
      <c r="O554" s="72" t="s">
        <v>19</v>
      </c>
      <c r="P554" s="72" t="s">
        <v>2439</v>
      </c>
      <c r="Q554" s="72" t="s">
        <v>1658</v>
      </c>
      <c r="R554" s="72" t="s">
        <v>349</v>
      </c>
    </row>
    <row r="555" spans="1:18" ht="12" x14ac:dyDescent="0.2">
      <c r="A555" s="79"/>
      <c r="B555" s="79"/>
      <c r="C555" s="102"/>
      <c r="D555" s="66"/>
      <c r="E555" s="66" t="s">
        <v>21</v>
      </c>
      <c r="F555" s="66" t="s">
        <v>2526</v>
      </c>
      <c r="G555" s="66" t="s">
        <v>1472</v>
      </c>
      <c r="H555" s="66" t="s">
        <v>349</v>
      </c>
      <c r="I555" s="84">
        <v>27.1</v>
      </c>
      <c r="J555" s="103"/>
      <c r="K555" s="84"/>
      <c r="L555" s="84"/>
      <c r="M555" s="66"/>
      <c r="N555" s="66"/>
      <c r="O555" s="66"/>
    </row>
    <row r="556" spans="1:18" ht="12" x14ac:dyDescent="0.2">
      <c r="A556" s="79"/>
      <c r="B556" s="79"/>
      <c r="C556" s="102"/>
      <c r="D556" s="66"/>
      <c r="E556" s="66" t="s">
        <v>1626</v>
      </c>
      <c r="F556" s="66" t="s">
        <v>2527</v>
      </c>
      <c r="G556" s="66" t="s">
        <v>1116</v>
      </c>
      <c r="H556" s="66" t="s">
        <v>349</v>
      </c>
      <c r="I556" s="84">
        <v>17.899999999999999</v>
      </c>
      <c r="J556" s="103"/>
      <c r="K556" s="84"/>
      <c r="L556" s="84"/>
      <c r="M556" s="66"/>
      <c r="N556" s="66"/>
      <c r="O556" s="66"/>
    </row>
    <row r="557" spans="1:18" ht="12" x14ac:dyDescent="0.2">
      <c r="A557" s="79"/>
      <c r="B557" s="79"/>
      <c r="C557" s="102"/>
      <c r="D557" s="66"/>
      <c r="E557" s="66"/>
      <c r="F557" s="66"/>
      <c r="G557" s="66"/>
      <c r="H557" s="66"/>
      <c r="I557" s="84"/>
      <c r="J557" s="103"/>
      <c r="K557" s="84"/>
      <c r="L557" s="84"/>
      <c r="M557" s="66"/>
      <c r="N557" s="66"/>
      <c r="O557" s="66"/>
    </row>
    <row r="558" spans="1:18" s="72" customFormat="1" ht="12" x14ac:dyDescent="0.2">
      <c r="A558" s="70">
        <v>45711</v>
      </c>
      <c r="B558" s="70">
        <v>45725</v>
      </c>
      <c r="C558" s="77">
        <v>23100134</v>
      </c>
      <c r="D558" s="72" t="s">
        <v>2528</v>
      </c>
      <c r="E558" s="72" t="s">
        <v>2346</v>
      </c>
      <c r="F558" s="72" t="s">
        <v>2346</v>
      </c>
      <c r="G558" s="72" t="s">
        <v>1005</v>
      </c>
      <c r="H558" s="72" t="s">
        <v>349</v>
      </c>
      <c r="I558" s="76">
        <v>82</v>
      </c>
      <c r="J558" s="215"/>
      <c r="K558" s="76">
        <v>69</v>
      </c>
      <c r="L558" s="76"/>
      <c r="M558" s="134">
        <v>45840</v>
      </c>
      <c r="N558" s="134">
        <v>48761</v>
      </c>
      <c r="O558" s="72" t="s">
        <v>19</v>
      </c>
      <c r="P558" s="72" t="s">
        <v>2346</v>
      </c>
      <c r="Q558" s="72" t="s">
        <v>1005</v>
      </c>
      <c r="R558" s="72" t="s">
        <v>349</v>
      </c>
    </row>
    <row r="559" spans="1:18" ht="12" x14ac:dyDescent="0.2">
      <c r="A559" s="79"/>
      <c r="B559" s="79"/>
      <c r="C559" s="102"/>
      <c r="D559" s="66"/>
      <c r="E559" s="66" t="s">
        <v>2529</v>
      </c>
      <c r="F559" s="66" t="s">
        <v>2529</v>
      </c>
      <c r="G559" s="66" t="s">
        <v>2530</v>
      </c>
      <c r="H559" s="66" t="s">
        <v>349</v>
      </c>
      <c r="I559" s="84">
        <v>18</v>
      </c>
      <c r="J559" s="103"/>
      <c r="K559" s="84"/>
      <c r="L559" s="84"/>
      <c r="M559" s="66"/>
      <c r="N559" s="66"/>
      <c r="O559" s="66"/>
    </row>
    <row r="560" spans="1:18" ht="12" x14ac:dyDescent="0.2">
      <c r="A560" s="79"/>
      <c r="B560" s="79"/>
      <c r="C560" s="102"/>
      <c r="D560" s="66"/>
      <c r="E560" s="66"/>
      <c r="F560" s="66"/>
      <c r="G560" s="66"/>
      <c r="H560" s="66"/>
      <c r="I560" s="84"/>
      <c r="J560" s="103"/>
      <c r="K560" s="84"/>
      <c r="L560" s="84"/>
      <c r="M560" s="66"/>
      <c r="N560" s="66"/>
      <c r="O560" s="66"/>
    </row>
    <row r="561" spans="1:18" s="72" customFormat="1" ht="12" x14ac:dyDescent="0.2">
      <c r="A561" s="70">
        <v>45753</v>
      </c>
      <c r="B561" s="70">
        <v>45774</v>
      </c>
      <c r="C561" s="77">
        <v>33400007</v>
      </c>
      <c r="D561" s="72" t="s">
        <v>2531</v>
      </c>
      <c r="E561" s="72" t="s">
        <v>19</v>
      </c>
      <c r="F561" s="72" t="s">
        <v>2354</v>
      </c>
      <c r="G561" s="72" t="s">
        <v>1208</v>
      </c>
      <c r="H561" s="72" t="s">
        <v>349</v>
      </c>
      <c r="I561" s="76">
        <v>89.6</v>
      </c>
      <c r="J561" s="215"/>
      <c r="K561" s="76">
        <v>27</v>
      </c>
      <c r="L561" s="76"/>
      <c r="M561" s="134">
        <v>46023</v>
      </c>
      <c r="N561" s="134">
        <v>48944</v>
      </c>
      <c r="O561" s="72" t="s">
        <v>19</v>
      </c>
      <c r="P561" s="72" t="s">
        <v>2354</v>
      </c>
      <c r="Q561" s="72" t="s">
        <v>1208</v>
      </c>
      <c r="R561" s="72" t="s">
        <v>349</v>
      </c>
    </row>
    <row r="562" spans="1:18" ht="12" x14ac:dyDescent="0.2">
      <c r="A562" s="79"/>
      <c r="B562" s="79"/>
      <c r="C562" s="102"/>
      <c r="D562" s="66"/>
      <c r="E562" s="66"/>
      <c r="F562" s="66"/>
      <c r="G562" s="66"/>
      <c r="H562" s="66"/>
      <c r="I562" s="102"/>
      <c r="J562" s="66"/>
      <c r="K562" s="102"/>
      <c r="L562" s="102"/>
      <c r="M562" s="66"/>
      <c r="N562" s="66"/>
      <c r="O562" s="66"/>
    </row>
    <row r="563" spans="1:18" s="72" customFormat="1" ht="12" x14ac:dyDescent="0.2">
      <c r="A563" s="70">
        <v>45795</v>
      </c>
      <c r="B563" s="70">
        <v>45809</v>
      </c>
      <c r="C563" s="77">
        <v>131000077</v>
      </c>
      <c r="D563" s="72" t="s">
        <v>2532</v>
      </c>
      <c r="E563" s="72" t="s">
        <v>2443</v>
      </c>
      <c r="F563" s="72" t="s">
        <v>2443</v>
      </c>
      <c r="G563" s="72" t="s">
        <v>1188</v>
      </c>
      <c r="H563" s="72" t="s">
        <v>349</v>
      </c>
      <c r="I563" s="77">
        <v>57.9</v>
      </c>
      <c r="K563" s="77">
        <v>43.7</v>
      </c>
      <c r="L563" s="77"/>
      <c r="M563" s="134">
        <v>46023</v>
      </c>
      <c r="N563" s="134">
        <v>48944</v>
      </c>
      <c r="O563" s="72" t="s">
        <v>2443</v>
      </c>
      <c r="P563" s="72" t="s">
        <v>2443</v>
      </c>
      <c r="Q563" s="72" t="s">
        <v>1188</v>
      </c>
      <c r="R563" s="72" t="s">
        <v>349</v>
      </c>
    </row>
    <row r="564" spans="1:18" ht="12" x14ac:dyDescent="0.2">
      <c r="A564" s="79"/>
      <c r="B564" s="79"/>
      <c r="C564" s="102"/>
      <c r="D564" s="66"/>
      <c r="E564" s="66" t="s">
        <v>55</v>
      </c>
      <c r="F564" s="66" t="s">
        <v>2533</v>
      </c>
      <c r="G564" s="66" t="s">
        <v>561</v>
      </c>
      <c r="H564" s="66" t="s">
        <v>349</v>
      </c>
      <c r="I564" s="102">
        <v>42.1</v>
      </c>
      <c r="J564" s="66"/>
      <c r="K564" s="102"/>
      <c r="L564" s="102"/>
      <c r="M564" s="66"/>
      <c r="N564" s="66"/>
      <c r="O564" s="66"/>
    </row>
    <row r="565" spans="1:18" ht="12" x14ac:dyDescent="0.2">
      <c r="A565" s="79"/>
      <c r="B565" s="79"/>
      <c r="C565" s="102"/>
      <c r="D565" s="66"/>
      <c r="E565" s="66"/>
      <c r="F565" s="66"/>
      <c r="G565" s="66"/>
      <c r="H565" s="66"/>
      <c r="I565" s="102"/>
      <c r="J565" s="66"/>
      <c r="K565" s="102"/>
      <c r="L565" s="102"/>
      <c r="M565" s="66"/>
      <c r="N565" s="66"/>
      <c r="O565" s="66"/>
    </row>
    <row r="566" spans="1:18" s="72" customFormat="1" ht="12" x14ac:dyDescent="0.2">
      <c r="A566" s="70">
        <v>45823</v>
      </c>
      <c r="B566" s="70">
        <v>45837</v>
      </c>
      <c r="C566" s="77">
        <v>23200018</v>
      </c>
      <c r="D566" s="72" t="s">
        <v>2534</v>
      </c>
      <c r="E566" s="72" t="s">
        <v>2369</v>
      </c>
      <c r="F566" s="72" t="s">
        <v>2369</v>
      </c>
      <c r="G566" s="72" t="s">
        <v>965</v>
      </c>
      <c r="H566" s="72" t="s">
        <v>349</v>
      </c>
      <c r="I566" s="77">
        <v>49</v>
      </c>
      <c r="J566" s="72">
        <v>65.3</v>
      </c>
      <c r="K566" s="77">
        <v>47.6</v>
      </c>
      <c r="L566" s="77">
        <v>44</v>
      </c>
      <c r="M566" s="134">
        <v>46007</v>
      </c>
      <c r="N566" s="134">
        <v>48928</v>
      </c>
      <c r="O566" s="72" t="s">
        <v>19</v>
      </c>
      <c r="P566" s="72" t="s">
        <v>1004</v>
      </c>
      <c r="Q566" s="72" t="s">
        <v>1005</v>
      </c>
      <c r="R566" s="72" t="s">
        <v>349</v>
      </c>
    </row>
    <row r="567" spans="1:18" ht="12" x14ac:dyDescent="0.2">
      <c r="A567" s="79"/>
      <c r="B567" s="79"/>
      <c r="C567" s="102"/>
      <c r="D567" s="66"/>
      <c r="E567" s="66" t="s">
        <v>19</v>
      </c>
      <c r="F567" s="66" t="s">
        <v>1004</v>
      </c>
      <c r="G567" s="66" t="s">
        <v>1005</v>
      </c>
      <c r="H567" s="66" t="s">
        <v>349</v>
      </c>
      <c r="I567" s="102">
        <v>33</v>
      </c>
      <c r="J567" s="66">
        <v>34.700000000000003</v>
      </c>
      <c r="K567" s="102"/>
      <c r="L567" s="102"/>
      <c r="M567" s="66"/>
      <c r="N567" s="66"/>
      <c r="O567" s="66"/>
    </row>
    <row r="568" spans="1:18" ht="12" x14ac:dyDescent="0.2">
      <c r="A568" s="79"/>
      <c r="B568" s="79"/>
      <c r="C568" s="102"/>
      <c r="D568" s="66"/>
      <c r="E568" s="66" t="s">
        <v>289</v>
      </c>
      <c r="F568" s="66" t="s">
        <v>2535</v>
      </c>
      <c r="G568" s="66" t="s">
        <v>2536</v>
      </c>
      <c r="H568" s="66" t="s">
        <v>419</v>
      </c>
      <c r="I568" s="102">
        <v>18</v>
      </c>
      <c r="J568" s="66"/>
      <c r="K568" s="102"/>
      <c r="L568" s="102"/>
      <c r="M568" s="66"/>
      <c r="N568" s="66"/>
      <c r="O568" s="66"/>
    </row>
    <row r="569" spans="1:18" ht="12" x14ac:dyDescent="0.2">
      <c r="A569" s="79"/>
      <c r="B569" s="79"/>
      <c r="C569" s="102"/>
      <c r="D569" s="66"/>
      <c r="E569" s="66"/>
      <c r="F569" s="66"/>
      <c r="G569" s="66"/>
      <c r="H569" s="66"/>
      <c r="I569" s="102"/>
      <c r="J569" s="66"/>
      <c r="K569" s="102"/>
      <c r="L569" s="102"/>
      <c r="M569" s="66"/>
      <c r="N569" s="66"/>
      <c r="O569" s="66"/>
    </row>
    <row r="570" spans="1:18" s="72" customFormat="1" ht="12" x14ac:dyDescent="0.2">
      <c r="A570" s="70">
        <v>45823</v>
      </c>
      <c r="B570" s="70">
        <v>45837</v>
      </c>
      <c r="C570" s="77">
        <v>33200024</v>
      </c>
      <c r="D570" s="72" t="s">
        <v>2537</v>
      </c>
      <c r="E570" s="72" t="s">
        <v>19</v>
      </c>
      <c r="F570" s="72" t="s">
        <v>2538</v>
      </c>
      <c r="G570" s="72" t="s">
        <v>2539</v>
      </c>
      <c r="H570" s="72" t="s">
        <v>349</v>
      </c>
      <c r="I570" s="77">
        <v>59.9</v>
      </c>
      <c r="K570" s="77">
        <v>53.9</v>
      </c>
      <c r="L570" s="77"/>
      <c r="M570" s="134">
        <v>46023</v>
      </c>
      <c r="N570" s="134">
        <v>48944</v>
      </c>
      <c r="O570" s="72" t="s">
        <v>19</v>
      </c>
      <c r="P570" s="72" t="s">
        <v>109</v>
      </c>
      <c r="Q570" s="72" t="s">
        <v>358</v>
      </c>
      <c r="R570" s="72" t="s">
        <v>349</v>
      </c>
    </row>
    <row r="571" spans="1:18" ht="12" x14ac:dyDescent="0.2">
      <c r="A571" s="79"/>
      <c r="B571" s="79"/>
      <c r="C571" s="102"/>
      <c r="D571" s="66"/>
      <c r="E571" s="66" t="s">
        <v>21</v>
      </c>
      <c r="F571" s="66" t="s">
        <v>2540</v>
      </c>
      <c r="G571" s="66" t="s">
        <v>899</v>
      </c>
      <c r="H571" s="66" t="s">
        <v>349</v>
      </c>
      <c r="I571" s="102">
        <v>40.1</v>
      </c>
      <c r="J571" s="66"/>
      <c r="K571" s="102"/>
      <c r="L571" s="102"/>
      <c r="M571" s="66"/>
      <c r="N571" s="66"/>
      <c r="O571" s="66"/>
    </row>
    <row r="572" spans="1:18" ht="12" x14ac:dyDescent="0.2">
      <c r="A572" s="79"/>
      <c r="B572" s="79"/>
      <c r="C572" s="102"/>
      <c r="D572" s="66"/>
      <c r="E572" s="66"/>
      <c r="F572" s="66"/>
      <c r="G572" s="66"/>
      <c r="H572" s="66"/>
      <c r="I572" s="102"/>
      <c r="J572" s="66"/>
      <c r="K572" s="102"/>
      <c r="L572" s="102"/>
      <c r="M572" s="66"/>
      <c r="N572" s="66"/>
      <c r="O572" s="66"/>
    </row>
    <row r="573" spans="1:18" ht="12" x14ac:dyDescent="0.2">
      <c r="A573" s="79"/>
      <c r="B573" s="79"/>
      <c r="C573" s="102"/>
      <c r="D573" s="66"/>
      <c r="E573" s="66"/>
      <c r="F573" s="66"/>
      <c r="G573" s="66"/>
      <c r="H573" s="66"/>
      <c r="I573" s="102"/>
      <c r="J573" s="66"/>
      <c r="K573" s="102"/>
      <c r="L573" s="102"/>
      <c r="M573" s="66"/>
      <c r="N573" s="66"/>
      <c r="O573" s="66"/>
    </row>
    <row r="574" spans="1:18" ht="12" x14ac:dyDescent="0.2">
      <c r="A574" s="79"/>
      <c r="B574" s="79"/>
      <c r="C574" s="102"/>
      <c r="D574" s="66"/>
      <c r="E574" s="66"/>
      <c r="F574" s="66"/>
      <c r="G574" s="66"/>
      <c r="H574" s="66"/>
      <c r="I574" s="102"/>
      <c r="J574" s="66"/>
      <c r="K574" s="102"/>
      <c r="L574" s="102"/>
      <c r="M574" s="66"/>
      <c r="N574" s="66"/>
      <c r="O574" s="66"/>
    </row>
    <row r="575" spans="1:18" ht="12" x14ac:dyDescent="0.2">
      <c r="A575" s="79"/>
      <c r="B575" s="79"/>
      <c r="C575" s="102"/>
      <c r="D575" s="66"/>
      <c r="E575" s="66"/>
      <c r="F575" s="66"/>
      <c r="G575" s="66"/>
      <c r="H575" s="66"/>
      <c r="I575" s="102"/>
      <c r="J575" s="66"/>
      <c r="K575" s="102"/>
      <c r="L575" s="102"/>
      <c r="M575" s="66"/>
      <c r="N575" s="66"/>
      <c r="O575" s="66"/>
    </row>
    <row r="576" spans="1:18" ht="12" x14ac:dyDescent="0.2">
      <c r="A576" s="79"/>
      <c r="B576" s="79"/>
      <c r="C576" s="102"/>
      <c r="D576" s="66"/>
      <c r="E576" s="66"/>
      <c r="F576" s="66"/>
      <c r="G576" s="66"/>
      <c r="H576" s="66"/>
      <c r="I576" s="102"/>
      <c r="J576" s="66"/>
      <c r="K576" s="102"/>
      <c r="L576" s="102"/>
      <c r="M576" s="66"/>
      <c r="N576" s="66"/>
      <c r="O576" s="66"/>
    </row>
    <row r="577" spans="1:15" ht="12" x14ac:dyDescent="0.2">
      <c r="A577" s="79"/>
      <c r="B577" s="79"/>
      <c r="C577" s="102"/>
      <c r="D577" s="66"/>
      <c r="E577" s="66"/>
      <c r="F577" s="66"/>
      <c r="G577" s="66"/>
      <c r="H577" s="66"/>
      <c r="I577" s="102"/>
      <c r="J577" s="66"/>
      <c r="K577" s="102"/>
      <c r="L577" s="102"/>
      <c r="M577" s="66"/>
      <c r="N577" s="66"/>
      <c r="O577" s="66"/>
    </row>
    <row r="578" spans="1:15" ht="12" x14ac:dyDescent="0.2">
      <c r="A578" s="79"/>
      <c r="B578" s="79"/>
      <c r="C578" s="102"/>
      <c r="D578" s="66"/>
      <c r="E578" s="66"/>
      <c r="F578" s="66"/>
      <c r="G578" s="66"/>
      <c r="H578" s="66"/>
      <c r="I578" s="102"/>
      <c r="J578" s="66"/>
      <c r="K578" s="102"/>
      <c r="L578" s="102"/>
      <c r="M578" s="66"/>
      <c r="N578" s="66"/>
      <c r="O578" s="66"/>
    </row>
    <row r="579" spans="1:15" ht="12" x14ac:dyDescent="0.2">
      <c r="A579" s="79"/>
      <c r="B579" s="79"/>
      <c r="C579" s="102"/>
      <c r="D579" s="66"/>
      <c r="E579" s="66"/>
      <c r="F579" s="66"/>
      <c r="G579" s="66"/>
      <c r="H579" s="66"/>
      <c r="I579" s="102"/>
      <c r="J579" s="66"/>
      <c r="K579" s="102"/>
      <c r="L579" s="102"/>
      <c r="M579" s="66"/>
      <c r="N579" s="66"/>
      <c r="O579" s="66"/>
    </row>
    <row r="580" spans="1:15" ht="12" x14ac:dyDescent="0.2">
      <c r="A580" s="79"/>
      <c r="B580" s="79"/>
      <c r="C580" s="102"/>
      <c r="D580" s="66"/>
      <c r="E580" s="66"/>
      <c r="F580" s="66"/>
      <c r="G580" s="66"/>
      <c r="H580" s="66"/>
      <c r="I580" s="102"/>
      <c r="J580" s="66"/>
      <c r="K580" s="102"/>
      <c r="L580" s="102"/>
      <c r="M580" s="66"/>
      <c r="N580" s="66"/>
      <c r="O580" s="66"/>
    </row>
    <row r="581" spans="1:15" ht="12" x14ac:dyDescent="0.2">
      <c r="A581" s="79"/>
      <c r="B581" s="79"/>
      <c r="C581" s="102"/>
      <c r="D581" s="66"/>
      <c r="E581" s="66"/>
      <c r="F581" s="66"/>
      <c r="G581" s="66"/>
      <c r="H581" s="66"/>
      <c r="I581" s="102"/>
      <c r="J581" s="66"/>
      <c r="K581" s="102"/>
      <c r="L581" s="102"/>
      <c r="M581" s="66"/>
      <c r="N581" s="66"/>
      <c r="O581" s="66"/>
    </row>
    <row r="582" spans="1:15" ht="12" x14ac:dyDescent="0.2">
      <c r="A582" s="79"/>
      <c r="B582" s="79"/>
      <c r="C582" s="102"/>
      <c r="D582" s="66"/>
      <c r="E582" s="66"/>
      <c r="F582" s="66"/>
      <c r="G582" s="66"/>
      <c r="H582" s="66"/>
      <c r="I582" s="102"/>
      <c r="J582" s="66"/>
      <c r="K582" s="102"/>
      <c r="L582" s="102"/>
      <c r="M582" s="66"/>
      <c r="N582" s="66"/>
      <c r="O582" s="66"/>
    </row>
    <row r="583" spans="1:15" ht="12" x14ac:dyDescent="0.2">
      <c r="A583" s="79"/>
      <c r="B583" s="79"/>
      <c r="C583" s="102"/>
      <c r="D583" s="66"/>
      <c r="E583" s="66"/>
      <c r="F583" s="66"/>
      <c r="G583" s="66"/>
      <c r="H583" s="66"/>
      <c r="I583" s="102"/>
      <c r="J583" s="66"/>
      <c r="K583" s="102"/>
      <c r="L583" s="102"/>
      <c r="M583" s="66"/>
      <c r="N583" s="66"/>
      <c r="O583" s="66"/>
    </row>
    <row r="584" spans="1:15" ht="12" x14ac:dyDescent="0.2">
      <c r="A584" s="79"/>
      <c r="B584" s="79"/>
      <c r="C584" s="102"/>
      <c r="D584" s="66"/>
      <c r="E584" s="66"/>
      <c r="F584" s="66"/>
      <c r="G584" s="66"/>
      <c r="H584" s="66"/>
      <c r="I584" s="102"/>
      <c r="J584" s="66"/>
      <c r="K584" s="102"/>
      <c r="L584" s="102"/>
      <c r="M584" s="66"/>
      <c r="N584" s="66"/>
      <c r="O584" s="66"/>
    </row>
    <row r="585" spans="1:15" ht="12" x14ac:dyDescent="0.2">
      <c r="A585" s="79"/>
      <c r="B585" s="79"/>
      <c r="C585" s="102"/>
      <c r="D585" s="66"/>
      <c r="E585" s="66"/>
      <c r="F585" s="66"/>
      <c r="G585" s="66"/>
      <c r="H585" s="66"/>
      <c r="I585" s="102"/>
      <c r="J585" s="66"/>
      <c r="K585" s="102"/>
      <c r="L585" s="102"/>
      <c r="M585" s="66"/>
      <c r="N585" s="66"/>
      <c r="O585" s="66"/>
    </row>
    <row r="586" spans="1:15" ht="12" x14ac:dyDescent="0.2">
      <c r="A586" s="79"/>
      <c r="B586" s="79"/>
      <c r="C586" s="102"/>
      <c r="D586" s="66"/>
      <c r="E586" s="66"/>
      <c r="F586" s="66"/>
      <c r="G586" s="66"/>
      <c r="H586" s="66"/>
      <c r="I586" s="102"/>
      <c r="J586" s="66"/>
      <c r="K586" s="102"/>
      <c r="L586" s="102"/>
      <c r="M586" s="66"/>
      <c r="N586" s="66"/>
      <c r="O586" s="66"/>
    </row>
  </sheetData>
  <autoFilter ref="C1:D450" xr:uid="{00000000-0009-0000-0000-000000000000}"/>
  <mergeCells count="24">
    <mergeCell ref="K3:L3"/>
    <mergeCell ref="M3:N3"/>
    <mergeCell ref="O3:R3"/>
    <mergeCell ref="E4:E5"/>
    <mergeCell ref="F4:F5"/>
    <mergeCell ref="G4:G5"/>
    <mergeCell ref="H4:H5"/>
    <mergeCell ref="I4:I5"/>
    <mergeCell ref="J4:J5"/>
    <mergeCell ref="K4:K5"/>
    <mergeCell ref="E3:H3"/>
    <mergeCell ref="I3:J3"/>
    <mergeCell ref="R4:R5"/>
    <mergeCell ref="A449:D449"/>
    <mergeCell ref="L4:L5"/>
    <mergeCell ref="M4:M5"/>
    <mergeCell ref="N4:N5"/>
    <mergeCell ref="O4:O5"/>
    <mergeCell ref="P4:P5"/>
    <mergeCell ref="Q4:Q5"/>
    <mergeCell ref="A3:A5"/>
    <mergeCell ref="B3:B5"/>
    <mergeCell ref="C3:C5"/>
    <mergeCell ref="D3:D5"/>
  </mergeCells>
  <printOptions horizontalCentered="1"/>
  <pageMargins left="0.19685039370078741" right="0.19685039370078741" top="0.59055118110236227" bottom="0.59055118110236227" header="0.39370078740157483" footer="0.39370078740157483"/>
  <pageSetup paperSize="9" scale="95" fitToHeight="0" orientation="landscape" horizontalDpi="4294967292" verticalDpi="300" r:id="rId1"/>
  <headerFooter alignWithMargins="0">
    <oddFooter>&amp;L&amp;9EB = Einzelbewerber&amp;C&amp;9Seite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Landräte</vt:lpstr>
      <vt:lpstr>Oberbürgermeister Krfr.Städte</vt:lpstr>
      <vt:lpstr>Bürgermeister Verbandsgemeinden</vt:lpstr>
      <vt:lpstr>Bürgermeister Vfr.Gemeinden</vt:lpstr>
      <vt:lpstr>'Bürgermeister Verbandsgemeinden'!Drucktitel</vt:lpstr>
      <vt:lpstr>'Bürgermeister Vfr.Gemeinden'!Drucktitel</vt:lpstr>
      <vt:lpstr>Landräte!Drucktitel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Stupinsky, Katrin</dc:creator>
  <cp:lastModifiedBy>Hammerl, Jürgen</cp:lastModifiedBy>
  <cp:lastPrinted>2012-06-28T14:46:56Z</cp:lastPrinted>
  <dcterms:created xsi:type="dcterms:W3CDTF">2006-05-22T09:16:34Z</dcterms:created>
  <dcterms:modified xsi:type="dcterms:W3CDTF">2025-12-19T14:57:29Z</dcterms:modified>
</cp:coreProperties>
</file>